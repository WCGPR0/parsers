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75" windowWidth="27795" windowHeight="11775" activeTab="1"/>
  </bookViews>
  <sheets>
    <sheet name="Master List" sheetId="1" r:id="rId1"/>
    <sheet name="Docket List" sheetId="2" r:id="rId2"/>
    <sheet name="Config" sheetId="4" r:id="rId3"/>
  </sheets>
  <functionGroups builtInGroupCount="17"/>
  <definedNames>
    <definedName name="_xlnm._FilterDatabase" localSheetId="1" hidden="1">'Docket List'!$A$1:$F$621</definedName>
  </definedNames>
  <calcPr calcId="145621"/>
</workbook>
</file>

<file path=xl/calcChain.xml><?xml version="1.0" encoding="utf-8"?>
<calcChain xmlns="http://schemas.openxmlformats.org/spreadsheetml/2006/main">
  <c r="D8" i="4" l="1"/>
  <c r="D9" i="4" s="1"/>
</calcChain>
</file>

<file path=xl/comments1.xml><?xml version="1.0" encoding="utf-8"?>
<comments xmlns="http://schemas.openxmlformats.org/spreadsheetml/2006/main">
  <authors>
    <author>Victor Wu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See Cells B1 and C1 for color coding key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Title / Section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These are configurations; these fields are meant to be modified by the user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Last Timestamp of Docket List has been last updated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Always keep value above maximum number of dockets - closer to it, the more optimal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How often the program updates the data (in seconds)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How often the program updates the data (in seconds)</t>
        </r>
      </text>
    </comment>
    <comment ref="A3" authorId="0">
      <text>
        <r>
          <rPr>
            <b/>
            <sz val="9"/>
            <color indexed="81"/>
            <rFont val="Tahoma"/>
            <family val="2"/>
          </rPr>
          <t>Total Dockets Retrieved</t>
        </r>
      </text>
    </comment>
    <comment ref="H71" authorId="0">
      <text>
        <r>
          <rPr>
            <sz val="9"/>
            <color indexed="81"/>
            <rFont val="Tahoma"/>
            <family val="2"/>
          </rPr>
          <t>Always keep value above maximum number of dockets (otherwise dockets may be left out) - closer to it, the more optimal</t>
        </r>
      </text>
    </comment>
  </commentList>
</comments>
</file>

<file path=xl/sharedStrings.xml><?xml version="1.0" encoding="utf-8"?>
<sst xmlns="http://schemas.openxmlformats.org/spreadsheetml/2006/main" count="483" uniqueCount="256">
  <si>
    <t>Pipeline</t>
  </si>
  <si>
    <t>Projects</t>
  </si>
  <si>
    <t>Updated</t>
  </si>
  <si>
    <t>Last Updated</t>
  </si>
  <si>
    <t>Total Dockets</t>
  </si>
  <si>
    <t>Docket_x000D_
Number</t>
  </si>
  <si>
    <t>SETTINGS</t>
  </si>
  <si>
    <t>EXTERNAL DOCKET LIST PROJECT</t>
  </si>
  <si>
    <t>ANALYTICS</t>
  </si>
  <si>
    <t>EXCLUDED HEADERS</t>
  </si>
  <si>
    <t>Files,Size</t>
  </si>
  <si>
    <t>REQUEST SETTINGS</t>
  </si>
  <si>
    <t>DocsCount</t>
  </si>
  <si>
    <t>submittal</t>
  </si>
  <si>
    <t>issuance</t>
  </si>
  <si>
    <t>on</t>
  </si>
  <si>
    <t>description</t>
  </si>
  <si>
    <t>fulltext</t>
  </si>
  <si>
    <t>1%2F1%2F1904</t>
  </si>
  <si>
    <t>12%2F31%2F2037</t>
  </si>
  <si>
    <t>filed_date+desc+accession_num+asc</t>
  </si>
  <si>
    <t>01%2F09%2F2018</t>
  </si>
  <si>
    <t>FROMdt</t>
  </si>
  <si>
    <t>TOdt</t>
  </si>
  <si>
    <t>fromDocDate</t>
  </si>
  <si>
    <t>toDocDate</t>
  </si>
  <si>
    <t>fromPosDate</t>
  </si>
  <si>
    <t>toPosDate</t>
  </si>
  <si>
    <t>firstDt</t>
  </si>
  <si>
    <t>LastDt</t>
  </si>
  <si>
    <t>DocsStart</t>
  </si>
  <si>
    <t>DocsLimit</t>
  </si>
  <si>
    <t>SortSpec</t>
  </si>
  <si>
    <t>category</t>
  </si>
  <si>
    <t>filed_date</t>
  </si>
  <si>
    <t>from_date</t>
  </si>
  <si>
    <t>to_date</t>
  </si>
  <si>
    <t>from_dDate</t>
  </si>
  <si>
    <t>to_dDate</t>
  </si>
  <si>
    <t>from_pDate</t>
  </si>
  <si>
    <t>to_pDate</t>
  </si>
  <si>
    <t>docket1</t>
  </si>
  <si>
    <t>subdocket1</t>
  </si>
  <si>
    <t>docket2</t>
  </si>
  <si>
    <t>subdocket2</t>
  </si>
  <si>
    <t>docket3</t>
  </si>
  <si>
    <t>subdocket3</t>
  </si>
  <si>
    <t>docket4</t>
  </si>
  <si>
    <t>subdocket4</t>
  </si>
  <si>
    <t>libraryall</t>
  </si>
  <si>
    <t>textsearch</t>
  </si>
  <si>
    <t>class</t>
  </si>
  <si>
    <t>type</t>
  </si>
  <si>
    <t>AffilTP1</t>
  </si>
  <si>
    <t>AffilAF1</t>
  </si>
  <si>
    <t>AffilLastName1</t>
  </si>
  <si>
    <t>AffilFirstName1</t>
  </si>
  <si>
    <t>AffilMidName1</t>
  </si>
  <si>
    <t>AffilTP2</t>
  </si>
  <si>
    <t>AffilAF2</t>
  </si>
  <si>
    <t>AffilLastName2</t>
  </si>
  <si>
    <t>AffilFirstName2</t>
  </si>
  <si>
    <t>AffilMidName2</t>
  </si>
  <si>
    <t>AffilTP3</t>
  </si>
  <si>
    <t>AffilAF3</t>
  </si>
  <si>
    <t>AffilLastName3</t>
  </si>
  <si>
    <t>AffilFirstName3</t>
  </si>
  <si>
    <t>AffilMidName3</t>
  </si>
  <si>
    <t>AffilTP4</t>
  </si>
  <si>
    <t>AffilAF4</t>
  </si>
  <si>
    <t>AffilLastName4</t>
  </si>
  <si>
    <t>AffilFirstName4</t>
  </si>
  <si>
    <t>AffilMidName4</t>
  </si>
  <si>
    <t>fed_reg_cite</t>
  </si>
  <si>
    <t>fed_court_cite</t>
  </si>
  <si>
    <t>ferc_cite</t>
  </si>
  <si>
    <t>accession_num</t>
  </si>
  <si>
    <t>opinion</t>
  </si>
  <si>
    <t>ordernum</t>
  </si>
  <si>
    <t>child_doc</t>
  </si>
  <si>
    <t>availabilityall</t>
  </si>
  <si>
    <t>02%2F09%2F2018</t>
  </si>
  <si>
    <t>electric%2C+hydro%2C+gas%2C+rulemaking%2C+oil%2C+general</t>
  </si>
  <si>
    <t>s%2Cc%2Cp%2Cn</t>
  </si>
  <si>
    <t>ARCHIVED FILENAME</t>
  </si>
  <si>
    <t>docketOutput.html</t>
  </si>
  <si>
    <t>REFRESH INTERVAL</t>
  </si>
  <si>
    <t>FILTER</t>
  </si>
  <si>
    <t>013117.xlsx</t>
  </si>
  <si>
    <t xml:space="preserve">                        Natural Gas Pipeline Projects</t>
  </si>
  <si>
    <t>Last Updated Date</t>
  </si>
  <si>
    <t>Project Name</t>
  </si>
  <si>
    <t>Pipeline Operator Name</t>
  </si>
  <si>
    <t>Project Type</t>
  </si>
  <si>
    <t>Status</t>
  </si>
  <si>
    <t>Completed Date</t>
  </si>
  <si>
    <t>Year In Service Date</t>
  </si>
  <si>
    <t>State(s)</t>
  </si>
  <si>
    <t>Region(s)</t>
  </si>
  <si>
    <t xml:space="preserve"> Cost (millions) </t>
  </si>
  <si>
    <t xml:space="preserve"> Miles </t>
  </si>
  <si>
    <t>Additional Capacity (MMcf/d)</t>
  </si>
  <si>
    <t>Pipeline Diameter (Inches)</t>
  </si>
  <si>
    <t>Pipeline Type</t>
  </si>
  <si>
    <t>Authority</t>
  </si>
  <si>
    <t>Filed/Approved</t>
  </si>
  <si>
    <t>Hillabee Expansion phase 2</t>
  </si>
  <si>
    <t>Transcontinental Gas Pipeline</t>
  </si>
  <si>
    <t>Expansion</t>
  </si>
  <si>
    <t>Approved</t>
  </si>
  <si>
    <t>AL</t>
  </si>
  <si>
    <t>Southeast</t>
  </si>
  <si>
    <t>Interstate</t>
  </si>
  <si>
    <t>FERC</t>
  </si>
  <si>
    <t>CP15-16</t>
  </si>
  <si>
    <t>Port Arthur Pipeline</t>
  </si>
  <si>
    <t>New Pipeline</t>
  </si>
  <si>
    <t>Filed</t>
  </si>
  <si>
    <t>TX</t>
  </si>
  <si>
    <t>South Central</t>
  </si>
  <si>
    <t>CP17-21</t>
  </si>
  <si>
    <t>Sabal Trail Project Phase II</t>
  </si>
  <si>
    <t>Spectra Energy Corp/NextEra Energy/Duke Energy</t>
  </si>
  <si>
    <t>AL,GA,FL</t>
  </si>
  <si>
    <t>CP15-17</t>
  </si>
  <si>
    <t>Magnolia Intrastate (Magnolia Extension)</t>
  </si>
  <si>
    <t>American Midstream</t>
  </si>
  <si>
    <t>Announced</t>
  </si>
  <si>
    <t>MS,AL</t>
  </si>
  <si>
    <t>Southwest</t>
  </si>
  <si>
    <t>Intrastate</t>
  </si>
  <si>
    <t>state</t>
  </si>
  <si>
    <t>na</t>
  </si>
  <si>
    <t>Gulf Connector</t>
  </si>
  <si>
    <t>Reversal</t>
  </si>
  <si>
    <t>Applied</t>
  </si>
  <si>
    <t>MS,LA,TX</t>
  </si>
  <si>
    <t>Southwest,Southesat</t>
  </si>
  <si>
    <t>CP16-494</t>
  </si>
  <si>
    <t>Lone Star Expansion</t>
  </si>
  <si>
    <t>Tennessee Gas Pipeline Co</t>
  </si>
  <si>
    <t>CP16-496</t>
  </si>
  <si>
    <t>ANR East Pipeline Project</t>
  </si>
  <si>
    <t>ANR Pipeline</t>
  </si>
  <si>
    <t>OH,IN</t>
  </si>
  <si>
    <t>Northeast,Midwest</t>
  </si>
  <si>
    <t>Gulf Coast Market Expansion Project</t>
  </si>
  <si>
    <t>Nat Gas P L Co of America</t>
  </si>
  <si>
    <t>Construction</t>
  </si>
  <si>
    <t>IL,AR,TX</t>
  </si>
  <si>
    <t>Midwest,Southwest</t>
  </si>
  <si>
    <t>CP16-488</t>
  </si>
  <si>
    <t>Atlantic Coast Pipeline</t>
  </si>
  <si>
    <t>WV,VA,NC</t>
  </si>
  <si>
    <t>Northeast,Southeast</t>
  </si>
  <si>
    <t>CP15-554</t>
  </si>
  <si>
    <t>Southwest Louisiana Supply Project</t>
  </si>
  <si>
    <t>PA,OH,KY,TN,MS,LA</t>
  </si>
  <si>
    <t>CP16-12</t>
  </si>
  <si>
    <t>Supply Header Project</t>
  </si>
  <si>
    <t>Dominion Transmission</t>
  </si>
  <si>
    <t>PA,WV</t>
  </si>
  <si>
    <t>Northeast</t>
  </si>
  <si>
    <t>CP15-555</t>
  </si>
  <si>
    <t>Cheniere Corpus Christi Pipeline Project</t>
  </si>
  <si>
    <t>Cheniere Corpus Christi Pipeline</t>
  </si>
  <si>
    <t>Lateral</t>
  </si>
  <si>
    <t>CP12-508</t>
  </si>
  <si>
    <t>Western Marcellus Pipeline Project/Appalachian Connector</t>
  </si>
  <si>
    <t>OH,WV,VA</t>
  </si>
  <si>
    <t>Northeast,Norhteast</t>
  </si>
  <si>
    <t>WB (West Bound) Xpress</t>
  </si>
  <si>
    <t>Columbia Gas Transmission</t>
  </si>
  <si>
    <t>MD,VA,WV</t>
  </si>
  <si>
    <t>CP16-38</t>
  </si>
  <si>
    <t>Coastal Bend Header</t>
  </si>
  <si>
    <t>Gulf South Pipeline</t>
  </si>
  <si>
    <t>CP15-517</t>
  </si>
  <si>
    <t>Appalachia to Market Project (A2M Project)</t>
  </si>
  <si>
    <t>Texas Eastern Transmission</t>
  </si>
  <si>
    <t>OH,WV,PA,NJ</t>
  </si>
  <si>
    <t>Mountain Valley Pipeline</t>
  </si>
  <si>
    <t>Mountain Valley Pipeline/EQT Corp</t>
  </si>
  <si>
    <t>CP16-10</t>
  </si>
  <si>
    <t>Appalachian Lease Project (TEAL)</t>
  </si>
  <si>
    <t>PA,WV,OH</t>
  </si>
  <si>
    <t>CP16-23</t>
  </si>
  <si>
    <t>Sooner Trails Project</t>
  </si>
  <si>
    <t>Southern Star Central Gas Pipeline</t>
  </si>
  <si>
    <t>OK</t>
  </si>
  <si>
    <t>PF15-30</t>
  </si>
  <si>
    <t>Lake Charles Expansion'</t>
  </si>
  <si>
    <t>Kinder Morgan Louisiana PL Co</t>
  </si>
  <si>
    <t>LA</t>
  </si>
  <si>
    <t>CP14-511</t>
  </si>
  <si>
    <t>Cameron Pipeline Expansion</t>
  </si>
  <si>
    <t>Cameron Interstate Pipeline</t>
  </si>
  <si>
    <t>CP13-27/CP16-76</t>
  </si>
  <si>
    <t>Leidy South Project</t>
  </si>
  <si>
    <t>PA,MD,VA</t>
  </si>
  <si>
    <t>CP15-492</t>
  </si>
  <si>
    <t>Atlantic Sunrise Project (bi- directional)</t>
  </si>
  <si>
    <t>PA,VA,NC,SC,GA,AL</t>
  </si>
  <si>
    <t>Northeast,Central</t>
  </si>
  <si>
    <t>CP15-138</t>
  </si>
  <si>
    <t>Dalton Expansion Project</t>
  </si>
  <si>
    <t>GA</t>
  </si>
  <si>
    <t>CP15-117</t>
  </si>
  <si>
    <t>Hillabee Expansion phase 1</t>
  </si>
  <si>
    <t>Lebanon lateral 2017</t>
  </si>
  <si>
    <t>OH</t>
  </si>
  <si>
    <t>Leach XPress project</t>
  </si>
  <si>
    <t>OH,PA,WV</t>
  </si>
  <si>
    <t>CP15-514</t>
  </si>
  <si>
    <t>Mountaineer XPress Pipeline</t>
  </si>
  <si>
    <t>WV</t>
  </si>
  <si>
    <t>CP16-357</t>
  </si>
  <si>
    <t>Broad Run Expansion Project</t>
  </si>
  <si>
    <t>WV,KY,TN</t>
  </si>
  <si>
    <t>CP15-77</t>
  </si>
  <si>
    <t>Cameron Access Project</t>
  </si>
  <si>
    <t>Columbia Gulf Transmission</t>
  </si>
  <si>
    <t>Central</t>
  </si>
  <si>
    <t>CP15-109</t>
  </si>
  <si>
    <t>Gulf Trace Expansion Project</t>
  </si>
  <si>
    <t>CP15-29</t>
  </si>
  <si>
    <t>South Texas Expansion Project</t>
  </si>
  <si>
    <t>LA,TX</t>
  </si>
  <si>
    <t>Southwest,Mexico</t>
  </si>
  <si>
    <t>CP15-499</t>
  </si>
  <si>
    <t>Florida Southeast Connection</t>
  </si>
  <si>
    <t>NextEra Energy</t>
  </si>
  <si>
    <t>FL</t>
  </si>
  <si>
    <t>southeast</t>
  </si>
  <si>
    <t>interstate</t>
  </si>
  <si>
    <t>CP14-554</t>
  </si>
  <si>
    <t>Sabal Trail Project Phase I</t>
  </si>
  <si>
    <t>Prairie State Pipeline</t>
  </si>
  <si>
    <t>IL</t>
  </si>
  <si>
    <t>Midwest</t>
  </si>
  <si>
    <t>Garden State Expansion Project Phase 2</t>
  </si>
  <si>
    <t>NJ</t>
  </si>
  <si>
    <t>CP15-89</t>
  </si>
  <si>
    <t>Delaware Basin Express Pipeline Project</t>
  </si>
  <si>
    <t>Delaware Basin Express</t>
  </si>
  <si>
    <t>State</t>
  </si>
  <si>
    <t>System Reliability Project</t>
  </si>
  <si>
    <t>Eastern Shore Natural Gas</t>
  </si>
  <si>
    <t>DE</t>
  </si>
  <si>
    <t>CP15-498</t>
  </si>
  <si>
    <t>EEC Modification Project</t>
  </si>
  <si>
    <t>Elba Express Pipeline</t>
  </si>
  <si>
    <t>CP14-115</t>
  </si>
  <si>
    <t>Golden Pass Pipeline - Reversal</t>
  </si>
  <si>
    <t>Golden Pass Pipeline</t>
  </si>
  <si>
    <t>CP14-518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</si>
</sst>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mm/dd/yy;@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rgb="FF545454"/>
      <name val="Segoe UI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2"/>
      <color rgb="FF009ED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26">
    <xf numFmtId="0" fontId="0" fillId="0" borderId="0" xfId="0"/>
    <xf numFmtId="0" fontId="0" fillId="0" borderId="0" xfId="0"/>
    <xf numFmtId="0" fontId="1" fillId="0" borderId="0" xfId="0" applyFont="1" applyProtection="1"/>
    <xf numFmtId="0" fontId="0" fillId="0" borderId="0" xfId="0" applyProtection="1"/>
    <xf numFmtId="0" fontId="4" fillId="0" borderId="0" xfId="0" applyFont="1" applyProtection="1"/>
    <xf numFmtId="0" fontId="2" fillId="2" borderId="0" xfId="1"/>
    <xf numFmtId="0" fontId="3" fillId="3" borderId="1" xfId="2"/>
    <xf numFmtId="0" fontId="2" fillId="2" borderId="2" xfId="1" applyBorder="1"/>
    <xf numFmtId="22" fontId="0" fillId="0" borderId="0" xfId="0" applyNumberFormat="1"/>
    <xf numFmtId="0" fontId="6" fillId="0" borderId="0" xfId="0" applyFont="1" applyAlignment="1">
      <alignment horizontal="left" vertical="top" indent="1"/>
    </xf>
    <xf numFmtId="14" fontId="2" fillId="2" borderId="0" xfId="1" applyNumberFormat="1" applyAlignment="1">
      <alignment horizontal="left" vertical="center" indent="1"/>
    </xf>
    <xf numFmtId="0" fontId="2" fillId="2" borderId="0" xfId="1" applyAlignment="1">
      <alignment horizontal="left" vertical="center" indent="1"/>
    </xf>
    <xf numFmtId="0" fontId="3" fillId="3" borderId="1" xfId="2" applyAlignment="1">
      <alignment wrapText="1"/>
    </xf>
    <xf numFmtId="0" fontId="2" fillId="2" borderId="0" xfId="1" applyProtection="1">
      <protection locked="0"/>
    </xf>
    <xf numFmtId="0" fontId="11" fillId="0" borderId="3" xfId="0" applyFont="1" applyBorder="1" applyAlignment="1">
      <alignment horizontal="center"/>
    </xf>
    <xf numFmtId="0" fontId="11" fillId="0" borderId="3" xfId="0" applyFont="1" applyBorder="1" applyAlignment="1">
      <alignment horizontal="left"/>
    </xf>
    <xf numFmtId="0" fontId="11" fillId="0" borderId="3" xfId="0" applyFont="1" applyBorder="1" applyAlignment="1">
      <alignment horizontal="right"/>
    </xf>
    <xf numFmtId="0" fontId="11" fillId="0" borderId="3" xfId="0" applyNumberFormat="1" applyFont="1" applyBorder="1"/>
    <xf numFmtId="0" fontId="11" fillId="0" borderId="3" xfId="0" applyFont="1" applyBorder="1"/>
    <xf numFmtId="0" fontId="11" fillId="0" borderId="4" xfId="0" applyFont="1" applyBorder="1" applyAlignment="1">
      <alignment horizontal="center"/>
    </xf>
    <xf numFmtId="0" fontId="0" fillId="4" borderId="5" xfId="0" applyFill="1" applyBorder="1"/>
    <xf numFmtId="14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0" fillId="0" borderId="0" xfId="0" applyFont="1"/>
    <xf numFmtId="165" fontId="0" fillId="0" borderId="0" xfId="0" applyNumberFormat="1"/>
  </cellXfs>
  <cellStyles count="3">
    <cellStyle name="Input" xfId="2" builtinId="2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L$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13</xdr:row>
          <xdr:rowOff>19050</xdr:rowOff>
        </xdr:from>
        <xdr:to>
          <xdr:col>1</xdr:col>
          <xdr:colOff>514350</xdr:colOff>
          <xdr:row>15</xdr:row>
          <xdr:rowOff>47625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Dockets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16</xdr:row>
          <xdr:rowOff>76200</xdr:rowOff>
        </xdr:from>
        <xdr:to>
          <xdr:col>1</xdr:col>
          <xdr:colOff>609600</xdr:colOff>
          <xdr:row>18</xdr:row>
          <xdr:rowOff>57150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Filter ON/OFF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256"/>
  <sheetViews>
    <sheetView topLeftCell="J1" workbookViewId="0">
      <selection activeCell="P7" sqref="P7"/>
    </sheetView>
  </sheetViews>
  <sheetFormatPr defaultRowHeight="15" x14ac:dyDescent="0.25"/>
  <cols>
    <col min="1" max="1" width="45" bestFit="1" customWidth="1"/>
    <col min="2" max="2" width="50.5703125" bestFit="1" customWidth="1"/>
    <col min="3" max="3" width="45.85546875" bestFit="1" customWidth="1"/>
    <col min="4" max="4" width="13.140625" bestFit="1" customWidth="1"/>
    <col min="5" max="5" width="19.5703125" bestFit="1" customWidth="1"/>
    <col min="6" max="6" width="15.5703125" bestFit="1" customWidth="1"/>
    <col min="7" max="7" width="18.85546875" bestFit="1" customWidth="1"/>
    <col min="8" max="8" width="18.7109375" bestFit="1" customWidth="1"/>
    <col min="9" max="9" width="22.28515625" bestFit="1" customWidth="1"/>
    <col min="10" max="10" width="14.85546875" bestFit="1" customWidth="1"/>
    <col min="11" max="11" width="12" bestFit="1" customWidth="1"/>
    <col min="12" max="12" width="27.85546875" bestFit="1" customWidth="1"/>
    <col min="13" max="13" width="25.140625" bestFit="1" customWidth="1"/>
    <col min="14" max="14" width="13.28515625" bestFit="1" customWidth="1"/>
    <col min="15" max="15" width="9.42578125" bestFit="1" customWidth="1"/>
    <col min="16" max="16" width="15" bestFit="1" customWidth="1"/>
    <col min="17" max="17" width="15.140625" bestFit="1" customWidth="1"/>
  </cols>
  <sheetData>
    <row r="1" spans="1:17" ht="15.75" x14ac:dyDescent="0.25">
      <c r="A1" s="14" t="s">
        <v>89</v>
      </c>
      <c r="B1" s="15"/>
      <c r="C1" s="15"/>
      <c r="D1" s="15"/>
      <c r="E1" s="15"/>
      <c r="F1" s="16"/>
      <c r="G1" s="17"/>
      <c r="H1" s="14"/>
      <c r="I1" s="18"/>
      <c r="J1" s="18"/>
      <c r="K1" s="18"/>
      <c r="L1" s="18"/>
      <c r="M1" s="18"/>
      <c r="N1" s="18"/>
      <c r="O1" s="14"/>
      <c r="P1" s="19"/>
      <c r="Q1" s="1"/>
    </row>
    <row r="2" spans="1:17" ht="30" x14ac:dyDescent="0.25">
      <c r="A2" s="20" t="s">
        <v>90</v>
      </c>
      <c r="B2" s="20" t="s">
        <v>91</v>
      </c>
      <c r="C2" s="20" t="s">
        <v>92</v>
      </c>
      <c r="D2" s="20" t="s">
        <v>93</v>
      </c>
      <c r="E2" s="20" t="s">
        <v>94</v>
      </c>
      <c r="F2" s="20" t="s">
        <v>95</v>
      </c>
      <c r="G2" s="20" t="s">
        <v>96</v>
      </c>
      <c r="H2" s="20" t="s">
        <v>97</v>
      </c>
      <c r="I2" s="20" t="s">
        <v>98</v>
      </c>
      <c r="J2" s="20" t="s">
        <v>99</v>
      </c>
      <c r="K2" s="20" t="s">
        <v>100</v>
      </c>
      <c r="L2" s="20" t="s">
        <v>101</v>
      </c>
      <c r="M2" s="20" t="s">
        <v>102</v>
      </c>
      <c r="N2" s="20" t="s">
        <v>103</v>
      </c>
      <c r="O2" s="20" t="s">
        <v>104</v>
      </c>
      <c r="P2" s="12" t="s">
        <v>5</v>
      </c>
      <c r="Q2" s="20" t="s">
        <v>105</v>
      </c>
    </row>
    <row r="3" spans="1:17" x14ac:dyDescent="0.25">
      <c r="A3" s="21">
        <v>42613</v>
      </c>
      <c r="B3" s="1" t="s">
        <v>106</v>
      </c>
      <c r="C3" s="1" t="s">
        <v>107</v>
      </c>
      <c r="D3" s="1" t="s">
        <v>108</v>
      </c>
      <c r="E3" s="1" t="s">
        <v>109</v>
      </c>
      <c r="F3" s="1"/>
      <c r="G3" s="1">
        <v>2020</v>
      </c>
      <c r="H3" s="1" t="s">
        <v>110</v>
      </c>
      <c r="I3" s="1" t="s">
        <v>111</v>
      </c>
      <c r="J3" s="1">
        <v>60</v>
      </c>
      <c r="K3" s="1">
        <v>11</v>
      </c>
      <c r="L3" s="1">
        <v>206</v>
      </c>
      <c r="M3" s="1">
        <v>42</v>
      </c>
      <c r="N3" s="1" t="s">
        <v>112</v>
      </c>
      <c r="O3" s="1" t="s">
        <v>113</v>
      </c>
      <c r="P3" s="1" t="s">
        <v>114</v>
      </c>
      <c r="Q3" s="21" t="e">
        <v>#N/A</v>
      </c>
    </row>
    <row r="4" spans="1:17" x14ac:dyDescent="0.25">
      <c r="A4" s="21">
        <v>42619</v>
      </c>
      <c r="B4" s="1" t="s">
        <v>115</v>
      </c>
      <c r="C4" s="1" t="s">
        <v>115</v>
      </c>
      <c r="D4" s="1" t="s">
        <v>116</v>
      </c>
      <c r="E4" s="1" t="s">
        <v>117</v>
      </c>
      <c r="F4" s="1"/>
      <c r="G4" s="1">
        <v>2020</v>
      </c>
      <c r="H4" s="1" t="s">
        <v>118</v>
      </c>
      <c r="I4" s="1" t="s">
        <v>119</v>
      </c>
      <c r="J4" s="1"/>
      <c r="K4" s="1">
        <v>34</v>
      </c>
      <c r="L4" s="1">
        <v>1600</v>
      </c>
      <c r="M4" s="1">
        <v>42</v>
      </c>
      <c r="N4" s="1" t="s">
        <v>112</v>
      </c>
      <c r="O4" s="1" t="s">
        <v>113</v>
      </c>
      <c r="P4" s="1" t="s">
        <v>120</v>
      </c>
      <c r="Q4" s="21">
        <v>42703</v>
      </c>
    </row>
    <row r="5" spans="1:17" x14ac:dyDescent="0.25">
      <c r="A5" s="21">
        <v>42598</v>
      </c>
      <c r="B5" s="1" t="s">
        <v>121</v>
      </c>
      <c r="C5" s="1" t="s">
        <v>122</v>
      </c>
      <c r="D5" s="1" t="s">
        <v>108</v>
      </c>
      <c r="E5" s="1" t="s">
        <v>109</v>
      </c>
      <c r="F5" s="1"/>
      <c r="G5" s="1">
        <v>2020</v>
      </c>
      <c r="H5" s="1" t="s">
        <v>123</v>
      </c>
      <c r="I5" s="1" t="s">
        <v>111</v>
      </c>
      <c r="J5" s="22"/>
      <c r="K5" s="1"/>
      <c r="L5" s="22">
        <v>170</v>
      </c>
      <c r="M5" s="1"/>
      <c r="N5" s="1" t="s">
        <v>112</v>
      </c>
      <c r="O5" s="1" t="s">
        <v>113</v>
      </c>
      <c r="P5" s="1" t="s">
        <v>124</v>
      </c>
      <c r="Q5" s="21">
        <v>42402</v>
      </c>
    </row>
    <row r="6" spans="1:17" x14ac:dyDescent="0.25">
      <c r="A6" s="21">
        <v>42391</v>
      </c>
      <c r="B6" s="1" t="s">
        <v>125</v>
      </c>
      <c r="C6" s="1" t="s">
        <v>126</v>
      </c>
      <c r="D6" s="1" t="s">
        <v>108</v>
      </c>
      <c r="E6" s="1" t="s">
        <v>127</v>
      </c>
      <c r="F6" s="1"/>
      <c r="G6" s="1">
        <v>2019</v>
      </c>
      <c r="H6" s="1" t="s">
        <v>128</v>
      </c>
      <c r="I6" s="1" t="s">
        <v>129</v>
      </c>
      <c r="J6" s="1">
        <v>45</v>
      </c>
      <c r="K6" s="1"/>
      <c r="L6" s="1">
        <v>500</v>
      </c>
      <c r="M6" s="1"/>
      <c r="N6" s="1" t="s">
        <v>130</v>
      </c>
      <c r="O6" s="1" t="s">
        <v>131</v>
      </c>
      <c r="P6" s="1" t="s">
        <v>132</v>
      </c>
      <c r="Q6" s="1"/>
    </row>
    <row r="7" spans="1:17" x14ac:dyDescent="0.25">
      <c r="A7" s="21">
        <v>42601</v>
      </c>
      <c r="B7" s="1" t="s">
        <v>133</v>
      </c>
      <c r="C7" s="1" t="s">
        <v>107</v>
      </c>
      <c r="D7" s="1" t="s">
        <v>134</v>
      </c>
      <c r="E7" s="1" t="s">
        <v>135</v>
      </c>
      <c r="F7" s="1"/>
      <c r="G7" s="1">
        <v>2019</v>
      </c>
      <c r="H7" s="1" t="s">
        <v>136</v>
      </c>
      <c r="I7" s="1" t="s">
        <v>137</v>
      </c>
      <c r="J7" s="1">
        <v>167.4</v>
      </c>
      <c r="K7" s="1"/>
      <c r="L7" s="1">
        <v>475</v>
      </c>
      <c r="M7" s="1"/>
      <c r="N7" s="1" t="s">
        <v>112</v>
      </c>
      <c r="O7" s="1" t="s">
        <v>113</v>
      </c>
      <c r="P7" s="1" t="s">
        <v>138</v>
      </c>
      <c r="Q7" s="21">
        <v>42598</v>
      </c>
    </row>
    <row r="8" spans="1:17" x14ac:dyDescent="0.25">
      <c r="A8" s="21">
        <v>42612</v>
      </c>
      <c r="B8" s="1" t="s">
        <v>139</v>
      </c>
      <c r="C8" s="1" t="s">
        <v>140</v>
      </c>
      <c r="D8" s="1" t="s">
        <v>108</v>
      </c>
      <c r="E8" s="1" t="s">
        <v>135</v>
      </c>
      <c r="F8" s="1"/>
      <c r="G8" s="1">
        <v>2019</v>
      </c>
      <c r="H8" s="1" t="s">
        <v>118</v>
      </c>
      <c r="I8" s="1" t="s">
        <v>129</v>
      </c>
      <c r="J8" s="1">
        <v>123</v>
      </c>
      <c r="K8" s="1"/>
      <c r="L8" s="1">
        <v>300</v>
      </c>
      <c r="M8" s="1"/>
      <c r="N8" s="1" t="s">
        <v>112</v>
      </c>
      <c r="O8" s="1" t="s">
        <v>113</v>
      </c>
      <c r="P8" s="1" t="s">
        <v>141</v>
      </c>
      <c r="Q8" s="21">
        <v>42601</v>
      </c>
    </row>
    <row r="9" spans="1:17" x14ac:dyDescent="0.25">
      <c r="A9" s="21">
        <v>42614</v>
      </c>
      <c r="B9" s="1" t="s">
        <v>142</v>
      </c>
      <c r="C9" s="1" t="s">
        <v>143</v>
      </c>
      <c r="D9" s="1" t="s">
        <v>116</v>
      </c>
      <c r="E9" s="1" t="s">
        <v>127</v>
      </c>
      <c r="F9" s="1"/>
      <c r="G9" s="1">
        <v>2018</v>
      </c>
      <c r="H9" s="1" t="s">
        <v>144</v>
      </c>
      <c r="I9" s="1" t="s">
        <v>145</v>
      </c>
      <c r="J9" s="1">
        <v>500</v>
      </c>
      <c r="K9" s="1">
        <v>320</v>
      </c>
      <c r="L9" s="22">
        <v>1200</v>
      </c>
      <c r="M9" s="1"/>
      <c r="N9" s="1" t="s">
        <v>112</v>
      </c>
      <c r="O9" s="1" t="s">
        <v>113</v>
      </c>
      <c r="P9" s="1" t="s">
        <v>132</v>
      </c>
      <c r="Q9" s="1"/>
    </row>
    <row r="10" spans="1:17" x14ac:dyDescent="0.25">
      <c r="A10" s="21">
        <v>42434</v>
      </c>
      <c r="B10" s="1" t="s">
        <v>146</v>
      </c>
      <c r="C10" s="1" t="s">
        <v>147</v>
      </c>
      <c r="D10" s="1" t="s">
        <v>134</v>
      </c>
      <c r="E10" s="1" t="s">
        <v>148</v>
      </c>
      <c r="F10" s="1"/>
      <c r="G10" s="1">
        <v>2018</v>
      </c>
      <c r="H10" s="1" t="s">
        <v>149</v>
      </c>
      <c r="I10" s="1" t="s">
        <v>150</v>
      </c>
      <c r="J10" s="1">
        <v>149</v>
      </c>
      <c r="K10" s="1"/>
      <c r="L10" s="22">
        <v>750</v>
      </c>
      <c r="M10" s="1"/>
      <c r="N10" s="1" t="s">
        <v>112</v>
      </c>
      <c r="O10" s="1" t="s">
        <v>113</v>
      </c>
      <c r="P10" s="1" t="s">
        <v>151</v>
      </c>
      <c r="Q10" s="21">
        <v>42583</v>
      </c>
    </row>
    <row r="11" spans="1:17" x14ac:dyDescent="0.25">
      <c r="A11" s="21">
        <v>42613</v>
      </c>
      <c r="B11" s="1" t="s">
        <v>152</v>
      </c>
      <c r="C11" s="1" t="s">
        <v>152</v>
      </c>
      <c r="D11" s="1" t="s">
        <v>116</v>
      </c>
      <c r="E11" s="1" t="s">
        <v>135</v>
      </c>
      <c r="F11" s="1"/>
      <c r="G11" s="1">
        <v>2018</v>
      </c>
      <c r="H11" s="1" t="s">
        <v>153</v>
      </c>
      <c r="I11" s="1" t="s">
        <v>154</v>
      </c>
      <c r="J11" s="1">
        <v>5000</v>
      </c>
      <c r="K11" s="1">
        <v>550</v>
      </c>
      <c r="L11" s="1">
        <v>1500</v>
      </c>
      <c r="M11" s="1">
        <v>423620</v>
      </c>
      <c r="N11" s="1" t="s">
        <v>112</v>
      </c>
      <c r="O11" s="1" t="s">
        <v>113</v>
      </c>
      <c r="P11" s="1" t="s">
        <v>155</v>
      </c>
      <c r="Q11" s="21">
        <v>43021</v>
      </c>
    </row>
    <row r="12" spans="1:17" x14ac:dyDescent="0.25">
      <c r="A12" s="21">
        <v>42724</v>
      </c>
      <c r="B12" s="1" t="s">
        <v>156</v>
      </c>
      <c r="C12" s="1" t="s">
        <v>140</v>
      </c>
      <c r="D12" s="1" t="s">
        <v>134</v>
      </c>
      <c r="E12" s="1" t="s">
        <v>148</v>
      </c>
      <c r="F12" s="1"/>
      <c r="G12" s="1">
        <v>2018</v>
      </c>
      <c r="H12" s="1" t="s">
        <v>157</v>
      </c>
      <c r="I12" s="1" t="s">
        <v>154</v>
      </c>
      <c r="J12" s="1">
        <v>170</v>
      </c>
      <c r="K12" s="1">
        <v>2.4</v>
      </c>
      <c r="L12" s="1">
        <v>900</v>
      </c>
      <c r="M12" s="1"/>
      <c r="N12" s="1" t="s">
        <v>112</v>
      </c>
      <c r="O12" s="1" t="s">
        <v>113</v>
      </c>
      <c r="P12" s="1" t="s">
        <v>158</v>
      </c>
      <c r="Q12" s="21">
        <v>42719</v>
      </c>
    </row>
    <row r="13" spans="1:17" x14ac:dyDescent="0.25">
      <c r="A13" s="21">
        <v>42613</v>
      </c>
      <c r="B13" s="1" t="s">
        <v>159</v>
      </c>
      <c r="C13" s="1" t="s">
        <v>160</v>
      </c>
      <c r="D13" s="1" t="s">
        <v>108</v>
      </c>
      <c r="E13" s="1" t="s">
        <v>135</v>
      </c>
      <c r="F13" s="1"/>
      <c r="G13" s="1">
        <v>2018</v>
      </c>
      <c r="H13" s="1" t="s">
        <v>161</v>
      </c>
      <c r="I13" s="1" t="s">
        <v>162</v>
      </c>
      <c r="J13" s="1">
        <v>500</v>
      </c>
      <c r="K13" s="1">
        <v>38</v>
      </c>
      <c r="L13" s="1">
        <v>1500</v>
      </c>
      <c r="M13" s="1">
        <v>3036</v>
      </c>
      <c r="N13" s="1" t="s">
        <v>112</v>
      </c>
      <c r="O13" s="1" t="s">
        <v>113</v>
      </c>
      <c r="P13" s="1" t="s">
        <v>163</v>
      </c>
      <c r="Q13" s="21">
        <v>42265</v>
      </c>
    </row>
    <row r="14" spans="1:17" x14ac:dyDescent="0.25">
      <c r="A14" s="21">
        <v>42608</v>
      </c>
      <c r="B14" s="1" t="s">
        <v>164</v>
      </c>
      <c r="C14" s="1" t="s">
        <v>165</v>
      </c>
      <c r="D14" s="1" t="s">
        <v>166</v>
      </c>
      <c r="E14" s="1" t="s">
        <v>148</v>
      </c>
      <c r="F14" s="1"/>
      <c r="G14" s="1">
        <v>2018</v>
      </c>
      <c r="H14" s="1" t="s">
        <v>118</v>
      </c>
      <c r="I14" s="1" t="s">
        <v>129</v>
      </c>
      <c r="J14" s="1">
        <v>500</v>
      </c>
      <c r="K14" s="1">
        <v>23</v>
      </c>
      <c r="L14" s="1">
        <v>2250</v>
      </c>
      <c r="M14" s="1">
        <v>48</v>
      </c>
      <c r="N14" s="1" t="s">
        <v>112</v>
      </c>
      <c r="O14" s="1" t="s">
        <v>113</v>
      </c>
      <c r="P14" s="1" t="s">
        <v>167</v>
      </c>
      <c r="Q14" s="21">
        <v>42003</v>
      </c>
    </row>
    <row r="15" spans="1:17" x14ac:dyDescent="0.25">
      <c r="A15" s="21">
        <v>41896</v>
      </c>
      <c r="B15" s="1" t="s">
        <v>168</v>
      </c>
      <c r="C15" s="1" t="s">
        <v>107</v>
      </c>
      <c r="D15" s="1" t="s">
        <v>108</v>
      </c>
      <c r="E15" s="1" t="s">
        <v>127</v>
      </c>
      <c r="F15" s="1"/>
      <c r="G15" s="1">
        <v>2018</v>
      </c>
      <c r="H15" s="1" t="s">
        <v>169</v>
      </c>
      <c r="I15" s="1" t="s">
        <v>170</v>
      </c>
      <c r="J15" s="1">
        <v>500</v>
      </c>
      <c r="K15" s="1"/>
      <c r="L15" s="22">
        <v>2000</v>
      </c>
      <c r="M15" s="1"/>
      <c r="N15" s="1" t="s">
        <v>112</v>
      </c>
      <c r="O15" s="1" t="s">
        <v>113</v>
      </c>
      <c r="P15" s="1" t="s">
        <v>132</v>
      </c>
      <c r="Q15" s="1"/>
    </row>
    <row r="16" spans="1:17" x14ac:dyDescent="0.25">
      <c r="A16" s="21">
        <v>42619</v>
      </c>
      <c r="B16" s="1" t="s">
        <v>171</v>
      </c>
      <c r="C16" s="1" t="s">
        <v>172</v>
      </c>
      <c r="D16" s="1" t="s">
        <v>134</v>
      </c>
      <c r="E16" s="1" t="s">
        <v>135</v>
      </c>
      <c r="F16" s="1"/>
      <c r="G16" s="1">
        <v>2018</v>
      </c>
      <c r="H16" s="1" t="s">
        <v>173</v>
      </c>
      <c r="I16" s="1" t="s">
        <v>162</v>
      </c>
      <c r="J16" s="1">
        <v>850</v>
      </c>
      <c r="K16" s="1">
        <v>29</v>
      </c>
      <c r="L16" s="1">
        <v>1300</v>
      </c>
      <c r="M16" s="1"/>
      <c r="N16" s="1" t="s">
        <v>112</v>
      </c>
      <c r="O16" s="1" t="s">
        <v>113</v>
      </c>
      <c r="P16" s="1" t="s">
        <v>174</v>
      </c>
      <c r="Q16" s="21">
        <v>42368</v>
      </c>
    </row>
    <row r="17" spans="1:17" x14ac:dyDescent="0.25">
      <c r="A17" s="21">
        <v>42612</v>
      </c>
      <c r="B17" s="1" t="s">
        <v>175</v>
      </c>
      <c r="C17" s="1" t="s">
        <v>176</v>
      </c>
      <c r="D17" s="1" t="s">
        <v>166</v>
      </c>
      <c r="E17" s="1" t="s">
        <v>109</v>
      </c>
      <c r="F17" s="1"/>
      <c r="G17" s="1">
        <v>2018</v>
      </c>
      <c r="H17" s="1" t="s">
        <v>118</v>
      </c>
      <c r="I17" s="1" t="s">
        <v>129</v>
      </c>
      <c r="J17" s="22">
        <v>720</v>
      </c>
      <c r="K17" s="1">
        <v>65</v>
      </c>
      <c r="L17" s="22">
        <v>1400</v>
      </c>
      <c r="M17" s="1">
        <v>3642</v>
      </c>
      <c r="N17" s="1" t="s">
        <v>112</v>
      </c>
      <c r="O17" s="1" t="s">
        <v>113</v>
      </c>
      <c r="P17" s="1" t="s">
        <v>177</v>
      </c>
      <c r="Q17" s="21">
        <v>42541</v>
      </c>
    </row>
    <row r="18" spans="1:17" x14ac:dyDescent="0.25">
      <c r="A18" s="21">
        <v>41855</v>
      </c>
      <c r="B18" s="1" t="s">
        <v>178</v>
      </c>
      <c r="C18" s="1" t="s">
        <v>179</v>
      </c>
      <c r="D18" s="1" t="s">
        <v>108</v>
      </c>
      <c r="E18" s="1" t="s">
        <v>127</v>
      </c>
      <c r="F18" s="1"/>
      <c r="G18" s="1">
        <v>2018</v>
      </c>
      <c r="H18" s="1" t="s">
        <v>180</v>
      </c>
      <c r="I18" s="1" t="s">
        <v>162</v>
      </c>
      <c r="J18" s="1"/>
      <c r="K18" s="1"/>
      <c r="L18" s="1">
        <v>1000</v>
      </c>
      <c r="M18" s="1"/>
      <c r="N18" s="1" t="s">
        <v>112</v>
      </c>
      <c r="O18" s="1" t="s">
        <v>113</v>
      </c>
      <c r="P18" s="1" t="s">
        <v>132</v>
      </c>
      <c r="Q18" s="1"/>
    </row>
    <row r="19" spans="1:17" x14ac:dyDescent="0.25">
      <c r="A19" s="21">
        <v>42619</v>
      </c>
      <c r="B19" s="1" t="s">
        <v>181</v>
      </c>
      <c r="C19" s="1" t="s">
        <v>182</v>
      </c>
      <c r="D19" s="1" t="s">
        <v>116</v>
      </c>
      <c r="E19" s="1" t="s">
        <v>135</v>
      </c>
      <c r="F19" s="1"/>
      <c r="G19" s="1">
        <v>2018</v>
      </c>
      <c r="H19" s="1" t="s">
        <v>153</v>
      </c>
      <c r="I19" s="1" t="s">
        <v>154</v>
      </c>
      <c r="J19" s="1">
        <v>3500</v>
      </c>
      <c r="K19" s="1">
        <v>330</v>
      </c>
      <c r="L19" s="1">
        <v>2000</v>
      </c>
      <c r="M19" s="1"/>
      <c r="N19" s="1" t="s">
        <v>112</v>
      </c>
      <c r="O19" s="1" t="s">
        <v>113</v>
      </c>
      <c r="P19" s="1" t="s">
        <v>183</v>
      </c>
      <c r="Q19" s="21">
        <v>42303</v>
      </c>
    </row>
    <row r="20" spans="1:17" x14ac:dyDescent="0.25">
      <c r="A20" s="21">
        <v>42604</v>
      </c>
      <c r="B20" s="1" t="s">
        <v>184</v>
      </c>
      <c r="C20" s="1" t="s">
        <v>179</v>
      </c>
      <c r="D20" s="1" t="s">
        <v>134</v>
      </c>
      <c r="E20" s="1" t="s">
        <v>135</v>
      </c>
      <c r="F20" s="1"/>
      <c r="G20" s="1">
        <v>2018</v>
      </c>
      <c r="H20" s="1" t="s">
        <v>185</v>
      </c>
      <c r="I20" s="1" t="s">
        <v>162</v>
      </c>
      <c r="J20" s="1">
        <v>185</v>
      </c>
      <c r="K20" s="1">
        <v>5</v>
      </c>
      <c r="L20" s="1">
        <v>950</v>
      </c>
      <c r="M20" s="1"/>
      <c r="N20" s="1" t="s">
        <v>112</v>
      </c>
      <c r="O20" s="1" t="s">
        <v>113</v>
      </c>
      <c r="P20" s="1" t="s">
        <v>186</v>
      </c>
      <c r="Q20" s="21">
        <v>42328</v>
      </c>
    </row>
    <row r="21" spans="1:17" x14ac:dyDescent="0.25">
      <c r="A21" s="21">
        <v>42612</v>
      </c>
      <c r="B21" s="1" t="s">
        <v>187</v>
      </c>
      <c r="C21" s="1" t="s">
        <v>188</v>
      </c>
      <c r="D21" s="1" t="s">
        <v>108</v>
      </c>
      <c r="E21" s="1" t="s">
        <v>127</v>
      </c>
      <c r="F21" s="1"/>
      <c r="G21" s="1">
        <v>2018</v>
      </c>
      <c r="H21" s="1" t="s">
        <v>189</v>
      </c>
      <c r="I21" s="1" t="s">
        <v>129</v>
      </c>
      <c r="J21" s="1">
        <v>300</v>
      </c>
      <c r="K21" s="1">
        <v>247</v>
      </c>
      <c r="L21" s="1">
        <v>1400</v>
      </c>
      <c r="M21" s="1">
        <v>36</v>
      </c>
      <c r="N21" s="1" t="s">
        <v>112</v>
      </c>
      <c r="O21" s="1" t="s">
        <v>113</v>
      </c>
      <c r="P21" s="1" t="s">
        <v>190</v>
      </c>
      <c r="Q21" s="21" t="e">
        <v>#N/A</v>
      </c>
    </row>
    <row r="22" spans="1:17" x14ac:dyDescent="0.25">
      <c r="A22" s="21">
        <v>42619</v>
      </c>
      <c r="B22" s="1" t="s">
        <v>191</v>
      </c>
      <c r="C22" s="1" t="s">
        <v>192</v>
      </c>
      <c r="D22" s="1" t="s">
        <v>134</v>
      </c>
      <c r="E22" s="1" t="s">
        <v>109</v>
      </c>
      <c r="F22" s="1"/>
      <c r="G22" s="1">
        <v>2018</v>
      </c>
      <c r="H22" s="1" t="s">
        <v>193</v>
      </c>
      <c r="I22" s="1" t="s">
        <v>129</v>
      </c>
      <c r="J22" s="1">
        <v>202</v>
      </c>
      <c r="K22" s="1"/>
      <c r="L22" s="22">
        <v>1362</v>
      </c>
      <c r="M22" s="1"/>
      <c r="N22" s="1" t="s">
        <v>112</v>
      </c>
      <c r="O22" s="1" t="s">
        <v>113</v>
      </c>
      <c r="P22" s="1" t="s">
        <v>194</v>
      </c>
      <c r="Q22" s="21">
        <v>42475</v>
      </c>
    </row>
    <row r="23" spans="1:17" x14ac:dyDescent="0.25">
      <c r="A23" s="21">
        <v>42612</v>
      </c>
      <c r="B23" s="1" t="s">
        <v>195</v>
      </c>
      <c r="C23" s="1" t="s">
        <v>196</v>
      </c>
      <c r="D23" s="1" t="s">
        <v>134</v>
      </c>
      <c r="E23" s="1" t="s">
        <v>148</v>
      </c>
      <c r="F23" s="1"/>
      <c r="G23" s="1">
        <v>2018</v>
      </c>
      <c r="H23" s="1" t="s">
        <v>193</v>
      </c>
      <c r="I23" s="1" t="s">
        <v>129</v>
      </c>
      <c r="J23" s="1">
        <v>138</v>
      </c>
      <c r="K23" s="1">
        <v>21</v>
      </c>
      <c r="L23" s="22">
        <v>900</v>
      </c>
      <c r="M23" s="1">
        <v>36</v>
      </c>
      <c r="N23" s="1" t="s">
        <v>112</v>
      </c>
      <c r="O23" s="1" t="s">
        <v>113</v>
      </c>
      <c r="P23" s="1" t="s">
        <v>197</v>
      </c>
      <c r="Q23" s="21">
        <v>41809</v>
      </c>
    </row>
    <row r="24" spans="1:17" x14ac:dyDescent="0.25">
      <c r="A24" s="21">
        <v>42619</v>
      </c>
      <c r="B24" s="1" t="s">
        <v>198</v>
      </c>
      <c r="C24" s="1" t="s">
        <v>160</v>
      </c>
      <c r="D24" s="1" t="s">
        <v>108</v>
      </c>
      <c r="E24" s="1" t="s">
        <v>109</v>
      </c>
      <c r="F24" s="1"/>
      <c r="G24" s="1">
        <v>2018</v>
      </c>
      <c r="H24" s="1" t="s">
        <v>199</v>
      </c>
      <c r="I24" s="1" t="s">
        <v>162</v>
      </c>
      <c r="J24" s="1">
        <v>210</v>
      </c>
      <c r="K24" s="1"/>
      <c r="L24" s="1">
        <v>155</v>
      </c>
      <c r="M24" s="1"/>
      <c r="N24" s="1" t="s">
        <v>112</v>
      </c>
      <c r="O24" s="1" t="s">
        <v>113</v>
      </c>
      <c r="P24" s="1" t="s">
        <v>200</v>
      </c>
      <c r="Q24" s="21">
        <v>42611</v>
      </c>
    </row>
    <row r="25" spans="1:17" x14ac:dyDescent="0.25">
      <c r="A25" s="21">
        <v>42613</v>
      </c>
      <c r="B25" s="1" t="s">
        <v>201</v>
      </c>
      <c r="C25" s="1" t="s">
        <v>107</v>
      </c>
      <c r="D25" s="1" t="s">
        <v>134</v>
      </c>
      <c r="E25" s="1" t="s">
        <v>148</v>
      </c>
      <c r="F25" s="23"/>
      <c r="G25" s="24">
        <v>2018</v>
      </c>
      <c r="H25" s="1" t="s">
        <v>202</v>
      </c>
      <c r="I25" s="1" t="s">
        <v>203</v>
      </c>
      <c r="J25" s="1">
        <v>2600</v>
      </c>
      <c r="K25" s="1">
        <v>180</v>
      </c>
      <c r="L25" s="1">
        <v>1700</v>
      </c>
      <c r="M25" s="1"/>
      <c r="N25" s="1" t="s">
        <v>112</v>
      </c>
      <c r="O25" s="1" t="s">
        <v>113</v>
      </c>
      <c r="P25" s="1" t="s">
        <v>204</v>
      </c>
      <c r="Q25" s="21" t="e">
        <v>#N/A</v>
      </c>
    </row>
    <row r="26" spans="1:17" x14ac:dyDescent="0.25">
      <c r="A26" s="21">
        <v>42601</v>
      </c>
      <c r="B26" s="1" t="s">
        <v>205</v>
      </c>
      <c r="C26" s="1" t="s">
        <v>107</v>
      </c>
      <c r="D26" s="1" t="s">
        <v>166</v>
      </c>
      <c r="E26" s="1" t="s">
        <v>148</v>
      </c>
      <c r="F26" s="1"/>
      <c r="G26" s="1">
        <v>2017</v>
      </c>
      <c r="H26" s="1" t="s">
        <v>206</v>
      </c>
      <c r="I26" s="1" t="s">
        <v>111</v>
      </c>
      <c r="J26" s="1">
        <v>471.9</v>
      </c>
      <c r="K26" s="1">
        <v>115</v>
      </c>
      <c r="L26" s="1">
        <v>448</v>
      </c>
      <c r="M26" s="1">
        <v>16</v>
      </c>
      <c r="N26" s="1" t="s">
        <v>112</v>
      </c>
      <c r="O26" s="1" t="s">
        <v>113</v>
      </c>
      <c r="P26" s="1" t="s">
        <v>207</v>
      </c>
      <c r="Q26" s="21">
        <v>42585</v>
      </c>
    </row>
    <row r="27" spans="1:17" x14ac:dyDescent="0.25">
      <c r="A27" s="21">
        <v>42613</v>
      </c>
      <c r="B27" s="1" t="s">
        <v>208</v>
      </c>
      <c r="C27" s="1" t="s">
        <v>107</v>
      </c>
      <c r="D27" s="1" t="s">
        <v>108</v>
      </c>
      <c r="E27" s="1" t="s">
        <v>148</v>
      </c>
      <c r="F27" s="1"/>
      <c r="G27" s="1">
        <v>2017</v>
      </c>
      <c r="H27" s="1" t="s">
        <v>110</v>
      </c>
      <c r="I27" s="1" t="s">
        <v>111</v>
      </c>
      <c r="J27" s="1">
        <v>300</v>
      </c>
      <c r="K27" s="1">
        <v>20</v>
      </c>
      <c r="L27" s="22">
        <v>818</v>
      </c>
      <c r="M27" s="1">
        <v>4248</v>
      </c>
      <c r="N27" s="1" t="s">
        <v>112</v>
      </c>
      <c r="O27" s="1" t="s">
        <v>113</v>
      </c>
      <c r="P27" s="1" t="s">
        <v>114</v>
      </c>
      <c r="Q27" s="21" t="e">
        <v>#N/A</v>
      </c>
    </row>
    <row r="28" spans="1:17" x14ac:dyDescent="0.25">
      <c r="A28" s="21">
        <v>42614</v>
      </c>
      <c r="B28" s="1" t="s">
        <v>209</v>
      </c>
      <c r="C28" s="1" t="s">
        <v>143</v>
      </c>
      <c r="D28" s="1" t="s">
        <v>134</v>
      </c>
      <c r="E28" s="1" t="s">
        <v>127</v>
      </c>
      <c r="F28" s="1"/>
      <c r="G28" s="1">
        <v>2017</v>
      </c>
      <c r="H28" s="1" t="s">
        <v>210</v>
      </c>
      <c r="I28" s="1" t="s">
        <v>162</v>
      </c>
      <c r="J28" s="1"/>
      <c r="K28" s="1"/>
      <c r="L28" s="1"/>
      <c r="M28" s="1"/>
      <c r="N28" s="1" t="s">
        <v>112</v>
      </c>
      <c r="O28" s="1" t="s">
        <v>113</v>
      </c>
      <c r="P28" s="1" t="s">
        <v>132</v>
      </c>
      <c r="Q28" s="1"/>
    </row>
    <row r="29" spans="1:17" x14ac:dyDescent="0.25">
      <c r="A29" s="21">
        <v>42614</v>
      </c>
      <c r="B29" s="1" t="s">
        <v>211</v>
      </c>
      <c r="C29" s="1" t="s">
        <v>172</v>
      </c>
      <c r="D29" s="1" t="s">
        <v>134</v>
      </c>
      <c r="E29" s="1" t="s">
        <v>148</v>
      </c>
      <c r="F29" s="23"/>
      <c r="G29" s="1">
        <v>2017</v>
      </c>
      <c r="H29" s="1" t="s">
        <v>212</v>
      </c>
      <c r="I29" s="1" t="s">
        <v>162</v>
      </c>
      <c r="J29" s="1">
        <v>1400</v>
      </c>
      <c r="K29" s="1">
        <v>160</v>
      </c>
      <c r="L29" s="1">
        <v>1530</v>
      </c>
      <c r="M29" s="1"/>
      <c r="N29" s="1" t="s">
        <v>112</v>
      </c>
      <c r="O29" s="1" t="s">
        <v>113</v>
      </c>
      <c r="P29" s="1" t="s">
        <v>213</v>
      </c>
      <c r="Q29" s="21">
        <v>42754</v>
      </c>
    </row>
    <row r="30" spans="1:17" x14ac:dyDescent="0.25">
      <c r="A30" s="21">
        <v>42614</v>
      </c>
      <c r="B30" s="1" t="s">
        <v>214</v>
      </c>
      <c r="C30" s="1" t="s">
        <v>172</v>
      </c>
      <c r="D30" s="1" t="s">
        <v>108</v>
      </c>
      <c r="E30" s="1" t="s">
        <v>135</v>
      </c>
      <c r="F30" s="1"/>
      <c r="G30" s="1">
        <v>2017</v>
      </c>
      <c r="H30" s="1" t="s">
        <v>215</v>
      </c>
      <c r="I30" s="1" t="s">
        <v>162</v>
      </c>
      <c r="J30" s="22"/>
      <c r="K30" s="1">
        <v>165</v>
      </c>
      <c r="L30" s="22">
        <v>2500</v>
      </c>
      <c r="M30" s="1"/>
      <c r="N30" s="1" t="s">
        <v>112</v>
      </c>
      <c r="O30" s="1" t="s">
        <v>113</v>
      </c>
      <c r="P30" s="1" t="s">
        <v>216</v>
      </c>
      <c r="Q30" s="21">
        <v>42242</v>
      </c>
    </row>
    <row r="31" spans="1:17" x14ac:dyDescent="0.25">
      <c r="A31" s="21">
        <v>42612</v>
      </c>
      <c r="B31" s="1" t="s">
        <v>217</v>
      </c>
      <c r="C31" s="1" t="s">
        <v>140</v>
      </c>
      <c r="D31" s="1" t="s">
        <v>108</v>
      </c>
      <c r="E31" s="1" t="s">
        <v>148</v>
      </c>
      <c r="F31" s="25"/>
      <c r="G31" s="1">
        <v>2017</v>
      </c>
      <c r="H31" s="1" t="s">
        <v>218</v>
      </c>
      <c r="I31" s="1" t="s">
        <v>111</v>
      </c>
      <c r="J31" s="22">
        <v>407</v>
      </c>
      <c r="K31" s="1"/>
      <c r="L31" s="22">
        <v>200</v>
      </c>
      <c r="M31" s="1"/>
      <c r="N31" s="1" t="s">
        <v>112</v>
      </c>
      <c r="O31" s="1" t="s">
        <v>113</v>
      </c>
      <c r="P31" s="1" t="s">
        <v>219</v>
      </c>
      <c r="Q31" s="21">
        <v>42619</v>
      </c>
    </row>
    <row r="32" spans="1:17" x14ac:dyDescent="0.25">
      <c r="A32" s="21">
        <v>42611</v>
      </c>
      <c r="B32" s="1" t="s">
        <v>220</v>
      </c>
      <c r="C32" s="1" t="s">
        <v>221</v>
      </c>
      <c r="D32" s="1" t="s">
        <v>134</v>
      </c>
      <c r="E32" s="1" t="s">
        <v>109</v>
      </c>
      <c r="F32" s="1"/>
      <c r="G32" s="1">
        <v>2017</v>
      </c>
      <c r="H32" s="1" t="s">
        <v>193</v>
      </c>
      <c r="I32" s="1" t="s">
        <v>222</v>
      </c>
      <c r="J32" s="1">
        <v>310</v>
      </c>
      <c r="K32" s="1">
        <v>34</v>
      </c>
      <c r="L32" s="1">
        <v>800</v>
      </c>
      <c r="M32" s="1">
        <v>3630</v>
      </c>
      <c r="N32" s="1" t="s">
        <v>112</v>
      </c>
      <c r="O32" s="1" t="s">
        <v>113</v>
      </c>
      <c r="P32" s="1" t="s">
        <v>223</v>
      </c>
      <c r="Q32" s="21" t="e">
        <v>#N/A</v>
      </c>
    </row>
    <row r="33" spans="1:17" x14ac:dyDescent="0.25">
      <c r="A33" s="21">
        <v>42619</v>
      </c>
      <c r="B33" s="1" t="s">
        <v>224</v>
      </c>
      <c r="C33" s="1" t="s">
        <v>107</v>
      </c>
      <c r="D33" s="1" t="s">
        <v>166</v>
      </c>
      <c r="E33" s="1" t="s">
        <v>109</v>
      </c>
      <c r="F33" s="1"/>
      <c r="G33" s="1">
        <v>2017</v>
      </c>
      <c r="H33" s="1" t="s">
        <v>193</v>
      </c>
      <c r="I33" s="1" t="s">
        <v>129</v>
      </c>
      <c r="J33" s="1">
        <v>278</v>
      </c>
      <c r="K33" s="1">
        <v>7</v>
      </c>
      <c r="L33" s="1">
        <v>1200</v>
      </c>
      <c r="M33" s="1">
        <v>36</v>
      </c>
      <c r="N33" s="1" t="s">
        <v>112</v>
      </c>
      <c r="O33" s="1" t="s">
        <v>113</v>
      </c>
      <c r="P33" s="1" t="s">
        <v>225</v>
      </c>
      <c r="Q33" s="21">
        <v>42298</v>
      </c>
    </row>
    <row r="34" spans="1:17" x14ac:dyDescent="0.25">
      <c r="A34" s="21">
        <v>42613</v>
      </c>
      <c r="B34" s="1" t="s">
        <v>226</v>
      </c>
      <c r="C34" s="1" t="s">
        <v>179</v>
      </c>
      <c r="D34" s="1" t="s">
        <v>134</v>
      </c>
      <c r="E34" s="1" t="s">
        <v>135</v>
      </c>
      <c r="F34" s="1"/>
      <c r="G34" s="1">
        <v>2017</v>
      </c>
      <c r="H34" s="1" t="s">
        <v>227</v>
      </c>
      <c r="I34" s="1" t="s">
        <v>228</v>
      </c>
      <c r="J34" s="1">
        <v>130</v>
      </c>
      <c r="K34" s="1"/>
      <c r="L34" s="1">
        <v>400</v>
      </c>
      <c r="M34" s="1"/>
      <c r="N34" s="1" t="s">
        <v>112</v>
      </c>
      <c r="O34" s="1" t="s">
        <v>113</v>
      </c>
      <c r="P34" s="1" t="s">
        <v>229</v>
      </c>
      <c r="Q34" s="21">
        <v>42146</v>
      </c>
    </row>
    <row r="35" spans="1:17" x14ac:dyDescent="0.25">
      <c r="A35" s="21">
        <v>42613</v>
      </c>
      <c r="B35" s="1" t="s">
        <v>230</v>
      </c>
      <c r="C35" s="1" t="s">
        <v>231</v>
      </c>
      <c r="D35" s="1" t="s">
        <v>116</v>
      </c>
      <c r="E35" s="1" t="s">
        <v>148</v>
      </c>
      <c r="F35" s="1"/>
      <c r="G35" s="1">
        <v>2017</v>
      </c>
      <c r="H35" s="1" t="s">
        <v>232</v>
      </c>
      <c r="I35" s="1" t="s">
        <v>233</v>
      </c>
      <c r="J35" s="1">
        <v>550</v>
      </c>
      <c r="K35" s="1">
        <v>126</v>
      </c>
      <c r="L35" s="22">
        <v>600</v>
      </c>
      <c r="M35" s="1">
        <v>36</v>
      </c>
      <c r="N35" s="1" t="s">
        <v>234</v>
      </c>
      <c r="O35" s="1" t="s">
        <v>113</v>
      </c>
      <c r="P35" s="1" t="s">
        <v>235</v>
      </c>
      <c r="Q35" s="21">
        <v>42402</v>
      </c>
    </row>
    <row r="36" spans="1:17" x14ac:dyDescent="0.25">
      <c r="A36" s="21">
        <v>42598</v>
      </c>
      <c r="B36" s="1" t="s">
        <v>236</v>
      </c>
      <c r="C36" s="1" t="s">
        <v>122</v>
      </c>
      <c r="D36" s="1" t="s">
        <v>116</v>
      </c>
      <c r="E36" s="1" t="s">
        <v>109</v>
      </c>
      <c r="F36" s="1"/>
      <c r="G36" s="1">
        <v>2017</v>
      </c>
      <c r="H36" s="1" t="s">
        <v>123</v>
      </c>
      <c r="I36" s="1" t="s">
        <v>111</v>
      </c>
      <c r="J36" s="22">
        <v>3200</v>
      </c>
      <c r="K36" s="1">
        <v>516.20000000000005</v>
      </c>
      <c r="L36" s="22">
        <v>830</v>
      </c>
      <c r="M36" s="1">
        <v>36</v>
      </c>
      <c r="N36" s="1" t="s">
        <v>234</v>
      </c>
      <c r="O36" s="1" t="s">
        <v>113</v>
      </c>
      <c r="P36" s="1" t="s">
        <v>124</v>
      </c>
      <c r="Q36" s="21">
        <v>42402</v>
      </c>
    </row>
    <row r="37" spans="1:17" x14ac:dyDescent="0.25">
      <c r="A37" s="21">
        <v>42613</v>
      </c>
      <c r="B37" s="1" t="s">
        <v>237</v>
      </c>
      <c r="C37" s="1" t="s">
        <v>237</v>
      </c>
      <c r="D37" s="1" t="s">
        <v>116</v>
      </c>
      <c r="E37" s="1" t="s">
        <v>127</v>
      </c>
      <c r="F37" s="1"/>
      <c r="G37" s="1">
        <v>2017</v>
      </c>
      <c r="H37" s="1" t="s">
        <v>238</v>
      </c>
      <c r="I37" s="1" t="s">
        <v>239</v>
      </c>
      <c r="J37" s="1">
        <v>1000</v>
      </c>
      <c r="K37" s="1">
        <v>140</v>
      </c>
      <c r="L37" s="1">
        <v>1500</v>
      </c>
      <c r="M37" s="1">
        <v>42</v>
      </c>
      <c r="N37" s="1" t="s">
        <v>112</v>
      </c>
      <c r="O37" s="1" t="s">
        <v>113</v>
      </c>
      <c r="P37" s="1" t="s">
        <v>132</v>
      </c>
      <c r="Q37" s="1"/>
    </row>
    <row r="38" spans="1:17" x14ac:dyDescent="0.25">
      <c r="A38" s="21">
        <v>42613</v>
      </c>
      <c r="B38" s="1" t="s">
        <v>240</v>
      </c>
      <c r="C38" s="1" t="s">
        <v>107</v>
      </c>
      <c r="D38" s="1" t="s">
        <v>108</v>
      </c>
      <c r="E38" s="1" t="s">
        <v>148</v>
      </c>
      <c r="F38" s="1"/>
      <c r="G38" s="1">
        <v>2018</v>
      </c>
      <c r="H38" s="1" t="s">
        <v>241</v>
      </c>
      <c r="I38" s="1" t="s">
        <v>162</v>
      </c>
      <c r="J38" s="1">
        <v>116</v>
      </c>
      <c r="K38" s="1"/>
      <c r="L38" s="1">
        <v>160</v>
      </c>
      <c r="M38" s="1"/>
      <c r="N38" s="1" t="s">
        <v>112</v>
      </c>
      <c r="O38" s="1" t="s">
        <v>113</v>
      </c>
      <c r="P38" s="1" t="s">
        <v>242</v>
      </c>
      <c r="Q38" s="21">
        <v>42467</v>
      </c>
    </row>
    <row r="39" spans="1:17" x14ac:dyDescent="0.25">
      <c r="A39" s="21">
        <v>42613</v>
      </c>
      <c r="B39" s="1" t="s">
        <v>243</v>
      </c>
      <c r="C39" s="1" t="s">
        <v>244</v>
      </c>
      <c r="D39" s="1" t="s">
        <v>166</v>
      </c>
      <c r="E39" s="1" t="s">
        <v>127</v>
      </c>
      <c r="F39" s="1"/>
      <c r="G39" s="1">
        <v>2017</v>
      </c>
      <c r="H39" s="1" t="s">
        <v>118</v>
      </c>
      <c r="I39" s="1" t="s">
        <v>222</v>
      </c>
      <c r="J39" s="1"/>
      <c r="K39" s="1">
        <v>79</v>
      </c>
      <c r="L39" s="1">
        <v>600</v>
      </c>
      <c r="M39" s="1">
        <v>3642</v>
      </c>
      <c r="N39" s="1" t="s">
        <v>130</v>
      </c>
      <c r="O39" s="1" t="s">
        <v>245</v>
      </c>
      <c r="P39" s="1" t="s">
        <v>132</v>
      </c>
      <c r="Q39" s="1"/>
    </row>
    <row r="40" spans="1:17" x14ac:dyDescent="0.25">
      <c r="A40" s="21">
        <v>42613</v>
      </c>
      <c r="B40" s="1" t="s">
        <v>246</v>
      </c>
      <c r="C40" s="1" t="s">
        <v>247</v>
      </c>
      <c r="D40" s="1" t="s">
        <v>108</v>
      </c>
      <c r="E40" s="1" t="s">
        <v>148</v>
      </c>
      <c r="F40" s="1"/>
      <c r="G40" s="1">
        <v>2017</v>
      </c>
      <c r="H40" s="1" t="s">
        <v>248</v>
      </c>
      <c r="I40" s="1" t="s">
        <v>162</v>
      </c>
      <c r="J40" s="1">
        <v>32</v>
      </c>
      <c r="K40" s="1">
        <v>10</v>
      </c>
      <c r="L40" s="1"/>
      <c r="M40" s="1">
        <v>16</v>
      </c>
      <c r="N40" s="1" t="s">
        <v>112</v>
      </c>
      <c r="O40" s="1" t="s">
        <v>113</v>
      </c>
      <c r="P40" s="1" t="s">
        <v>249</v>
      </c>
      <c r="Q40" s="21" t="e">
        <v>#N/A</v>
      </c>
    </row>
    <row r="41" spans="1:17" x14ac:dyDescent="0.25">
      <c r="A41" s="21">
        <v>42649</v>
      </c>
      <c r="B41" s="1" t="s">
        <v>250</v>
      </c>
      <c r="C41" s="1" t="s">
        <v>251</v>
      </c>
      <c r="D41" s="1" t="s">
        <v>108</v>
      </c>
      <c r="E41" s="1" t="s">
        <v>148</v>
      </c>
      <c r="F41" s="1"/>
      <c r="G41" s="1">
        <v>2017</v>
      </c>
      <c r="H41" s="1" t="s">
        <v>206</v>
      </c>
      <c r="I41" s="1" t="s">
        <v>111</v>
      </c>
      <c r="J41" s="1">
        <v>114</v>
      </c>
      <c r="K41" s="1"/>
      <c r="L41" s="1">
        <v>769</v>
      </c>
      <c r="M41" s="1"/>
      <c r="N41" s="1" t="s">
        <v>112</v>
      </c>
      <c r="O41" s="1" t="s">
        <v>113</v>
      </c>
      <c r="P41" s="1" t="s">
        <v>252</v>
      </c>
      <c r="Q41" s="21">
        <v>42522</v>
      </c>
    </row>
    <row r="42" spans="1:17" x14ac:dyDescent="0.25">
      <c r="A42" s="21">
        <v>42734</v>
      </c>
      <c r="B42" s="1" t="s">
        <v>253</v>
      </c>
      <c r="C42" s="1" t="s">
        <v>254</v>
      </c>
      <c r="D42" s="1" t="s">
        <v>134</v>
      </c>
      <c r="E42" s="1" t="s">
        <v>109</v>
      </c>
      <c r="F42" s="21"/>
      <c r="G42" s="1"/>
      <c r="H42" s="1" t="s">
        <v>227</v>
      </c>
      <c r="I42" s="1" t="s">
        <v>129</v>
      </c>
      <c r="J42" s="1">
        <v>383</v>
      </c>
      <c r="K42" s="1">
        <v>3</v>
      </c>
      <c r="L42" s="1">
        <v>2500</v>
      </c>
      <c r="M42" s="1">
        <v>42</v>
      </c>
      <c r="N42" s="1" t="s">
        <v>112</v>
      </c>
      <c r="O42" s="1" t="s">
        <v>113</v>
      </c>
      <c r="P42" s="1" t="s">
        <v>255</v>
      </c>
      <c r="Q42" s="21">
        <v>42725</v>
      </c>
    </row>
    <row r="43" spans="1:1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1:1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1:1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1:1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1:1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1:1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spans="1:1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1:1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spans="1:1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1:1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spans="1:1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spans="1:1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1:1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1:1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1:1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1:1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spans="1:1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1:17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spans="1:17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1:17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1:17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1:17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spans="1:17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1:17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1:17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1:17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1:17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1:17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1:17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1:17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1:17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1:17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1:17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1:17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1:17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1:17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1:17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1:17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1:17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1:17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1:17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1:17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1:17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1:17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1:17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1:17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1:17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1:17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1:17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1:17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1:17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1:17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1:17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1:17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1:17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1:17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1:17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1:17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1:1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1:17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1:1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1:1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1:1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1:1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1:1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1:1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1:1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1:1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1:1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1:1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1:1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1:1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1:1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spans="1:1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1:17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spans="1:1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1:17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1:1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1:17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1:1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spans="1:17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1:1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1:17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1:1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1:1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1:1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1:1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1:1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1:1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1:1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1:1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1:1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1:1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1:1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1:1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1:1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1:1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1:1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1:1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1:1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1:1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1:1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1:1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1:1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1:1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1:1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1:1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1:1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1:1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1:1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1:1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1:1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1:1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1:1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1:1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1:1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1:1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1:1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1:1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1:1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1:1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1:1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1:1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1:1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1:1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1:1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1:1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1:1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1:1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1:1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1:1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1:1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1:1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1:1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1:1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1:1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1:1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1:1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1:1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1:1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1:1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1:1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1:1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1:1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1:1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1:1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1:1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1:1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1:1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1:1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1:1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1:1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1:1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1:1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1:1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1:1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1:1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1:1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1:1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1:1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1:1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1:1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1:1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1:1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1:1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1:1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1:1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1:1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1:1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1:1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1:1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1:1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1:1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1:1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1:1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1:1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1:1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1:1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1:1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1:1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1:1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1:1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1:1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1:1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1:1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1:1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1:1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1:1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1:1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1:1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1:1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1:1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1:1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1:1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1:1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1:1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1:1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1:1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1:1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1:1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1:1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1:1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1:1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1:1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1:1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1:1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1:1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1:1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1:1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1:1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1:1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1:1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1:1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1:1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1:1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1:1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1:1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1:1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1:1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1:1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1:1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1:1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1:1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1:1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1:1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1:1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spans="1:1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1:1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1:1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1:1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1:1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1:1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1:1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1:1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1:1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1:1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1:1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1:1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1:1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1:1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1:1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1:1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1:1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1:1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1:1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1:1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1:1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1:1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1:1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1:1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1:1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1:1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1:1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1:1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1:1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1:1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1:1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1:1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1:1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1:1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1:1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1:1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1:1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1:1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1:1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1:1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1:1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1:1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1:1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1:1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1:1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1:1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1:1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1:1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1:1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1:1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1:1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1:1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1:1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1:1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spans="1:1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1:1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  <row r="375" spans="1:1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spans="1:1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</row>
    <row r="377" spans="1:1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spans="1:1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</row>
    <row r="379" spans="1:1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spans="1:1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spans="1:1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spans="1:1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</row>
    <row r="383" spans="1:1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  <row r="384" spans="1:1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</row>
    <row r="385" spans="1:1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</row>
    <row r="386" spans="1:1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</row>
    <row r="387" spans="1:1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</row>
    <row r="388" spans="1:1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</row>
    <row r="389" spans="1:1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</row>
    <row r="390" spans="1:1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</row>
    <row r="391" spans="1:1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</row>
    <row r="392" spans="1:1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</row>
    <row r="393" spans="1:1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</row>
    <row r="394" spans="1:1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</row>
    <row r="395" spans="1:1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</row>
    <row r="396" spans="1:1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</row>
    <row r="397" spans="1:1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spans="1:1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</row>
    <row r="399" spans="1:1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</row>
    <row r="400" spans="1:1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</row>
    <row r="401" spans="1:1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</row>
    <row r="402" spans="1:1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</row>
    <row r="403" spans="1:1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</row>
    <row r="404" spans="1:1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</row>
    <row r="405" spans="1:1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</row>
    <row r="406" spans="1:1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</row>
    <row r="407" spans="1:1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</row>
    <row r="408" spans="1:1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</row>
    <row r="409" spans="1:1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</row>
    <row r="410" spans="1:1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</row>
    <row r="411" spans="1:1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</row>
    <row r="412" spans="1:1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</row>
    <row r="413" spans="1:1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</row>
    <row r="414" spans="1:1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</row>
    <row r="415" spans="1:1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</row>
    <row r="416" spans="1:1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</row>
    <row r="417" spans="1:1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</row>
    <row r="418" spans="1:1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</row>
    <row r="419" spans="1:1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</row>
    <row r="420" spans="1:1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</row>
    <row r="421" spans="1:1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</row>
    <row r="422" spans="1:1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</row>
    <row r="423" spans="1:1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</row>
    <row r="424" spans="1:1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</row>
    <row r="425" spans="1:1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</row>
    <row r="426" spans="1:1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</row>
    <row r="427" spans="1:1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</row>
    <row r="428" spans="1:1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</row>
    <row r="429" spans="1:1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</row>
    <row r="430" spans="1:1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</row>
    <row r="431" spans="1:1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</row>
    <row r="432" spans="1:1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</row>
    <row r="433" spans="1:1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</row>
    <row r="434" spans="1:1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</row>
    <row r="435" spans="1:1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</row>
    <row r="436" spans="1:1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</row>
    <row r="437" spans="1:1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</row>
    <row r="438" spans="1:1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</row>
    <row r="439" spans="1:1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</row>
    <row r="440" spans="1:1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</row>
    <row r="441" spans="1:1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</row>
    <row r="442" spans="1:1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</row>
    <row r="443" spans="1:1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</row>
    <row r="444" spans="1:1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</row>
    <row r="445" spans="1:1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spans="1:1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spans="1:1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</row>
    <row r="448" spans="1:1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</row>
    <row r="449" spans="1:1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</row>
    <row r="450" spans="1:1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</row>
    <row r="451" spans="1:1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</row>
    <row r="452" spans="1:1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spans="1:1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spans="1:1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</row>
    <row r="455" spans="1:1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</row>
    <row r="456" spans="1:1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</row>
    <row r="457" spans="1:1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</row>
    <row r="458" spans="1:1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spans="1:1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spans="1:1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</row>
    <row r="461" spans="1:1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</row>
    <row r="462" spans="1:1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</row>
    <row r="463" spans="1:1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</row>
    <row r="464" spans="1:1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</row>
    <row r="465" spans="1:1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</row>
    <row r="466" spans="1:1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</row>
    <row r="467" spans="1:1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</row>
    <row r="468" spans="1:1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</row>
    <row r="469" spans="1:1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</row>
    <row r="470" spans="1:1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</row>
    <row r="471" spans="1:1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</row>
    <row r="472" spans="1:1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</row>
    <row r="473" spans="1:1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</row>
    <row r="474" spans="1:1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</row>
    <row r="475" spans="1:1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</row>
    <row r="476" spans="1:1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</row>
    <row r="477" spans="1:1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</row>
    <row r="478" spans="1:1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</row>
    <row r="479" spans="1:1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</row>
    <row r="480" spans="1:1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</row>
    <row r="481" spans="1:1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</row>
    <row r="482" spans="1:1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</row>
    <row r="483" spans="1:1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</row>
    <row r="484" spans="1:1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</row>
    <row r="485" spans="1:1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</row>
    <row r="486" spans="1:1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spans="1:1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</row>
    <row r="488" spans="1:1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</row>
    <row r="489" spans="1:1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</row>
    <row r="490" spans="1:1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</row>
    <row r="491" spans="1:1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</row>
    <row r="492" spans="1:1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</row>
    <row r="493" spans="1:1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</row>
    <row r="494" spans="1:1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</row>
    <row r="495" spans="1:1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</row>
    <row r="496" spans="1:1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</row>
    <row r="497" spans="1:1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</row>
    <row r="498" spans="1:1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</row>
    <row r="499" spans="1:1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</row>
    <row r="500" spans="1:1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</row>
    <row r="501" spans="1:1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</row>
    <row r="502" spans="1:1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</row>
    <row r="503" spans="1:1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</row>
    <row r="504" spans="1:1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</row>
    <row r="505" spans="1:1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</row>
    <row r="506" spans="1:1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</row>
    <row r="507" spans="1:1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</row>
    <row r="508" spans="1:1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</row>
    <row r="509" spans="1:1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</row>
    <row r="510" spans="1:1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</row>
    <row r="511" spans="1:1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</row>
    <row r="512" spans="1:1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</row>
    <row r="513" spans="1:1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</row>
    <row r="514" spans="1:1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</row>
    <row r="515" spans="1:1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</row>
    <row r="516" spans="1:1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</row>
    <row r="517" spans="1:1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</row>
    <row r="518" spans="1:1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</row>
    <row r="519" spans="1:1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</row>
    <row r="520" spans="1:1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</row>
    <row r="521" spans="1:1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</row>
    <row r="522" spans="1:1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</row>
    <row r="523" spans="1:1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</row>
    <row r="524" spans="1:1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</row>
    <row r="525" spans="1:1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</row>
    <row r="526" spans="1:1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</row>
    <row r="527" spans="1:1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</row>
    <row r="528" spans="1:1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</row>
    <row r="529" spans="1:1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</row>
    <row r="530" spans="1:1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</row>
    <row r="531" spans="1:1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</row>
    <row r="532" spans="1:1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</row>
    <row r="533" spans="1:1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</row>
    <row r="534" spans="1:1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</row>
    <row r="535" spans="1:1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</row>
    <row r="536" spans="1:1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</row>
    <row r="537" spans="1:1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</row>
    <row r="538" spans="1:1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</row>
    <row r="539" spans="1:1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</row>
    <row r="540" spans="1:1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</row>
    <row r="541" spans="1:1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</row>
    <row r="542" spans="1:1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</row>
    <row r="543" spans="1:1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</row>
    <row r="544" spans="1:1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</row>
    <row r="545" spans="1:1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</row>
    <row r="546" spans="1:1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</row>
    <row r="547" spans="1:1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</row>
    <row r="548" spans="1:1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</row>
    <row r="549" spans="1:1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</row>
    <row r="550" spans="1:1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</row>
    <row r="551" spans="1:1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</row>
    <row r="552" spans="1:1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</row>
    <row r="553" spans="1:1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</row>
    <row r="554" spans="1:1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</row>
    <row r="555" spans="1:1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</row>
    <row r="556" spans="1:1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</row>
    <row r="557" spans="1:1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</row>
    <row r="558" spans="1:1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</row>
    <row r="559" spans="1:1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</row>
    <row r="560" spans="1:1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</row>
    <row r="561" spans="1:1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</row>
    <row r="562" spans="1:1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</row>
    <row r="563" spans="1:1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</row>
    <row r="564" spans="1:1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</row>
    <row r="565" spans="1:1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</row>
    <row r="566" spans="1:1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</row>
    <row r="567" spans="1:1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</row>
    <row r="568" spans="1:1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</row>
    <row r="569" spans="1:1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</row>
    <row r="570" spans="1:1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</row>
    <row r="571" spans="1:1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</row>
    <row r="572" spans="1:1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</row>
    <row r="573" spans="1:1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</row>
    <row r="574" spans="1:1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</row>
    <row r="575" spans="1:1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</row>
    <row r="576" spans="1:1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</row>
    <row r="577" spans="1:1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</row>
    <row r="578" spans="1:1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</row>
    <row r="579" spans="1:1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</row>
    <row r="580" spans="1:1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</row>
    <row r="581" spans="1:1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</row>
    <row r="582" spans="1:1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</row>
    <row r="583" spans="1:1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</row>
    <row r="584" spans="1:1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</row>
    <row r="585" spans="1:1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</row>
    <row r="586" spans="1:1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</row>
    <row r="587" spans="1:1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</row>
    <row r="588" spans="1:1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</row>
    <row r="589" spans="1:1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</row>
    <row r="590" spans="1:1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</row>
    <row r="591" spans="1:1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</row>
    <row r="592" spans="1:1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</row>
    <row r="593" spans="1:1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</row>
    <row r="594" spans="1:1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</row>
    <row r="595" spans="1:1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</row>
    <row r="596" spans="1:1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</row>
    <row r="597" spans="1:1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</row>
    <row r="598" spans="1:1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</row>
    <row r="599" spans="1:1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</row>
    <row r="600" spans="1:1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</row>
    <row r="601" spans="1:1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</row>
    <row r="602" spans="1:1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</row>
    <row r="603" spans="1:1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</row>
    <row r="604" spans="1:1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</row>
    <row r="605" spans="1:1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</row>
    <row r="606" spans="1:1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</row>
    <row r="607" spans="1:1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</row>
    <row r="608" spans="1:1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</row>
    <row r="609" spans="1:1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</row>
    <row r="610" spans="1:1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</row>
    <row r="611" spans="1:1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</row>
    <row r="612" spans="1:1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</row>
    <row r="613" spans="1:1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</row>
    <row r="614" spans="1:1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</row>
    <row r="615" spans="1:1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</row>
    <row r="616" spans="1:1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</row>
    <row r="617" spans="1:1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</row>
    <row r="618" spans="1:1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</row>
    <row r="619" spans="1:1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</row>
    <row r="620" spans="1:1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</row>
    <row r="621" spans="1:1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</row>
    <row r="622" spans="1:1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</row>
    <row r="623" spans="1:1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</row>
    <row r="624" spans="1:1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</row>
    <row r="625" spans="1:1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</row>
    <row r="626" spans="1:1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</row>
    <row r="627" spans="1:1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</row>
    <row r="628" spans="1:1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</row>
    <row r="629" spans="1:1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</row>
    <row r="630" spans="1:1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</row>
    <row r="631" spans="1:1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</row>
    <row r="632" spans="1:1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</row>
    <row r="633" spans="1:1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</row>
    <row r="634" spans="1:1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</row>
    <row r="635" spans="1:1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</row>
    <row r="636" spans="1:1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</row>
    <row r="637" spans="1:1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</row>
    <row r="638" spans="1:1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</row>
    <row r="639" spans="1:1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</row>
    <row r="640" spans="1:1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</row>
    <row r="641" spans="1:1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</row>
    <row r="642" spans="1:1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</row>
    <row r="643" spans="1:1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</row>
    <row r="644" spans="1:1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</row>
    <row r="645" spans="1:1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</row>
    <row r="646" spans="1:1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</row>
    <row r="647" spans="1:1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</row>
    <row r="648" spans="1:1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</row>
    <row r="649" spans="1:1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</row>
    <row r="650" spans="1:1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</row>
    <row r="651" spans="1:1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</row>
    <row r="652" spans="1:1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</row>
    <row r="653" spans="1:1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</row>
    <row r="654" spans="1:1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</row>
    <row r="655" spans="1:1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</row>
    <row r="656" spans="1:1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</row>
    <row r="657" spans="1:1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</row>
    <row r="658" spans="1:1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</row>
    <row r="659" spans="1:1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</row>
    <row r="660" spans="1:1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</row>
    <row r="661" spans="1:1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</row>
    <row r="662" spans="1:1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</row>
    <row r="663" spans="1:1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</row>
    <row r="664" spans="1:1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</row>
    <row r="665" spans="1:1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</row>
    <row r="666" spans="1:1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</row>
    <row r="667" spans="1:1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</row>
    <row r="668" spans="1:1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</row>
    <row r="669" spans="1:1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</row>
    <row r="670" spans="1:1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</row>
    <row r="671" spans="1:1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</row>
    <row r="672" spans="1:1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</row>
    <row r="673" spans="1:1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</row>
    <row r="674" spans="1:1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</row>
    <row r="675" spans="1:1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</row>
    <row r="676" spans="1:1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</row>
    <row r="677" spans="1:1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</row>
    <row r="678" spans="1:1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</row>
    <row r="679" spans="1:1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</row>
    <row r="680" spans="1:1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</row>
    <row r="681" spans="1:1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</row>
    <row r="682" spans="1:1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</row>
    <row r="683" spans="1:1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</row>
    <row r="684" spans="1:1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</row>
    <row r="685" spans="1:1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</row>
    <row r="686" spans="1:1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</row>
    <row r="687" spans="1:1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</row>
    <row r="688" spans="1:1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</row>
    <row r="689" spans="1:1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</row>
    <row r="690" spans="1:1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</row>
    <row r="691" spans="1:1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</row>
    <row r="692" spans="1:1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</row>
    <row r="693" spans="1:1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</row>
    <row r="694" spans="1:1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</row>
    <row r="695" spans="1:1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</row>
    <row r="696" spans="1:1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</row>
    <row r="697" spans="1:1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</row>
    <row r="698" spans="1:1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</row>
    <row r="699" spans="1:1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</row>
    <row r="700" spans="1:1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</row>
    <row r="701" spans="1:1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</row>
    <row r="702" spans="1:1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</row>
    <row r="703" spans="1:1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</row>
    <row r="704" spans="1:1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</row>
    <row r="705" spans="1:1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</row>
    <row r="706" spans="1:1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</row>
    <row r="707" spans="1:1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</row>
    <row r="708" spans="1:1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</row>
    <row r="709" spans="1:1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</row>
    <row r="710" spans="1:1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</row>
    <row r="711" spans="1:1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</row>
    <row r="712" spans="1:1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</row>
    <row r="713" spans="1:1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</row>
    <row r="714" spans="1:1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</row>
    <row r="715" spans="1:1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</row>
    <row r="716" spans="1:1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</row>
    <row r="717" spans="1:1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</row>
    <row r="718" spans="1:1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</row>
    <row r="719" spans="1:1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</row>
    <row r="720" spans="1:1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</row>
    <row r="721" spans="1:1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</row>
    <row r="722" spans="1:1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</row>
    <row r="723" spans="1:1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</row>
    <row r="724" spans="1:1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</row>
    <row r="725" spans="1:1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</row>
    <row r="726" spans="1:1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</row>
    <row r="727" spans="1:1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</row>
    <row r="728" spans="1:1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</row>
    <row r="729" spans="1:1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</row>
    <row r="730" spans="1:1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</row>
    <row r="731" spans="1:1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</row>
    <row r="732" spans="1:1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</row>
    <row r="733" spans="1:1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</row>
    <row r="734" spans="1:1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</row>
    <row r="735" spans="1:1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</row>
    <row r="736" spans="1:1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</row>
    <row r="737" spans="1:1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</row>
    <row r="738" spans="1:1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</row>
    <row r="739" spans="1:1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</row>
    <row r="740" spans="1:1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</row>
    <row r="741" spans="1:1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</row>
    <row r="742" spans="1:1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</row>
    <row r="743" spans="1:1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</row>
    <row r="744" spans="1:1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</row>
    <row r="745" spans="1:1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</row>
    <row r="746" spans="1:1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</row>
    <row r="747" spans="1:1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</row>
    <row r="748" spans="1:1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</row>
    <row r="749" spans="1:1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</row>
    <row r="750" spans="1:1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</row>
    <row r="751" spans="1:1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</row>
    <row r="752" spans="1:1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</row>
    <row r="753" spans="1:1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</row>
    <row r="754" spans="1:1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</row>
    <row r="755" spans="1:1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</row>
    <row r="756" spans="1:1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</row>
    <row r="757" spans="1:1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</row>
    <row r="758" spans="1:1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</row>
    <row r="759" spans="1:1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</row>
    <row r="760" spans="1:1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</row>
    <row r="761" spans="1:1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</row>
    <row r="762" spans="1:1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</row>
    <row r="763" spans="1:1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</row>
    <row r="764" spans="1:1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</row>
    <row r="765" spans="1:1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</row>
    <row r="766" spans="1:1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</row>
    <row r="767" spans="1:1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</row>
    <row r="768" spans="1:1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</row>
    <row r="769" spans="1:1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</row>
    <row r="770" spans="1:1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</row>
    <row r="771" spans="1:1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</row>
    <row r="772" spans="1:1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</row>
    <row r="773" spans="1:1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</row>
    <row r="774" spans="1:1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</row>
    <row r="775" spans="1:1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</row>
    <row r="776" spans="1:1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</row>
    <row r="777" spans="1:1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</row>
    <row r="778" spans="1:1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</row>
    <row r="779" spans="1:1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</row>
    <row r="780" spans="1:1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</row>
    <row r="781" spans="1:1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</row>
    <row r="782" spans="1:1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</row>
    <row r="783" spans="1:1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</row>
    <row r="784" spans="1:1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</row>
    <row r="785" spans="1:1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</row>
    <row r="786" spans="1:1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</row>
    <row r="787" spans="1:1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</row>
    <row r="788" spans="1:1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</row>
    <row r="789" spans="1:1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</row>
    <row r="790" spans="1:1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</row>
    <row r="791" spans="1:1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</row>
    <row r="792" spans="1:1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</row>
    <row r="793" spans="1:1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</row>
    <row r="794" spans="1:1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</row>
    <row r="795" spans="1:1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</row>
    <row r="796" spans="1:1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</row>
    <row r="797" spans="1:1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</row>
    <row r="798" spans="1:1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</row>
    <row r="799" spans="1:1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</row>
    <row r="800" spans="1:1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</row>
    <row r="801" spans="1:1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</row>
    <row r="802" spans="1:1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</row>
    <row r="803" spans="1:1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</row>
    <row r="804" spans="1:1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</row>
    <row r="805" spans="1:1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</row>
    <row r="806" spans="1:1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</row>
    <row r="807" spans="1:1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</row>
    <row r="808" spans="1:1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</row>
    <row r="809" spans="1:1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</row>
    <row r="810" spans="1:1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</row>
    <row r="811" spans="1:1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</row>
    <row r="812" spans="1:1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</row>
    <row r="813" spans="1:1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</row>
    <row r="814" spans="1:1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</row>
    <row r="815" spans="1:1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</row>
    <row r="816" spans="1:1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spans="1:1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spans="1:1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spans="1:1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spans="1:1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spans="1:1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spans="1:1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spans="1:1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spans="1:1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spans="1:1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spans="1:1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spans="1:1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spans="1:1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spans="1:1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spans="1:1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spans="1:1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spans="1:1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spans="1:1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spans="1:1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  <row r="835" spans="1:1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</row>
    <row r="836" spans="1:1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</row>
    <row r="837" spans="1:1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</row>
    <row r="838" spans="1:1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</row>
    <row r="839" spans="1:1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</row>
    <row r="840" spans="1:1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</row>
    <row r="841" spans="1:1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</row>
    <row r="842" spans="1:1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</row>
    <row r="843" spans="1:1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</row>
    <row r="844" spans="1:1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</row>
    <row r="845" spans="1:1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</row>
    <row r="846" spans="1:1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</row>
    <row r="847" spans="1:1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</row>
    <row r="848" spans="1:1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</row>
    <row r="849" spans="1:1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</row>
    <row r="850" spans="1:1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</row>
    <row r="851" spans="1:1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</row>
    <row r="852" spans="1:1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</row>
    <row r="853" spans="1:1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</row>
    <row r="854" spans="1:1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</row>
    <row r="855" spans="1:1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</row>
    <row r="856" spans="1:1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</row>
    <row r="857" spans="1:1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</row>
    <row r="858" spans="1:1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</row>
    <row r="859" spans="1:1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</row>
    <row r="860" spans="1:1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</row>
    <row r="861" spans="1:1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</row>
    <row r="862" spans="1:1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</row>
    <row r="863" spans="1:1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</row>
    <row r="864" spans="1:1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</row>
    <row r="865" spans="1:1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</row>
    <row r="866" spans="1:1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</row>
    <row r="867" spans="1:1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</row>
    <row r="868" spans="1:1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</row>
    <row r="869" spans="1:1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</row>
    <row r="870" spans="1:1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</row>
    <row r="871" spans="1:1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</row>
    <row r="872" spans="1:1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</row>
    <row r="873" spans="1:1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</row>
    <row r="874" spans="1:1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</row>
    <row r="875" spans="1:1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</row>
    <row r="876" spans="1:1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</row>
    <row r="877" spans="1:1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</row>
    <row r="878" spans="1:1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</row>
    <row r="879" spans="1:1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</row>
    <row r="880" spans="1:1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</row>
    <row r="881" spans="1:1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</row>
    <row r="882" spans="1:1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</row>
    <row r="883" spans="1:1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</row>
    <row r="884" spans="1:1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</row>
    <row r="885" spans="1:1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</row>
    <row r="886" spans="1:1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</row>
    <row r="887" spans="1:1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</row>
    <row r="888" spans="1:1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</row>
    <row r="889" spans="1:1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</row>
    <row r="890" spans="1:1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</row>
    <row r="891" spans="1:1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</row>
    <row r="892" spans="1:1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</row>
    <row r="893" spans="1:1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</row>
    <row r="894" spans="1:1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</row>
    <row r="895" spans="1:1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</row>
    <row r="896" spans="1:1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</row>
    <row r="897" spans="1:1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</row>
    <row r="898" spans="1:1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</row>
    <row r="899" spans="1:1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</row>
    <row r="900" spans="1:1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</row>
    <row r="901" spans="1:1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</row>
    <row r="902" spans="1:1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</row>
    <row r="903" spans="1:1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</row>
    <row r="904" spans="1:1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</row>
    <row r="905" spans="1:1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</row>
    <row r="906" spans="1:1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</row>
    <row r="907" spans="1:1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</row>
    <row r="908" spans="1:1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</row>
    <row r="909" spans="1:1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</row>
    <row r="910" spans="1:1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</row>
    <row r="911" spans="1:1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</row>
    <row r="912" spans="1:1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</row>
    <row r="913" spans="1:1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</row>
    <row r="914" spans="1:1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</row>
    <row r="915" spans="1:1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</row>
    <row r="916" spans="1:1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</row>
    <row r="917" spans="1:1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</row>
    <row r="918" spans="1:1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</row>
    <row r="919" spans="1:1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</row>
    <row r="920" spans="1:1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</row>
    <row r="921" spans="1:1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</row>
    <row r="922" spans="1:1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</row>
    <row r="923" spans="1:1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</row>
    <row r="924" spans="1:1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</row>
    <row r="925" spans="1:1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</row>
    <row r="926" spans="1:1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</row>
    <row r="927" spans="1:1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</row>
    <row r="928" spans="1:1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</row>
    <row r="929" spans="1:1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</row>
    <row r="930" spans="1:1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</row>
    <row r="931" spans="1:1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</row>
    <row r="932" spans="1:1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</row>
    <row r="933" spans="1:1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</row>
    <row r="934" spans="1:1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</row>
    <row r="935" spans="1:1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</row>
    <row r="936" spans="1:1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</row>
    <row r="937" spans="1:1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</row>
    <row r="938" spans="1:1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</row>
    <row r="939" spans="1:1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</row>
    <row r="940" spans="1:1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</row>
    <row r="941" spans="1:1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</row>
    <row r="942" spans="1:1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</row>
    <row r="943" spans="1:1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</row>
    <row r="944" spans="1:1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</row>
    <row r="945" spans="1:1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</row>
    <row r="946" spans="1:1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</row>
    <row r="947" spans="1:1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</row>
    <row r="948" spans="1:1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</row>
    <row r="949" spans="1:1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</row>
    <row r="950" spans="1:1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</row>
    <row r="951" spans="1:1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</row>
    <row r="952" spans="1:1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</row>
    <row r="953" spans="1:1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</row>
    <row r="954" spans="1:1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</row>
    <row r="955" spans="1:1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</row>
    <row r="956" spans="1:1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</row>
    <row r="957" spans="1:1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</row>
    <row r="958" spans="1:1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</row>
    <row r="959" spans="1:1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</row>
    <row r="960" spans="1:1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</row>
    <row r="961" spans="1:1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</row>
    <row r="962" spans="1:1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</row>
    <row r="963" spans="1:1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</row>
    <row r="964" spans="1:1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</row>
    <row r="965" spans="1:1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</row>
    <row r="966" spans="1:1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</row>
    <row r="967" spans="1:1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</row>
    <row r="968" spans="1:1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</row>
    <row r="969" spans="1:1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</row>
    <row r="970" spans="1:1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</row>
    <row r="971" spans="1:1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</row>
    <row r="972" spans="1:1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</row>
    <row r="973" spans="1:1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</row>
    <row r="974" spans="1:1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</row>
    <row r="975" spans="1:1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</row>
    <row r="976" spans="1:1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</row>
    <row r="977" spans="1:1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</row>
    <row r="978" spans="1:1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</row>
    <row r="979" spans="1:1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</row>
    <row r="980" spans="1:1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</row>
    <row r="981" spans="1:1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</row>
    <row r="982" spans="1:1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</row>
    <row r="983" spans="1:1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</row>
    <row r="984" spans="1:1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</row>
    <row r="985" spans="1:1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</row>
    <row r="986" spans="1:1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</row>
    <row r="987" spans="1:1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</row>
    <row r="988" spans="1:1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</row>
    <row r="989" spans="1:1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</row>
    <row r="990" spans="1:1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</row>
    <row r="991" spans="1:1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</row>
    <row r="992" spans="1:1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</row>
    <row r="993" spans="1:1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</row>
    <row r="994" spans="1:1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</row>
    <row r="995" spans="1:1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</row>
    <row r="996" spans="1:1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</row>
    <row r="997" spans="1:1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</row>
    <row r="998" spans="1:1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</row>
    <row r="999" spans="1:1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</row>
    <row r="1000" spans="1:1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</row>
    <row r="1001" spans="1:1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</row>
    <row r="1002" spans="1:1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</row>
    <row r="1003" spans="1:1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</row>
    <row r="1004" spans="1:1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</row>
    <row r="1005" spans="1:1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</row>
    <row r="1006" spans="1:1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</row>
    <row r="1007" spans="1:1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</row>
    <row r="1008" spans="1:1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</row>
    <row r="1009" spans="1:1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</row>
    <row r="1010" spans="1:1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</row>
    <row r="1011" spans="1:1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</row>
    <row r="1012" spans="1:1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</row>
    <row r="1013" spans="1:1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</row>
    <row r="1014" spans="1:1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</row>
    <row r="1015" spans="1:1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</row>
    <row r="1016" spans="1:1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</row>
    <row r="1017" spans="1:1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</row>
    <row r="1018" spans="1:1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</row>
    <row r="1019" spans="1:1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</row>
    <row r="1020" spans="1:1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</row>
    <row r="1021" spans="1:1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</row>
    <row r="1022" spans="1:1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</row>
    <row r="1023" spans="1:1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</row>
    <row r="1024" spans="1:1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</row>
    <row r="1025" spans="1:17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</row>
    <row r="1026" spans="1:17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</row>
    <row r="1027" spans="1:17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</row>
    <row r="1028" spans="1:17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</row>
    <row r="1029" spans="1:17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</row>
    <row r="1030" spans="1:17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</row>
    <row r="1031" spans="1:17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</row>
    <row r="1032" spans="1:17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</row>
    <row r="1033" spans="1:17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</row>
    <row r="1034" spans="1:17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</row>
    <row r="1035" spans="1:17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</row>
    <row r="1036" spans="1:17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</row>
    <row r="1037" spans="1:17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</row>
    <row r="1038" spans="1:17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</row>
    <row r="1039" spans="1:17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</row>
    <row r="1040" spans="1:17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</row>
    <row r="1041" spans="1:17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</row>
    <row r="1042" spans="1:17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</row>
    <row r="1043" spans="1:17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</row>
    <row r="1044" spans="1:17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</row>
    <row r="1045" spans="1:17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</row>
    <row r="1046" spans="1:17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</row>
    <row r="1047" spans="1:17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</row>
    <row r="1048" spans="1:17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</row>
    <row r="1049" spans="1:17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</row>
    <row r="1050" spans="1:17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</row>
    <row r="1051" spans="1:17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</row>
    <row r="1052" spans="1:17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</row>
    <row r="1053" spans="1:17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</row>
    <row r="1054" spans="1:17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</row>
    <row r="1055" spans="1:17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</row>
    <row r="1056" spans="1:17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</row>
    <row r="1057" spans="1:17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</row>
    <row r="1058" spans="1:17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</row>
    <row r="1059" spans="1:17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</row>
    <row r="1060" spans="1:17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</row>
    <row r="1061" spans="1:17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</row>
    <row r="1062" spans="1:17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</row>
    <row r="1063" spans="1:17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</row>
    <row r="1064" spans="1:17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</row>
    <row r="1065" spans="1:17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</row>
    <row r="1066" spans="1:17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</row>
    <row r="1067" spans="1:17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</row>
    <row r="1068" spans="1:17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</row>
    <row r="1069" spans="1:17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</row>
    <row r="1070" spans="1:17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</row>
    <row r="1071" spans="1:17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</row>
    <row r="1072" spans="1:17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</row>
    <row r="1073" spans="1:17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</row>
    <row r="1074" spans="1:17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</row>
    <row r="1075" spans="1:17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</row>
    <row r="1076" spans="1:17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</row>
    <row r="1077" spans="1:17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</row>
    <row r="1078" spans="1:17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</row>
    <row r="1079" spans="1:17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</row>
    <row r="1080" spans="1:17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</row>
    <row r="1081" spans="1:17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</row>
    <row r="1082" spans="1:17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</row>
    <row r="1083" spans="1:17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</row>
    <row r="1084" spans="1:17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</row>
    <row r="1085" spans="1:17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</row>
    <row r="1086" spans="1:17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</row>
    <row r="1087" spans="1:17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</row>
    <row r="1088" spans="1:17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</row>
    <row r="1089" spans="1:17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</row>
    <row r="1090" spans="1:17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</row>
    <row r="1091" spans="1:17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</row>
    <row r="1092" spans="1:17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</row>
    <row r="1093" spans="1:17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</row>
    <row r="1094" spans="1:17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</row>
    <row r="1095" spans="1:17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</row>
    <row r="1096" spans="1:17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</row>
    <row r="1097" spans="1:17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</row>
    <row r="1098" spans="1:17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</row>
    <row r="1099" spans="1:17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</row>
    <row r="1100" spans="1:17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</row>
    <row r="1101" spans="1:17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</row>
    <row r="1102" spans="1:17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</row>
    <row r="1103" spans="1:17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</row>
    <row r="1104" spans="1:17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</row>
    <row r="1105" spans="1:17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</row>
    <row r="1106" spans="1:17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</row>
    <row r="1107" spans="1:17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</row>
    <row r="1108" spans="1:17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</row>
    <row r="1109" spans="1:17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</row>
    <row r="1110" spans="1:17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</row>
    <row r="1111" spans="1:17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</row>
    <row r="1112" spans="1:17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</row>
    <row r="1113" spans="1:17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</row>
    <row r="1114" spans="1:17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</row>
    <row r="1115" spans="1:17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</row>
    <row r="1116" spans="1:17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</row>
    <row r="1117" spans="1:17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</row>
    <row r="1118" spans="1:17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</row>
    <row r="1119" spans="1:17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</row>
    <row r="1120" spans="1:17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</row>
    <row r="1121" spans="1:17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</row>
    <row r="1122" spans="1:17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</row>
    <row r="1123" spans="1:17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</row>
    <row r="1124" spans="1:17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</row>
    <row r="1125" spans="1:17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</row>
    <row r="1126" spans="1:17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</row>
    <row r="1127" spans="1:17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</row>
    <row r="1128" spans="1:17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</row>
    <row r="1129" spans="1:17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</row>
    <row r="1130" spans="1:17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</row>
    <row r="1131" spans="1:17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</row>
    <row r="1132" spans="1:17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</row>
    <row r="1133" spans="1:17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</row>
    <row r="1134" spans="1:17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</row>
    <row r="1135" spans="1:17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</row>
    <row r="1136" spans="1:17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</row>
    <row r="1137" spans="1:17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</row>
    <row r="1138" spans="1:17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</row>
    <row r="1139" spans="1:17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</row>
    <row r="1140" spans="1:17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</row>
    <row r="1141" spans="1:17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</row>
    <row r="1142" spans="1:17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</row>
    <row r="1143" spans="1:17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</row>
    <row r="1144" spans="1:17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</row>
    <row r="1145" spans="1:17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</row>
    <row r="1146" spans="1:17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</row>
    <row r="1147" spans="1:17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</row>
    <row r="1148" spans="1:17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</row>
    <row r="1149" spans="1:17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</row>
    <row r="1150" spans="1:17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</row>
    <row r="1151" spans="1:17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</row>
    <row r="1152" spans="1:17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</row>
    <row r="1153" spans="1:17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</row>
    <row r="1154" spans="1:17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</row>
    <row r="1155" spans="1:17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</row>
    <row r="1156" spans="1:17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</row>
    <row r="1157" spans="1:17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</row>
    <row r="1158" spans="1:17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</row>
    <row r="1159" spans="1:17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</row>
    <row r="1160" spans="1:17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</row>
    <row r="1161" spans="1:17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</row>
    <row r="1162" spans="1:17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</row>
    <row r="1163" spans="1:17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</row>
    <row r="1164" spans="1:1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</row>
    <row r="1165" spans="1:1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</row>
    <row r="1166" spans="1:1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</row>
    <row r="1167" spans="1:1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</row>
    <row r="1168" spans="1:1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</row>
    <row r="1169" spans="1:1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</row>
    <row r="1170" spans="1:1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</row>
    <row r="1171" spans="1:1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</row>
    <row r="1172" spans="1:1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</row>
    <row r="1173" spans="1:1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</row>
    <row r="1174" spans="1:1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</row>
    <row r="1175" spans="1:1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</row>
    <row r="1176" spans="1:1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</row>
    <row r="1177" spans="1:1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</row>
    <row r="1178" spans="1:1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</row>
    <row r="1179" spans="1:1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</row>
    <row r="1180" spans="1:1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</row>
    <row r="1181" spans="1:1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</row>
    <row r="1182" spans="1:1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</row>
    <row r="1183" spans="1:1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</row>
    <row r="1184" spans="1:1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</row>
    <row r="1185" spans="1:1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</row>
    <row r="1186" spans="1:1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</row>
    <row r="1187" spans="1:1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</row>
    <row r="1188" spans="1:1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</row>
    <row r="1189" spans="1:1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</row>
    <row r="1190" spans="1:1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</row>
    <row r="1191" spans="1:1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</row>
    <row r="1192" spans="1:1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</row>
    <row r="1193" spans="1:1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</row>
    <row r="1194" spans="1:1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</row>
    <row r="1195" spans="1:1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</row>
    <row r="1196" spans="1:1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</row>
    <row r="1197" spans="1:1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</row>
    <row r="1198" spans="1:1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</row>
    <row r="1199" spans="1:1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</row>
    <row r="1200" spans="1:1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</row>
    <row r="1201" spans="1:1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</row>
    <row r="1202" spans="1:1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</row>
    <row r="1203" spans="1:1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</row>
    <row r="1204" spans="1:1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</row>
    <row r="1205" spans="1:1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</row>
    <row r="1206" spans="1:1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</row>
    <row r="1207" spans="1:1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</row>
    <row r="1208" spans="1:1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</row>
    <row r="1209" spans="1:1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</row>
    <row r="1210" spans="1:1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</row>
    <row r="1211" spans="1:1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</row>
    <row r="1212" spans="1:1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</row>
    <row r="1213" spans="1:1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</row>
    <row r="1214" spans="1:1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</row>
    <row r="1215" spans="1:1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</row>
    <row r="1216" spans="1:1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</row>
    <row r="1217" spans="1:1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</row>
    <row r="1218" spans="1:1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</row>
    <row r="1219" spans="1:1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</row>
    <row r="1220" spans="1:1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</row>
    <row r="1221" spans="1:1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</row>
    <row r="1222" spans="1:1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</row>
    <row r="1223" spans="1:1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</row>
    <row r="1224" spans="1:1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</row>
    <row r="1225" spans="1:1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</row>
    <row r="1226" spans="1:1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</row>
    <row r="1227" spans="1:1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</row>
    <row r="1228" spans="1:1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</row>
    <row r="1229" spans="1:1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</row>
    <row r="1230" spans="1:1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</row>
    <row r="1231" spans="1:1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</row>
    <row r="1232" spans="1:1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</row>
    <row r="1233" spans="1:1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</row>
    <row r="1234" spans="1:1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</row>
    <row r="1235" spans="1:1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</row>
    <row r="1236" spans="1:1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</row>
    <row r="1237" spans="1:1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</row>
    <row r="1238" spans="1:1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</row>
    <row r="1239" spans="1:1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</row>
    <row r="1240" spans="1:1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</row>
    <row r="1241" spans="1:1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</row>
    <row r="1242" spans="1:1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</row>
    <row r="1243" spans="1:1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</row>
    <row r="1244" spans="1:1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</row>
    <row r="1245" spans="1:1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</row>
    <row r="1246" spans="1:1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</row>
    <row r="1247" spans="1:1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</row>
    <row r="1248" spans="1:1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</row>
    <row r="1249" spans="1:1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</row>
    <row r="1250" spans="1:1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</row>
    <row r="1251" spans="1:1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</row>
    <row r="1252" spans="1:1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</row>
    <row r="1253" spans="1:1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</row>
    <row r="1254" spans="1:1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</row>
    <row r="1255" spans="1:1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</row>
    <row r="1256" spans="1:1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5" x14ac:dyDescent="0.25"/>
  <cols>
    <col min="1" max="1" width="13.85546875" bestFit="1" customWidth="1"/>
    <col min="2" max="2" width="10.7109375" bestFit="1" customWidth="1"/>
    <col min="3" max="3" width="12.7109375" bestFit="1" customWidth="1"/>
    <col min="4" max="4" width="128.140625" bestFit="1" customWidth="1"/>
    <col min="5" max="5" width="33.85546875" bestFit="1" customWidth="1"/>
    <col min="6" max="6" width="14.85546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71"/>
  <sheetViews>
    <sheetView workbookViewId="0">
      <selection activeCell="D21" sqref="D21"/>
    </sheetView>
  </sheetViews>
  <sheetFormatPr defaultRowHeight="15" x14ac:dyDescent="0.25"/>
  <cols>
    <col min="1" max="1" width="12.85546875" bestFit="1" customWidth="1"/>
    <col min="2" max="2" width="14.85546875" bestFit="1" customWidth="1"/>
    <col min="3" max="3" width="29.85546875" bestFit="1" customWidth="1"/>
    <col min="4" max="4" width="48.28515625" bestFit="1" customWidth="1"/>
    <col min="5" max="5" width="8.140625" bestFit="1" customWidth="1"/>
    <col min="6" max="6" width="15.140625" customWidth="1"/>
    <col min="7" max="7" width="18.7109375" bestFit="1" customWidth="1"/>
    <col min="8" max="8" width="17.85546875" bestFit="1" customWidth="1"/>
    <col min="9" max="9" width="61.140625" bestFit="1" customWidth="1"/>
    <col min="10" max="10" width="19.5703125" bestFit="1" customWidth="1"/>
    <col min="11" max="11" width="17.85546875" bestFit="1" customWidth="1"/>
  </cols>
  <sheetData>
    <row r="1" spans="1:12" x14ac:dyDescent="0.25">
      <c r="A1" s="6" t="s">
        <v>8</v>
      </c>
      <c r="D1" s="4" t="s">
        <v>6</v>
      </c>
      <c r="E1" s="6"/>
      <c r="F1" s="7"/>
    </row>
    <row r="2" spans="1:12" s="1" customFormat="1" x14ac:dyDescent="0.25">
      <c r="A2" t="s">
        <v>3</v>
      </c>
      <c r="B2" s="8">
        <v>43158.47859953704</v>
      </c>
      <c r="D2" s="6" t="s">
        <v>7</v>
      </c>
      <c r="G2" s="6" t="s">
        <v>9</v>
      </c>
      <c r="H2" s="6" t="s">
        <v>11</v>
      </c>
      <c r="I2" s="6"/>
      <c r="J2" s="6" t="s">
        <v>84</v>
      </c>
      <c r="K2" s="6" t="s">
        <v>86</v>
      </c>
      <c r="L2" s="6" t="s">
        <v>87</v>
      </c>
    </row>
    <row r="3" spans="1:12" x14ac:dyDescent="0.25">
      <c r="A3" t="s">
        <v>4</v>
      </c>
      <c r="B3">
        <v>-1</v>
      </c>
      <c r="D3" s="5" t="s">
        <v>0</v>
      </c>
      <c r="G3" s="5" t="s">
        <v>10</v>
      </c>
      <c r="H3" s="9" t="s">
        <v>22</v>
      </c>
      <c r="I3" s="5"/>
      <c r="J3" s="5" t="s">
        <v>85</v>
      </c>
      <c r="K3" s="5">
        <v>600</v>
      </c>
      <c r="L3" s="5" t="b">
        <v>0</v>
      </c>
    </row>
    <row r="4" spans="1:12" x14ac:dyDescent="0.25">
      <c r="D4" s="5" t="s">
        <v>1</v>
      </c>
      <c r="H4" s="9" t="s">
        <v>23</v>
      </c>
      <c r="I4" s="5"/>
    </row>
    <row r="5" spans="1:12" x14ac:dyDescent="0.25">
      <c r="D5" s="5" t="s">
        <v>2</v>
      </c>
      <c r="H5" s="9" t="s">
        <v>24</v>
      </c>
      <c r="I5" s="5"/>
    </row>
    <row r="6" spans="1:12" x14ac:dyDescent="0.25">
      <c r="D6" s="13" t="s">
        <v>88</v>
      </c>
      <c r="H6" s="9" t="s">
        <v>25</v>
      </c>
      <c r="I6" s="5"/>
    </row>
    <row r="7" spans="1:12" x14ac:dyDescent="0.25">
      <c r="H7" s="9" t="s">
        <v>26</v>
      </c>
      <c r="I7" s="5"/>
    </row>
    <row r="8" spans="1:12" x14ac:dyDescent="0.25">
      <c r="D8" s="3" t="str">
        <f>"[" &amp;D3&amp;"_"&amp;D4&amp;"_"&amp;D5&amp;"_"&amp;D6&amp; "]"</f>
        <v>[Pipeline_Projects_Updated_013117.xlsx]</v>
      </c>
      <c r="H8" s="9" t="s">
        <v>27</v>
      </c>
      <c r="I8" s="5"/>
    </row>
    <row r="9" spans="1:12" x14ac:dyDescent="0.25">
      <c r="D9" s="2" t="str">
        <f>D8 &amp;"Pipeline_Expansions"</f>
        <v>[Pipeline_Projects_Updated_013117.xlsx]Pipeline_Expansions</v>
      </c>
      <c r="H9" s="9" t="s">
        <v>28</v>
      </c>
      <c r="I9" s="10" t="s">
        <v>18</v>
      </c>
    </row>
    <row r="10" spans="1:12" x14ac:dyDescent="0.25">
      <c r="H10" s="9" t="s">
        <v>29</v>
      </c>
      <c r="I10" s="10" t="s">
        <v>19</v>
      </c>
    </row>
    <row r="11" spans="1:12" x14ac:dyDescent="0.25">
      <c r="H11" s="9" t="s">
        <v>30</v>
      </c>
      <c r="I11" s="11">
        <v>0</v>
      </c>
    </row>
    <row r="12" spans="1:12" x14ac:dyDescent="0.25">
      <c r="H12" s="9" t="s">
        <v>31</v>
      </c>
      <c r="I12" s="11">
        <v>200</v>
      </c>
    </row>
    <row r="13" spans="1:12" x14ac:dyDescent="0.25">
      <c r="H13" s="9" t="s">
        <v>32</v>
      </c>
      <c r="I13" s="11" t="s">
        <v>20</v>
      </c>
    </row>
    <row r="14" spans="1:12" x14ac:dyDescent="0.25">
      <c r="H14" s="9" t="s">
        <v>33</v>
      </c>
      <c r="I14" s="11" t="s">
        <v>13</v>
      </c>
    </row>
    <row r="15" spans="1:12" x14ac:dyDescent="0.25">
      <c r="H15" s="9" t="s">
        <v>33</v>
      </c>
      <c r="I15" s="11" t="s">
        <v>14</v>
      </c>
    </row>
    <row r="16" spans="1:12" x14ac:dyDescent="0.25">
      <c r="H16" s="9" t="s">
        <v>34</v>
      </c>
      <c r="I16" s="11" t="s">
        <v>15</v>
      </c>
    </row>
    <row r="17" spans="8:9" x14ac:dyDescent="0.25">
      <c r="H17" s="9" t="s">
        <v>35</v>
      </c>
      <c r="I17" s="10" t="s">
        <v>21</v>
      </c>
    </row>
    <row r="18" spans="8:9" x14ac:dyDescent="0.25">
      <c r="H18" s="9" t="s">
        <v>36</v>
      </c>
      <c r="I18" s="10" t="s">
        <v>81</v>
      </c>
    </row>
    <row r="19" spans="8:9" x14ac:dyDescent="0.25">
      <c r="H19" s="9" t="s">
        <v>37</v>
      </c>
      <c r="I19" s="10" t="s">
        <v>21</v>
      </c>
    </row>
    <row r="20" spans="8:9" x14ac:dyDescent="0.25">
      <c r="H20" s="9" t="s">
        <v>38</v>
      </c>
      <c r="I20" s="10" t="s">
        <v>81</v>
      </c>
    </row>
    <row r="21" spans="8:9" x14ac:dyDescent="0.25">
      <c r="H21" s="9" t="s">
        <v>39</v>
      </c>
      <c r="I21" s="10" t="s">
        <v>21</v>
      </c>
    </row>
    <row r="22" spans="8:9" x14ac:dyDescent="0.25">
      <c r="H22" s="9" t="s">
        <v>40</v>
      </c>
      <c r="I22" s="10" t="s">
        <v>81</v>
      </c>
    </row>
    <row r="23" spans="8:9" x14ac:dyDescent="0.25">
      <c r="H23" s="9" t="s">
        <v>41</v>
      </c>
      <c r="I23" s="5" t="s">
        <v>124</v>
      </c>
    </row>
    <row r="24" spans="8:9" x14ac:dyDescent="0.25">
      <c r="H24" s="9" t="s">
        <v>42</v>
      </c>
      <c r="I24" s="5"/>
    </row>
    <row r="25" spans="8:9" x14ac:dyDescent="0.25">
      <c r="H25" s="9" t="s">
        <v>43</v>
      </c>
      <c r="I25" s="5" t="s">
        <v>242</v>
      </c>
    </row>
    <row r="26" spans="8:9" x14ac:dyDescent="0.25">
      <c r="H26" s="9" t="s">
        <v>44</v>
      </c>
      <c r="I26" s="5"/>
    </row>
    <row r="27" spans="8:9" x14ac:dyDescent="0.25">
      <c r="H27" s="9" t="s">
        <v>45</v>
      </c>
      <c r="I27" s="5" t="s">
        <v>249</v>
      </c>
    </row>
    <row r="28" spans="8:9" x14ac:dyDescent="0.25">
      <c r="H28" s="9" t="s">
        <v>46</v>
      </c>
      <c r="I28" s="5"/>
    </row>
    <row r="29" spans="8:9" x14ac:dyDescent="0.25">
      <c r="H29" s="9" t="s">
        <v>47</v>
      </c>
      <c r="I29" s="5" t="s">
        <v>252</v>
      </c>
    </row>
    <row r="30" spans="8:9" x14ac:dyDescent="0.25">
      <c r="H30" s="9" t="s">
        <v>48</v>
      </c>
      <c r="I30" s="5"/>
    </row>
    <row r="31" spans="8:9" x14ac:dyDescent="0.25">
      <c r="H31" s="9" t="s">
        <v>49</v>
      </c>
      <c r="I31" s="11" t="s">
        <v>82</v>
      </c>
    </row>
    <row r="32" spans="8:9" x14ac:dyDescent="0.25">
      <c r="H32" s="9" t="s">
        <v>50</v>
      </c>
      <c r="I32" s="5"/>
    </row>
    <row r="33" spans="8:9" x14ac:dyDescent="0.25">
      <c r="H33" s="9" t="s">
        <v>16</v>
      </c>
      <c r="I33" s="11" t="s">
        <v>16</v>
      </c>
    </row>
    <row r="34" spans="8:9" x14ac:dyDescent="0.25">
      <c r="H34" s="9" t="s">
        <v>17</v>
      </c>
      <c r="I34" s="11" t="s">
        <v>17</v>
      </c>
    </row>
    <row r="35" spans="8:9" x14ac:dyDescent="0.25">
      <c r="H35" s="9" t="s">
        <v>51</v>
      </c>
      <c r="I35" s="11">
        <v>999</v>
      </c>
    </row>
    <row r="36" spans="8:9" x14ac:dyDescent="0.25">
      <c r="H36" s="9" t="s">
        <v>51</v>
      </c>
      <c r="I36" s="11">
        <v>999</v>
      </c>
    </row>
    <row r="37" spans="8:9" x14ac:dyDescent="0.25">
      <c r="H37" s="9" t="s">
        <v>51</v>
      </c>
      <c r="I37" s="11">
        <v>999</v>
      </c>
    </row>
    <row r="38" spans="8:9" x14ac:dyDescent="0.25">
      <c r="H38" s="9" t="s">
        <v>51</v>
      </c>
      <c r="I38" s="11">
        <v>999</v>
      </c>
    </row>
    <row r="39" spans="8:9" x14ac:dyDescent="0.25">
      <c r="H39" s="9" t="s">
        <v>52</v>
      </c>
      <c r="I39" s="11">
        <v>999</v>
      </c>
    </row>
    <row r="40" spans="8:9" x14ac:dyDescent="0.25">
      <c r="H40" s="9" t="s">
        <v>52</v>
      </c>
      <c r="I40" s="11">
        <v>999</v>
      </c>
    </row>
    <row r="41" spans="8:9" x14ac:dyDescent="0.25">
      <c r="H41" s="9" t="s">
        <v>52</v>
      </c>
      <c r="I41" s="11">
        <v>999</v>
      </c>
    </row>
    <row r="42" spans="8:9" x14ac:dyDescent="0.25">
      <c r="H42" s="9" t="s">
        <v>52</v>
      </c>
      <c r="I42" s="11">
        <v>999</v>
      </c>
    </row>
    <row r="43" spans="8:9" x14ac:dyDescent="0.25">
      <c r="H43" s="9" t="s">
        <v>53</v>
      </c>
      <c r="I43" s="5"/>
    </row>
    <row r="44" spans="8:9" x14ac:dyDescent="0.25">
      <c r="H44" s="9" t="s">
        <v>54</v>
      </c>
      <c r="I44" s="5"/>
    </row>
    <row r="45" spans="8:9" x14ac:dyDescent="0.25">
      <c r="H45" s="9" t="s">
        <v>55</v>
      </c>
      <c r="I45" s="5"/>
    </row>
    <row r="46" spans="8:9" x14ac:dyDescent="0.25">
      <c r="H46" s="9" t="s">
        <v>56</v>
      </c>
      <c r="I46" s="5"/>
    </row>
    <row r="47" spans="8:9" x14ac:dyDescent="0.25">
      <c r="H47" s="9" t="s">
        <v>57</v>
      </c>
      <c r="I47" s="5"/>
    </row>
    <row r="48" spans="8:9" x14ac:dyDescent="0.25">
      <c r="H48" s="9" t="s">
        <v>58</v>
      </c>
      <c r="I48" s="5"/>
    </row>
    <row r="49" spans="8:9" x14ac:dyDescent="0.25">
      <c r="H49" s="9" t="s">
        <v>59</v>
      </c>
      <c r="I49" s="5"/>
    </row>
    <row r="50" spans="8:9" x14ac:dyDescent="0.25">
      <c r="H50" s="9" t="s">
        <v>60</v>
      </c>
      <c r="I50" s="5"/>
    </row>
    <row r="51" spans="8:9" x14ac:dyDescent="0.25">
      <c r="H51" s="9" t="s">
        <v>61</v>
      </c>
      <c r="I51" s="5"/>
    </row>
    <row r="52" spans="8:9" x14ac:dyDescent="0.25">
      <c r="H52" s="9" t="s">
        <v>62</v>
      </c>
      <c r="I52" s="5"/>
    </row>
    <row r="53" spans="8:9" x14ac:dyDescent="0.25">
      <c r="H53" s="9" t="s">
        <v>63</v>
      </c>
      <c r="I53" s="5"/>
    </row>
    <row r="54" spans="8:9" x14ac:dyDescent="0.25">
      <c r="H54" s="9" t="s">
        <v>64</v>
      </c>
      <c r="I54" s="5"/>
    </row>
    <row r="55" spans="8:9" x14ac:dyDescent="0.25">
      <c r="H55" s="9" t="s">
        <v>65</v>
      </c>
      <c r="I55" s="5"/>
    </row>
    <row r="56" spans="8:9" x14ac:dyDescent="0.25">
      <c r="H56" s="9" t="s">
        <v>66</v>
      </c>
      <c r="I56" s="5"/>
    </row>
    <row r="57" spans="8:9" x14ac:dyDescent="0.25">
      <c r="H57" s="9" t="s">
        <v>67</v>
      </c>
      <c r="I57" s="5"/>
    </row>
    <row r="58" spans="8:9" x14ac:dyDescent="0.25">
      <c r="H58" s="9" t="s">
        <v>68</v>
      </c>
      <c r="I58" s="5"/>
    </row>
    <row r="59" spans="8:9" x14ac:dyDescent="0.25">
      <c r="H59" s="9" t="s">
        <v>69</v>
      </c>
      <c r="I59" s="5"/>
    </row>
    <row r="60" spans="8:9" x14ac:dyDescent="0.25">
      <c r="H60" s="9" t="s">
        <v>70</v>
      </c>
      <c r="I60" s="5"/>
    </row>
    <row r="61" spans="8:9" x14ac:dyDescent="0.25">
      <c r="H61" s="9" t="s">
        <v>71</v>
      </c>
      <c r="I61" s="5"/>
    </row>
    <row r="62" spans="8:9" x14ac:dyDescent="0.25">
      <c r="H62" s="9" t="s">
        <v>72</v>
      </c>
      <c r="I62" s="5"/>
    </row>
    <row r="63" spans="8:9" x14ac:dyDescent="0.25">
      <c r="H63" s="9" t="s">
        <v>73</v>
      </c>
      <c r="I63" s="5"/>
    </row>
    <row r="64" spans="8:9" x14ac:dyDescent="0.25">
      <c r="H64" s="9" t="s">
        <v>74</v>
      </c>
      <c r="I64" s="5"/>
    </row>
    <row r="65" spans="8:9" x14ac:dyDescent="0.25">
      <c r="H65" s="9" t="s">
        <v>75</v>
      </c>
      <c r="I65" s="5"/>
    </row>
    <row r="66" spans="8:9" x14ac:dyDescent="0.25">
      <c r="H66" s="9" t="s">
        <v>76</v>
      </c>
      <c r="I66" s="5"/>
    </row>
    <row r="67" spans="8:9" x14ac:dyDescent="0.25">
      <c r="H67" s="9" t="s">
        <v>77</v>
      </c>
      <c r="I67" s="5"/>
    </row>
    <row r="68" spans="8:9" x14ac:dyDescent="0.25">
      <c r="H68" s="9" t="s">
        <v>78</v>
      </c>
      <c r="I68" s="5"/>
    </row>
    <row r="69" spans="8:9" x14ac:dyDescent="0.25">
      <c r="H69" s="9" t="s">
        <v>79</v>
      </c>
      <c r="I69" s="5"/>
    </row>
    <row r="70" spans="8:9" x14ac:dyDescent="0.25">
      <c r="H70" s="9" t="s">
        <v>80</v>
      </c>
      <c r="I70" s="11" t="s">
        <v>83</v>
      </c>
    </row>
    <row r="71" spans="8:9" x14ac:dyDescent="0.25">
      <c r="H71" s="9" t="s">
        <v>12</v>
      </c>
      <c r="I71" s="11">
        <v>10000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Sheet2.ClearDockets">
                <anchor moveWithCells="1" sizeWithCells="1">
                  <from>
                    <xdr:col>0</xdr:col>
                    <xdr:colOff>400050</xdr:colOff>
                    <xdr:row>13</xdr:row>
                    <xdr:rowOff>19050</xdr:rowOff>
                  </from>
                  <to>
                    <xdr:col>1</xdr:col>
                    <xdr:colOff>514350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Check Box 10">
              <controlPr defaultSize="0" autoFill="0" autoLine="0" autoPict="0">
                <anchor moveWithCells="1">
                  <from>
                    <xdr:col>0</xdr:col>
                    <xdr:colOff>419100</xdr:colOff>
                    <xdr:row>16</xdr:row>
                    <xdr:rowOff>76200</xdr:rowOff>
                  </from>
                  <to>
                    <xdr:col>1</xdr:col>
                    <xdr:colOff>609600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List</vt:lpstr>
      <vt:lpstr>Docket List</vt:lpstr>
      <vt:lpstr>Config</vt:lpstr>
    </vt:vector>
  </TitlesOfParts>
  <Company>Tradition1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Wu</dc:creator>
  <cp:lastModifiedBy>Victor Wu</cp:lastModifiedBy>
  <dcterms:created xsi:type="dcterms:W3CDTF">2018-02-07T14:31:29Z</dcterms:created>
  <dcterms:modified xsi:type="dcterms:W3CDTF">2018-04-09T16:05:28Z</dcterms:modified>
</cp:coreProperties>
</file>