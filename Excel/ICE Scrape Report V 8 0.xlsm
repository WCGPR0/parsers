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975" yWindow="1575" windowWidth="15195" windowHeight="11505" tabRatio="599" activeTab="2"/>
  </bookViews>
  <sheets>
    <sheet name="PJM" sheetId="8" r:id="rId1"/>
    <sheet name="West Electric" sheetId="7" r:id="rId2"/>
    <sheet name="Basis Swaps" sheetId="18" r:id="rId3"/>
    <sheet name="Basis Swaps 2" sheetId="26" r:id="rId4"/>
    <sheet name="Month Mapping" sheetId="19" state="veryHidden" r:id="rId5"/>
    <sheet name="AEC" sheetId="11" state="veryHidden" r:id="rId6"/>
    <sheet name="AEC Previous" sheetId="27" state="veryHidden" r:id="rId7"/>
    <sheet name="DGD" sheetId="12" state="veryHidden" r:id="rId8"/>
    <sheet name="DGD Previous" sheetId="28" state="veryHidden" r:id="rId9"/>
    <sheet name="NWR" sheetId="13" state="veryHidden" r:id="rId10"/>
    <sheet name="NWR Previous" sheetId="29" state="veryHidden" r:id="rId11"/>
    <sheet name="PGE" sheetId="14" state="veryHidden" r:id="rId12"/>
    <sheet name="PGE Previous" sheetId="30" state="veryHidden" r:id="rId13"/>
    <sheet name="SCL" sheetId="15" state="veryHidden" r:id="rId14"/>
    <sheet name="SCL Previous" sheetId="31" state="veryHidden" r:id="rId15"/>
    <sheet name="WAH" sheetId="16" state="veryHidden" r:id="rId16"/>
    <sheet name="WAH Previous" sheetId="32" state="veryHidden" r:id="rId17"/>
    <sheet name="HSC" sheetId="17" state="veryHidden" r:id="rId18"/>
    <sheet name="HSC Previous" sheetId="33" state="veryHidden" r:id="rId19"/>
    <sheet name="PJM On Peak" sheetId="9" state="veryHidden" r:id="rId20"/>
    <sheet name="PJM On Peak Previous" sheetId="20" state="veryHidden" r:id="rId21"/>
    <sheet name="PJM Off Peak" sheetId="10" state="veryHidden" r:id="rId22"/>
    <sheet name="PJM Off Peak Previous" sheetId="21" state="veryHidden" r:id="rId23"/>
    <sheet name="SP-15 On Peak" sheetId="3" state="veryHidden" r:id="rId24"/>
    <sheet name="SP-15 On Peak Previous" sheetId="22" state="veryHidden" r:id="rId25"/>
    <sheet name="SP-15 Off Peak" sheetId="4" state="veryHidden" r:id="rId26"/>
    <sheet name="SP-15 Off Peak Previous" sheetId="23" state="veryHidden" r:id="rId27"/>
    <sheet name="MidC On Peak" sheetId="5" state="veryHidden" r:id="rId28"/>
    <sheet name="MidC On Peak Previous" sheetId="24" state="veryHidden" r:id="rId29"/>
    <sheet name="MidC Off Peak" sheetId="6" state="veryHidden" r:id="rId30"/>
    <sheet name="MidC Off Peak Previous" sheetId="25" state="veryHidden" r:id="rId31"/>
    <sheet name="Emissions" sheetId="34" state="veryHidden" r:id="rId32"/>
    <sheet name="PVM" sheetId="35" state="veryHidden" r:id="rId33"/>
    <sheet name="OVP" sheetId="36" state="veryHidden" r:id="rId34"/>
    <sheet name="NPM" sheetId="37" state="veryHidden" r:id="rId35"/>
    <sheet name="ONP" sheetId="38" state="veryHidden" r:id="rId36"/>
  </sheets>
  <definedNames>
    <definedName name="AECblockVol" localSheetId="3">'Basis Swaps 2'!#REF!</definedName>
    <definedName name="AECblockVol">'Basis Swaps'!$F$16</definedName>
    <definedName name="AECOIChange">'Basis Swaps'!$H$16</definedName>
    <definedName name="AECOpenInt">'Basis Swaps'!$G$16</definedName>
    <definedName name="AECsettlement" localSheetId="3">'Basis Swaps 2'!#REF!</definedName>
    <definedName name="AECsettlement">'Basis Swaps'!$D$16</definedName>
    <definedName name="AECvolume" localSheetId="3">'Basis Swaps 2'!#REF!</definedName>
    <definedName name="AECvolume">'Basis Swaps'!$E$16</definedName>
    <definedName name="basisSwapsDate" localSheetId="3">'Basis Swaps 2'!#REF!</definedName>
    <definedName name="basisSwapsDate">'Basis Swaps'!$B$2</definedName>
    <definedName name="basisSwapsTerm" localSheetId="3">'Basis Swaps 2'!#REF!</definedName>
    <definedName name="basisSwapsTerm">'Basis Swaps'!$A$16</definedName>
    <definedName name="basisSwapsTerm2" localSheetId="3">'Basis Swaps 2'!#REF!</definedName>
    <definedName name="basisSwapsTerm2">'Basis Swaps'!$AT$16</definedName>
    <definedName name="basisSwapsYear" localSheetId="3">'Basis Swaps 2'!#REF!</definedName>
    <definedName name="basisSwapsYear">'Basis Swaps'!$B$16</definedName>
    <definedName name="basisSwapsYear2" localSheetId="3">'Basis Swaps 2'!#REF!</definedName>
    <definedName name="basisSwapsYear2">'Basis Swaps'!$AU$16</definedName>
    <definedName name="DGDblockVol" localSheetId="3">'Basis Swaps 2'!#REF!</definedName>
    <definedName name="DGDblockVol">'Basis Swaps'!$L$16</definedName>
    <definedName name="DGDOIChange">'Basis Swaps'!$N$16</definedName>
    <definedName name="DGDOpenInt">'Basis Swaps'!$M$16</definedName>
    <definedName name="DGDsettlement" localSheetId="3">'Basis Swaps 2'!#REF!</definedName>
    <definedName name="DGDsettlement">'Basis Swaps'!$J$16</definedName>
    <definedName name="DGDvolume" localSheetId="3">'Basis Swaps 2'!#REF!</definedName>
    <definedName name="DGDvolume">'Basis Swaps'!$K$16</definedName>
    <definedName name="ExternalData_1" localSheetId="6">'AEC Previous'!$A$1:$A$110</definedName>
    <definedName name="ExternalData_1" localSheetId="8">'DGD Previous'!$A$1:$A$98</definedName>
    <definedName name="ExternalData_1" localSheetId="31">Emissions!$A$9:$D$203</definedName>
    <definedName name="ExternalData_1" localSheetId="18">'HSC Previous'!$A$1:$A$74</definedName>
    <definedName name="ExternalData_1" localSheetId="30">'MidC Off Peak Previous'!$A$1:$A$99</definedName>
    <definedName name="ExternalData_1" localSheetId="28">'MidC On Peak Previous'!$A$1:$A$99</definedName>
    <definedName name="ExternalData_1" localSheetId="10">'NWR Previous'!$A$1:$A$98</definedName>
    <definedName name="ExternalData_1" localSheetId="12">'PGE Previous'!$A$1:$A$50</definedName>
    <definedName name="ExternalData_1" localSheetId="22">'PJM Off Peak Previous'!$A$1:$A$75</definedName>
    <definedName name="ExternalData_1" localSheetId="20">'PJM On Peak Previous'!$A$1:$A$111</definedName>
    <definedName name="ExternalData_1" localSheetId="14">'SCL Previous'!$A$1:$A$110</definedName>
    <definedName name="ExternalData_1" localSheetId="26">'SP-15 Off Peak Previous'!$A$1:$A$88</definedName>
    <definedName name="ExternalData_1" localSheetId="24">'SP-15 On Peak Previous'!$A$1:$A$100</definedName>
    <definedName name="ExternalData_1" localSheetId="16">'WAH Previous'!$A$1:$A$62</definedName>
    <definedName name="ExternalData_2" localSheetId="31">Emissions!$A$8:$A$202</definedName>
    <definedName name="ExternalData_3" localSheetId="31">Emissions!$A$7:$D$201</definedName>
    <definedName name="ExternalData_4" localSheetId="31">Emissions!$A$6:$A$200</definedName>
    <definedName name="ExternalData_5" localSheetId="31">Emissions!$A$5:$D$199</definedName>
    <definedName name="ExternalData_6" localSheetId="31">Emissions!$A$4:$A$198</definedName>
    <definedName name="ExternalData_7" localSheetId="31">Emissions!$A$3:$H$197</definedName>
    <definedName name="ExternalData_8" localSheetId="31">Emissions!$A$2:$A$196</definedName>
    <definedName name="fields" localSheetId="5">AEC!$A$1:$R$1</definedName>
    <definedName name="fields" localSheetId="7">DGD!$A$1:$R$1</definedName>
    <definedName name="fields" localSheetId="17">HSC!$A$1:$R$1</definedName>
    <definedName name="fields" localSheetId="29">'MidC Off Peak'!$A$1:$R$1</definedName>
    <definedName name="fields" localSheetId="27">'MidC On Peak'!$A$1:$R$1</definedName>
    <definedName name="fields" localSheetId="34">NPM!$A$1:$R$1</definedName>
    <definedName name="fields" localSheetId="9">NWR!$A$1:$R$1</definedName>
    <definedName name="fields" localSheetId="35">ONP!$A$1:$R$1</definedName>
    <definedName name="fields" localSheetId="33">OVP!$A$1:$R$1</definedName>
    <definedName name="fields" localSheetId="11">PGE!$A$1:$R$1</definedName>
    <definedName name="fields" localSheetId="21">'PJM Off Peak'!$A$1:$R$1</definedName>
    <definedName name="fields" localSheetId="19">'PJM On Peak'!$A$1:$R$1</definedName>
    <definedName name="fields" localSheetId="32">PVM!$A$1:$R$1</definedName>
    <definedName name="fields" localSheetId="13">SCL!$A$1:$R$1</definedName>
    <definedName name="fields" localSheetId="25">'SP-15 Off Peak'!$A$1:$R$1</definedName>
    <definedName name="fields" localSheetId="23">'SP-15 On Peak'!$A$1:$R$1</definedName>
    <definedName name="fields" localSheetId="15">WAH!$A$1:$R$1</definedName>
    <definedName name="fields.Block.Vol" localSheetId="5">AEC!$Q$2:$Q$116</definedName>
    <definedName name="fields.Block.Vol" localSheetId="7">DGD!$Q$2:$Q$116</definedName>
    <definedName name="fields.Block.Vol" localSheetId="17">HSC!$Q$2:$Q$116</definedName>
    <definedName name="fields.Block.Vol" localSheetId="29">'MidC Off Peak'!$Q$2:$Q$117</definedName>
    <definedName name="fields.Block.Vol" localSheetId="27">'MidC On Peak'!$Q$2:$Q$117</definedName>
    <definedName name="fields.Block.Vol" localSheetId="34">NPM!$Q$2:$Q$105</definedName>
    <definedName name="fields.Block.Vol" localSheetId="9">NWR!$Q$2:$Q$80</definedName>
    <definedName name="fields.Block.Vol" localSheetId="35">ONP!$Q$2:$Q$105</definedName>
    <definedName name="fields.Block.Vol" localSheetId="33">OVP!$Q$2:$Q$117</definedName>
    <definedName name="fields.Block.Vol" localSheetId="11">PGE!$Q$2:$Q$80</definedName>
    <definedName name="fields.Block.Vol" localSheetId="21">'PJM Off Peak'!$Q$2:$Q$129</definedName>
    <definedName name="fields.Block.Vol" localSheetId="19">'PJM On Peak'!$Q$2:$Q$81</definedName>
    <definedName name="fields.Block.Vol" localSheetId="32">PVM!$Q$2:$Q$117</definedName>
    <definedName name="fields.Block.Vol" localSheetId="13">SCL!$Q$2:$Q$140</definedName>
    <definedName name="fields.Block.Vol" localSheetId="25">'SP-15 Off Peak'!$Q$2:$Q$117</definedName>
    <definedName name="fields.Block.Vol" localSheetId="23">'SP-15 On Peak'!$Q$2:$Q$117</definedName>
    <definedName name="fields.Block.Vol" localSheetId="15">WAH!$Q$2:$Q$80</definedName>
    <definedName name="fields.Change" localSheetId="5">AEC!$K$2:$K$116</definedName>
    <definedName name="fields.Change" localSheetId="7">DGD!$K$2:$K$116</definedName>
    <definedName name="fields.Change" localSheetId="17">HSC!$K$2:$K$116</definedName>
    <definedName name="fields.Change" localSheetId="29">'MidC Off Peak'!$K$2:$K$117</definedName>
    <definedName name="fields.Change" localSheetId="27">'MidC On Peak'!$K$2:$K$117</definedName>
    <definedName name="fields.Change" localSheetId="34">NPM!$K$2:$K$105</definedName>
    <definedName name="fields.Change" localSheetId="9">NWR!$K$2:$K$80</definedName>
    <definedName name="fields.Change" localSheetId="35">ONP!$K$2:$K$105</definedName>
    <definedName name="fields.Change" localSheetId="33">OVP!$K$2:$K$117</definedName>
    <definedName name="fields.Change" localSheetId="11">PGE!$K$2:$K$80</definedName>
    <definedName name="fields.Change" localSheetId="21">'PJM Off Peak'!$K$2:$K$129</definedName>
    <definedName name="fields.Change" localSheetId="19">'PJM On Peak'!$K$2:$K$81</definedName>
    <definedName name="fields.Change" localSheetId="32">PVM!$K$2:$K$117</definedName>
    <definedName name="fields.Change" localSheetId="13">SCL!$K$2:$K$140</definedName>
    <definedName name="fields.Change" localSheetId="25">'SP-15 Off Peak'!$K$2:$K$117</definedName>
    <definedName name="fields.Change" localSheetId="23">'SP-15 On Peak'!$K$2:$K$117</definedName>
    <definedName name="fields.Change" localSheetId="15">WAH!$K$2:$K$80</definedName>
    <definedName name="fields.Close" localSheetId="5">AEC!$I$2:$I$116</definedName>
    <definedName name="fields.Close" localSheetId="7">DGD!$I$2:$I$116</definedName>
    <definedName name="fields.Close" localSheetId="17">HSC!$I$2:$I$116</definedName>
    <definedName name="fields.Close" localSheetId="29">'MidC Off Peak'!$I$2:$I$117</definedName>
    <definedName name="fields.Close" localSheetId="27">'MidC On Peak'!$I$2:$I$117</definedName>
    <definedName name="fields.Close" localSheetId="34">NPM!$I$2:$I$105</definedName>
    <definedName name="fields.Close" localSheetId="9">NWR!$I$2:$I$80</definedName>
    <definedName name="fields.Close" localSheetId="35">ONP!$I$2:$I$105</definedName>
    <definedName name="fields.Close" localSheetId="33">OVP!$I$2:$I$117</definedName>
    <definedName name="fields.Close" localSheetId="11">PGE!$I$2:$I$80</definedName>
    <definedName name="fields.Close" localSheetId="21">'PJM Off Peak'!$I$2:$I$129</definedName>
    <definedName name="fields.Close" localSheetId="19">'PJM On Peak'!$I$2:$I$81</definedName>
    <definedName name="fields.Close" localSheetId="32">PVM!$I$2:$I$117</definedName>
    <definedName name="fields.Close" localSheetId="13">SCL!$I$2:$I$140</definedName>
    <definedName name="fields.Close" localSheetId="25">'SP-15 Off Peak'!$I$2:$I$117</definedName>
    <definedName name="fields.Close" localSheetId="23">'SP-15 On Peak'!$I$2:$I$117</definedName>
    <definedName name="fields.Close" localSheetId="15">WAH!$I$2:$I$80</definedName>
    <definedName name="fields.Contract" localSheetId="5">AEC!$B$2:$B$116</definedName>
    <definedName name="fields.Contract" localSheetId="7">DGD!$B$2:$B$116</definedName>
    <definedName name="fields.Contract" localSheetId="17">HSC!$B$2:$B$116</definedName>
    <definedName name="fields.Contract" localSheetId="29">'MidC Off Peak'!$B$2:$B$117</definedName>
    <definedName name="fields.Contract" localSheetId="27">'MidC On Peak'!$B$2:$B$117</definedName>
    <definedName name="fields.Contract" localSheetId="34">NPM!$B$2:$B$105</definedName>
    <definedName name="fields.Contract" localSheetId="9">NWR!$B$2:$B$80</definedName>
    <definedName name="fields.Contract" localSheetId="35">ONP!$B$2:$B$105</definedName>
    <definedName name="fields.Contract" localSheetId="33">OVP!$B$2:$B$117</definedName>
    <definedName name="fields.Contract" localSheetId="11">PGE!$B$2:$B$80</definedName>
    <definedName name="fields.Contract" localSheetId="21">'PJM Off Peak'!$B$2:$B$129</definedName>
    <definedName name="fields.Contract" localSheetId="19">'PJM On Peak'!$B$2:$B$81</definedName>
    <definedName name="fields.Contract" localSheetId="32">PVM!$B$2:$B$117</definedName>
    <definedName name="fields.Contract" localSheetId="13">SCL!$B$2:$B$140</definedName>
    <definedName name="fields.Contract" localSheetId="25">'SP-15 Off Peak'!$B$2:$B$117</definedName>
    <definedName name="fields.Contract" localSheetId="23">'SP-15 On Peak'!$B$2:$B$117</definedName>
    <definedName name="fields.Contract" localSheetId="15">WAH!$B$2:$B$80</definedName>
    <definedName name="fields.EFP" localSheetId="5">AEC!$O$2:$O$116</definedName>
    <definedName name="fields.EFP" localSheetId="7">DGD!$O$2:$O$116</definedName>
    <definedName name="fields.EFP" localSheetId="17">HSC!$O$2:$O$116</definedName>
    <definedName name="fields.EFP" localSheetId="29">'MidC Off Peak'!$O$2:$O$117</definedName>
    <definedName name="fields.EFP" localSheetId="27">'MidC On Peak'!$O$2:$O$117</definedName>
    <definedName name="fields.EFP" localSheetId="34">NPM!$O$2:$O$105</definedName>
    <definedName name="fields.EFP" localSheetId="9">NWR!$O$2:$O$80</definedName>
    <definedName name="fields.EFP" localSheetId="35">ONP!$O$2:$O$105</definedName>
    <definedName name="fields.EFP" localSheetId="33">OVP!$O$2:$O$117</definedName>
    <definedName name="fields.EFP" localSheetId="11">PGE!$O$2:$O$80</definedName>
    <definedName name="fields.EFP" localSheetId="21">'PJM Off Peak'!$O$2:$O$129</definedName>
    <definedName name="fields.EFP" localSheetId="19">'PJM On Peak'!$O$2:$O$81</definedName>
    <definedName name="fields.EFP" localSheetId="32">PVM!$O$2:$O$117</definedName>
    <definedName name="fields.EFP" localSheetId="13">SCL!$O$2:$O$140</definedName>
    <definedName name="fields.EFP" localSheetId="25">'SP-15 Off Peak'!$O$2:$O$117</definedName>
    <definedName name="fields.EFP" localSheetId="23">'SP-15 On Peak'!$O$2:$O$117</definedName>
    <definedName name="fields.EFP" localSheetId="15">WAH!$O$2:$O$80</definedName>
    <definedName name="fields.EFS" localSheetId="5">AEC!$P$2:$P$116</definedName>
    <definedName name="fields.EFS" localSheetId="7">DGD!$P$2:$P$116</definedName>
    <definedName name="fields.EFS" localSheetId="17">HSC!$P$2:$P$116</definedName>
    <definedName name="fields.EFS" localSheetId="29">'MidC Off Peak'!$P$2:$P$117</definedName>
    <definedName name="fields.EFS" localSheetId="27">'MidC On Peak'!$P$2:$P$117</definedName>
    <definedName name="fields.EFS" localSheetId="34">NPM!$P$2:$P$105</definedName>
    <definedName name="fields.EFS" localSheetId="9">NWR!$P$2:$P$80</definedName>
    <definedName name="fields.EFS" localSheetId="35">ONP!$P$2:$P$105</definedName>
    <definedName name="fields.EFS" localSheetId="33">OVP!$P$2:$P$117</definedName>
    <definedName name="fields.EFS" localSheetId="11">PGE!$P$2:$P$80</definedName>
    <definedName name="fields.EFS" localSheetId="21">'PJM Off Peak'!$P$2:$P$129</definedName>
    <definedName name="fields.EFS" localSheetId="19">'PJM On Peak'!$P$2:$P$81</definedName>
    <definedName name="fields.EFS" localSheetId="32">PVM!$P$2:$P$117</definedName>
    <definedName name="fields.EFS" localSheetId="13">SCL!$P$2:$P$140</definedName>
    <definedName name="fields.EFS" localSheetId="25">'SP-15 Off Peak'!$P$2:$P$117</definedName>
    <definedName name="fields.EFS" localSheetId="23">'SP-15 On Peak'!$P$2:$P$117</definedName>
    <definedName name="fields.EFS" localSheetId="15">WAH!$P$2:$P$80</definedName>
    <definedName name="fields.High" localSheetId="5">AEC!$G$2:$G$116</definedName>
    <definedName name="fields.High" localSheetId="7">DGD!$G$2:$G$116</definedName>
    <definedName name="fields.High" localSheetId="17">HSC!$G$2:$G$116</definedName>
    <definedName name="fields.High" localSheetId="29">'MidC Off Peak'!$G$2:$G$117</definedName>
    <definedName name="fields.High" localSheetId="27">'MidC On Peak'!$G$2:$G$117</definedName>
    <definedName name="fields.High" localSheetId="34">NPM!$G$2:$G$105</definedName>
    <definedName name="fields.High" localSheetId="9">NWR!$G$2:$G$80</definedName>
    <definedName name="fields.High" localSheetId="35">ONP!$G$2:$G$105</definedName>
    <definedName name="fields.High" localSheetId="33">OVP!$G$2:$G$117</definedName>
    <definedName name="fields.High" localSheetId="11">PGE!$G$2:$G$80</definedName>
    <definedName name="fields.High" localSheetId="21">'PJM Off Peak'!$G$2:$G$129</definedName>
    <definedName name="fields.High" localSheetId="19">'PJM On Peak'!$G$2:$G$81</definedName>
    <definedName name="fields.High" localSheetId="32">PVM!$G$2:$G$117</definedName>
    <definedName name="fields.High" localSheetId="13">SCL!$G$2:$G$140</definedName>
    <definedName name="fields.High" localSheetId="25">'SP-15 Off Peak'!$G$2:$G$117</definedName>
    <definedName name="fields.High" localSheetId="23">'SP-15 On Peak'!$G$2:$G$117</definedName>
    <definedName name="fields.High" localSheetId="15">WAH!$G$2:$G$80</definedName>
    <definedName name="fields.Key" localSheetId="5">AEC!$A$2:$A$116</definedName>
    <definedName name="fields.Key" localSheetId="7">DGD!$A$2:$A$116</definedName>
    <definedName name="fields.Key" localSheetId="17">HSC!$A$2:$A$116</definedName>
    <definedName name="fields.Key" localSheetId="29">'MidC Off Peak'!$A$2:$A$117</definedName>
    <definedName name="fields.Key" localSheetId="27">'MidC On Peak'!$A$2:$A$117</definedName>
    <definedName name="fields.Key" localSheetId="34">NPM!$A$2:$A$105</definedName>
    <definedName name="fields.Key" localSheetId="9">NWR!$A$2:$A$80</definedName>
    <definedName name="fields.Key" localSheetId="35">ONP!$A$2:$A$105</definedName>
    <definedName name="fields.Key" localSheetId="33">OVP!$A$2:$A$117</definedName>
    <definedName name="fields.Key" localSheetId="11">PGE!$A$2:$A$80</definedName>
    <definedName name="fields.Key" localSheetId="21">'PJM Off Peak'!$A$2:$A$129</definedName>
    <definedName name="fields.Key" localSheetId="19">'PJM On Peak'!$A$2:$A$81</definedName>
    <definedName name="fields.Key" localSheetId="32">PVM!$A$2:$A$117</definedName>
    <definedName name="fields.Key" localSheetId="13">SCL!$A$2:$A$140</definedName>
    <definedName name="fields.Key" localSheetId="25">'SP-15 Off Peak'!$A$2:$A$117</definedName>
    <definedName name="fields.Key" localSheetId="23">'SP-15 On Peak'!$A$2:$A$117</definedName>
    <definedName name="fields.Key" localSheetId="15">WAH!$A$2:$A$80</definedName>
    <definedName name="fields.Low" localSheetId="5">AEC!$H$2:$H$116</definedName>
    <definedName name="fields.Low" localSheetId="7">DGD!$H$2:$H$116</definedName>
    <definedName name="fields.Low" localSheetId="17">HSC!$H$2:$H$116</definedName>
    <definedName name="fields.Low" localSheetId="29">'MidC Off Peak'!$H$2:$H$117</definedName>
    <definedName name="fields.Low" localSheetId="27">'MidC On Peak'!$H$2:$H$117</definedName>
    <definedName name="fields.Low" localSheetId="34">NPM!$H$2:$H$105</definedName>
    <definedName name="fields.Low" localSheetId="9">NWR!$H$2:$H$80</definedName>
    <definedName name="fields.Low" localSheetId="35">ONP!$H$2:$H$105</definedName>
    <definedName name="fields.Low" localSheetId="33">OVP!$H$2:$H$117</definedName>
    <definedName name="fields.Low" localSheetId="11">PGE!$H$2:$H$80</definedName>
    <definedName name="fields.Low" localSheetId="21">'PJM Off Peak'!$H$2:$H$129</definedName>
    <definedName name="fields.Low" localSheetId="19">'PJM On Peak'!$H$2:$H$81</definedName>
    <definedName name="fields.Low" localSheetId="32">PVM!$H$2:$H$117</definedName>
    <definedName name="fields.Low" localSheetId="13">SCL!$H$2:$H$140</definedName>
    <definedName name="fields.Low" localSheetId="25">'SP-15 Off Peak'!$H$2:$H$117</definedName>
    <definedName name="fields.Low" localSheetId="23">'SP-15 On Peak'!$H$2:$H$117</definedName>
    <definedName name="fields.Low" localSheetId="15">WAH!$H$2:$H$80</definedName>
    <definedName name="fields.Month" localSheetId="5">AEC!$E$2:$E$116</definedName>
    <definedName name="fields.Month" localSheetId="7">DGD!$E$2:$E$116</definedName>
    <definedName name="fields.Month" localSheetId="17">HSC!$E$2:$E$116</definedName>
    <definedName name="fields.Month" localSheetId="29">'MidC Off Peak'!$E$2:$E$117</definedName>
    <definedName name="fields.Month" localSheetId="27">'MidC On Peak'!$E$2:$E$117</definedName>
    <definedName name="fields.Month" localSheetId="34">NPM!$E$2:$E$105</definedName>
    <definedName name="fields.Month" localSheetId="9">NWR!$E$2:$E$80</definedName>
    <definedName name="fields.Month" localSheetId="35">ONP!$E$2:$E$105</definedName>
    <definedName name="fields.Month" localSheetId="33">OVP!$E$2:$E$117</definedName>
    <definedName name="fields.Month" localSheetId="11">PGE!$E$2:$E$80</definedName>
    <definedName name="fields.Month" localSheetId="21">'PJM Off Peak'!$E$2:$E$129</definedName>
    <definedName name="fields.Month" localSheetId="19">'PJM On Peak'!$E$2:$E$81</definedName>
    <definedName name="fields.Month" localSheetId="32">PVM!$E$2:$E$117</definedName>
    <definedName name="fields.Month" localSheetId="13">SCL!$E$2:$E$140</definedName>
    <definedName name="fields.Month" localSheetId="25">'SP-15 Off Peak'!$E$2:$E$117</definedName>
    <definedName name="fields.Month" localSheetId="23">'SP-15 On Peak'!$E$2:$E$117</definedName>
    <definedName name="fields.Month" localSheetId="15">WAH!$E$2:$E$80</definedName>
    <definedName name="fields.OI.Change" localSheetId="5">AEC!$N$2:$N$116</definedName>
    <definedName name="fields.OI.Change" localSheetId="7">DGD!$N$2:$N$116</definedName>
    <definedName name="fields.OI.Change" localSheetId="17">HSC!$N$2:$N$116</definedName>
    <definedName name="fields.OI.Change" localSheetId="29">'MidC Off Peak'!$N$2:$N$117</definedName>
    <definedName name="fields.OI.Change" localSheetId="27">'MidC On Peak'!$N$2:$N$117</definedName>
    <definedName name="fields.OI.Change" localSheetId="34">NPM!$N$2:$N$105</definedName>
    <definedName name="fields.OI.Change" localSheetId="9">NWR!$N$2:$N$80</definedName>
    <definedName name="fields.OI.Change" localSheetId="35">ONP!$N$2:$N$105</definedName>
    <definedName name="fields.OI.Change" localSheetId="33">OVP!$N$2:$N$117</definedName>
    <definedName name="fields.OI.Change" localSheetId="11">PGE!$N$2:$N$80</definedName>
    <definedName name="fields.OI.Change" localSheetId="21">'PJM Off Peak'!$N$2:$N$129</definedName>
    <definedName name="fields.OI.Change" localSheetId="19">'PJM On Peak'!$N$2:$N$81</definedName>
    <definedName name="fields.OI.Change" localSheetId="32">PVM!$N$2:$N$117</definedName>
    <definedName name="fields.OI.Change" localSheetId="13">SCL!$N$2:$N$140</definedName>
    <definedName name="fields.OI.Change" localSheetId="25">'SP-15 Off Peak'!$N$2:$N$117</definedName>
    <definedName name="fields.OI.Change" localSheetId="23">'SP-15 On Peak'!$N$2:$N$117</definedName>
    <definedName name="fields.OI.Change" localSheetId="15">WAH!$N$2:$N$80</definedName>
    <definedName name="fields.Open" localSheetId="5">AEC!$F$2:$F$116</definedName>
    <definedName name="fields.Open" localSheetId="7">DGD!$F$2:$F$116</definedName>
    <definedName name="fields.Open" localSheetId="17">HSC!$F$2:$F$116</definedName>
    <definedName name="fields.Open" localSheetId="29">'MidC Off Peak'!$F$2:$F$117</definedName>
    <definedName name="fields.Open" localSheetId="27">'MidC On Peak'!$F$2:$F$117</definedName>
    <definedName name="fields.Open" localSheetId="34">NPM!$F$2:$F$105</definedName>
    <definedName name="fields.Open" localSheetId="9">NWR!$F$2:$F$80</definedName>
    <definedName name="fields.Open" localSheetId="35">ONP!$F$2:$F$105</definedName>
    <definedName name="fields.Open" localSheetId="33">OVP!$F$2:$F$117</definedName>
    <definedName name="fields.Open" localSheetId="11">PGE!$F$2:$F$80</definedName>
    <definedName name="fields.Open" localSheetId="21">'PJM Off Peak'!$F$2:$F$129</definedName>
    <definedName name="fields.Open" localSheetId="19">'PJM On Peak'!$F$2:$F$81</definedName>
    <definedName name="fields.Open" localSheetId="32">PVM!$F$2:$F$117</definedName>
    <definedName name="fields.Open" localSheetId="13">SCL!$F$2:$F$140</definedName>
    <definedName name="fields.Open" localSheetId="25">'SP-15 Off Peak'!$F$2:$F$117</definedName>
    <definedName name="fields.Open" localSheetId="23">'SP-15 On Peak'!$F$2:$F$117</definedName>
    <definedName name="fields.Open" localSheetId="15">WAH!$F$2:$F$80</definedName>
    <definedName name="fields.Open.Int" localSheetId="5">AEC!$M$2:$M$116</definedName>
    <definedName name="fields.Open.Int" localSheetId="7">DGD!$M$2:$M$116</definedName>
    <definedName name="fields.Open.Int" localSheetId="17">HSC!$M$2:$M$116</definedName>
    <definedName name="fields.Open.Int" localSheetId="29">'MidC Off Peak'!$M$2:$M$117</definedName>
    <definedName name="fields.Open.Int" localSheetId="27">'MidC On Peak'!$M$2:$M$117</definedName>
    <definedName name="fields.Open.Int" localSheetId="34">NPM!$M$2:$M$105</definedName>
    <definedName name="fields.Open.Int" localSheetId="9">NWR!$M$2:$M$80</definedName>
    <definedName name="fields.Open.Int" localSheetId="35">ONP!$M$2:$M$105</definedName>
    <definedName name="fields.Open.Int" localSheetId="33">OVP!$M$2:$M$117</definedName>
    <definedName name="fields.Open.Int" localSheetId="11">PGE!$M$2:$M$80</definedName>
    <definedName name="fields.Open.Int" localSheetId="21">'PJM Off Peak'!$M$2:$M$129</definedName>
    <definedName name="fields.Open.Int" localSheetId="19">'PJM On Peak'!$M$2:$M$81</definedName>
    <definedName name="fields.Open.Int" localSheetId="32">PVM!$M$2:$M$117</definedName>
    <definedName name="fields.Open.Int" localSheetId="13">SCL!$M$2:$M$140</definedName>
    <definedName name="fields.Open.Int" localSheetId="25">'SP-15 Off Peak'!$M$2:$M$117</definedName>
    <definedName name="fields.Open.Int" localSheetId="23">'SP-15 On Peak'!$M$2:$M$117</definedName>
    <definedName name="fields.Open.Int" localSheetId="15">WAH!$M$2:$M$80</definedName>
    <definedName name="fields.Settlement" localSheetId="5">AEC!$J$2:$J$116</definedName>
    <definedName name="fields.Settlement" localSheetId="7">DGD!$J$2:$J$116</definedName>
    <definedName name="fields.Settlement" localSheetId="17">HSC!$J$2:$J$116</definedName>
    <definedName name="fields.Settlement" localSheetId="29">'MidC Off Peak'!$J$2:$J$117</definedName>
    <definedName name="fields.Settlement" localSheetId="27">'MidC On Peak'!$J$2:$J$117</definedName>
    <definedName name="fields.Settlement" localSheetId="34">NPM!$J$2:$J$105</definedName>
    <definedName name="fields.Settlement" localSheetId="9">NWR!$J$2:$J$80</definedName>
    <definedName name="fields.Settlement" localSheetId="35">ONP!$J$2:$J$105</definedName>
    <definedName name="fields.Settlement" localSheetId="33">OVP!$J$2:$J$117</definedName>
    <definedName name="fields.Settlement" localSheetId="11">PGE!$J$2:$J$80</definedName>
    <definedName name="fields.Settlement" localSheetId="21">'PJM Off Peak'!$J$2:$J$129</definedName>
    <definedName name="fields.Settlement" localSheetId="19">'PJM On Peak'!$J$2:$J$81</definedName>
    <definedName name="fields.Settlement" localSheetId="32">PVM!$J$2:$J$117</definedName>
    <definedName name="fields.Settlement" localSheetId="13">SCL!$J$2:$J$140</definedName>
    <definedName name="fields.Settlement" localSheetId="25">'SP-15 Off Peak'!$J$2:$J$117</definedName>
    <definedName name="fields.Settlement" localSheetId="23">'SP-15 On Peak'!$J$2:$J$117</definedName>
    <definedName name="fields.Settlement" localSheetId="15">WAH!$J$2:$J$80</definedName>
    <definedName name="fields.Spread.Vol" localSheetId="5">AEC!$R$2:$R$116</definedName>
    <definedName name="fields.Spread.Vol" localSheetId="7">DGD!$R$2:$R$116</definedName>
    <definedName name="fields.Spread.Vol" localSheetId="17">HSC!$R$2:$R$116</definedName>
    <definedName name="fields.Spread.Vol" localSheetId="29">'MidC Off Peak'!$R$2:$R$117</definedName>
    <definedName name="fields.Spread.Vol" localSheetId="27">'MidC On Peak'!$R$2:$R$117</definedName>
    <definedName name="fields.Spread.Vol" localSheetId="34">NPM!$R$2:$R$105</definedName>
    <definedName name="fields.Spread.Vol" localSheetId="9">NWR!$R$2:$R$80</definedName>
    <definedName name="fields.Spread.Vol" localSheetId="35">ONP!$R$2:$R$105</definedName>
    <definedName name="fields.Spread.Vol" localSheetId="33">OVP!$R$2:$R$117</definedName>
    <definedName name="fields.Spread.Vol" localSheetId="11">PGE!$R$2:$R$80</definedName>
    <definedName name="fields.Spread.Vol" localSheetId="21">'PJM Off Peak'!$R$2:$R$129</definedName>
    <definedName name="fields.Spread.Vol" localSheetId="19">'PJM On Peak'!$R$2:$R$81</definedName>
    <definedName name="fields.Spread.Vol" localSheetId="32">PVM!$R$2:$R$117</definedName>
    <definedName name="fields.Spread.Vol" localSheetId="13">SCL!$R$2:$R$140</definedName>
    <definedName name="fields.Spread.Vol" localSheetId="25">'SP-15 Off Peak'!$R$2:$R$117</definedName>
    <definedName name="fields.Spread.Vol" localSheetId="23">'SP-15 On Peak'!$R$2:$R$117</definedName>
    <definedName name="fields.Spread.Vol" localSheetId="15">WAH!$R$2:$R$80</definedName>
    <definedName name="fields.Term" localSheetId="5">AEC!$C$2:$C$116</definedName>
    <definedName name="fields.Term" localSheetId="7">DGD!$C$2:$C$116</definedName>
    <definedName name="fields.Term" localSheetId="17">HSC!$C$2:$C$116</definedName>
    <definedName name="fields.Term" localSheetId="29">'MidC Off Peak'!$C$2:$C$117</definedName>
    <definedName name="fields.Term" localSheetId="27">'MidC On Peak'!$C$2:$C$117</definedName>
    <definedName name="fields.Term" localSheetId="34">NPM!$C$2:$C$105</definedName>
    <definedName name="fields.Term" localSheetId="9">NWR!$C$2:$C$80</definedName>
    <definedName name="fields.Term" localSheetId="35">ONP!$C$2:$C$105</definedName>
    <definedName name="fields.Term" localSheetId="33">OVP!$C$2:$C$117</definedName>
    <definedName name="fields.Term" localSheetId="11">PGE!$C$2:$C$80</definedName>
    <definedName name="fields.Term" localSheetId="21">'PJM Off Peak'!$C$2:$C$129</definedName>
    <definedName name="fields.Term" localSheetId="19">'PJM On Peak'!$C$2:$C$81</definedName>
    <definedName name="fields.Term" localSheetId="32">PVM!$C$2:$C$117</definedName>
    <definedName name="fields.Term" localSheetId="13">SCL!$C$2:$C$140</definedName>
    <definedName name="fields.Term" localSheetId="25">'SP-15 Off Peak'!$C$2:$C$117</definedName>
    <definedName name="fields.Term" localSheetId="23">'SP-15 On Peak'!$C$2:$C$117</definedName>
    <definedName name="fields.Term" localSheetId="15">WAH!$C$2:$C$80</definedName>
    <definedName name="fields.Volume" localSheetId="5">AEC!$L$2:$L$116</definedName>
    <definedName name="fields.Volume" localSheetId="7">DGD!$L$2:$L$116</definedName>
    <definedName name="fields.Volume" localSheetId="17">HSC!$L$2:$L$116</definedName>
    <definedName name="fields.Volume" localSheetId="29">'MidC Off Peak'!$L$2:$L$117</definedName>
    <definedName name="fields.Volume" localSheetId="27">'MidC On Peak'!$L$2:$L$117</definedName>
    <definedName name="fields.Volume" localSheetId="34">NPM!$L$2:$L$105</definedName>
    <definedName name="fields.Volume" localSheetId="9">NWR!$L$2:$L$80</definedName>
    <definedName name="fields.Volume" localSheetId="35">ONP!$L$2:$L$105</definedName>
    <definedName name="fields.Volume" localSheetId="33">OVP!$L$2:$L$117</definedName>
    <definedName name="fields.Volume" localSheetId="11">PGE!$L$2:$L$80</definedName>
    <definedName name="fields.Volume" localSheetId="21">'PJM Off Peak'!$L$2:$L$129</definedName>
    <definedName name="fields.Volume" localSheetId="19">'PJM On Peak'!$L$2:$L$81</definedName>
    <definedName name="fields.Volume" localSheetId="32">PVM!$L$2:$L$117</definedName>
    <definedName name="fields.Volume" localSheetId="13">SCL!$L$2:$L$140</definedName>
    <definedName name="fields.Volume" localSheetId="25">'SP-15 Off Peak'!$L$2:$L$117</definedName>
    <definedName name="fields.Volume" localSheetId="23">'SP-15 On Peak'!$L$2:$L$117</definedName>
    <definedName name="fields.Volume" localSheetId="15">WAH!$L$2:$L$80</definedName>
    <definedName name="fields.Year" localSheetId="5">AEC!$D$2:$D$116</definedName>
    <definedName name="fields.Year" localSheetId="7">DGD!$D$2:$D$116</definedName>
    <definedName name="fields.Year" localSheetId="17">HSC!$D$2:$D$116</definedName>
    <definedName name="fields.Year" localSheetId="29">'MidC Off Peak'!$D$2:$D$117</definedName>
    <definedName name="fields.Year" localSheetId="27">'MidC On Peak'!$D$2:$D$117</definedName>
    <definedName name="fields.Year" localSheetId="34">NPM!$D$2:$D$105</definedName>
    <definedName name="fields.Year" localSheetId="9">NWR!$D$2:$D$80</definedName>
    <definedName name="fields.Year" localSheetId="35">ONP!$D$2:$D$105</definedName>
    <definedName name="fields.Year" localSheetId="33">OVP!$D$2:$D$117</definedName>
    <definedName name="fields.Year" localSheetId="11">PGE!$D$2:$D$80</definedName>
    <definedName name="fields.Year" localSheetId="21">'PJM Off Peak'!$D$2:$D$129</definedName>
    <definedName name="fields.Year" localSheetId="19">'PJM On Peak'!$D$2:$D$81</definedName>
    <definedName name="fields.Year" localSheetId="32">PVM!$D$2:$D$117</definedName>
    <definedName name="fields.Year" localSheetId="13">SCL!$D$2:$D$140</definedName>
    <definedName name="fields.Year" localSheetId="25">'SP-15 Off Peak'!$D$2:$D$117</definedName>
    <definedName name="fields.Year" localSheetId="23">'SP-15 On Peak'!$D$2:$D$117</definedName>
    <definedName name="fields.Year" localSheetId="15">WAH!$D$2:$D$80</definedName>
    <definedName name="HSCblockVol" localSheetId="3">'Basis Swaps 2'!#REF!</definedName>
    <definedName name="HSCblockVol">'Basis Swaps'!$AP$16</definedName>
    <definedName name="HSCOIChange">'Basis Swaps'!$AR$16</definedName>
    <definedName name="HSCOpenInt">'Basis Swaps'!$AQ$16</definedName>
    <definedName name="HSCsettlement" localSheetId="3">'Basis Swaps 2'!#REF!</definedName>
    <definedName name="HSCsettlement">'Basis Swaps'!$AN$16</definedName>
    <definedName name="HSCvolume" localSheetId="3">'Basis Swaps 2'!#REF!</definedName>
    <definedName name="HSCvolume">'Basis Swaps'!$AO$16</definedName>
    <definedName name="MidCdate">#REF!</definedName>
    <definedName name="midCOffPeakBlockVol">#REF!</definedName>
    <definedName name="MidCOffPeakOpenInt">'West Electric'!#REF!</definedName>
    <definedName name="midCOffPeakSettlement">#REF!</definedName>
    <definedName name="midCOffPeakVolume">#REF!</definedName>
    <definedName name="midCPeakBlockVol">#REF!</definedName>
    <definedName name="MidCPeakOpenInt">'West Electric'!#REF!</definedName>
    <definedName name="midCPeakSettlement">#REF!</definedName>
    <definedName name="midCPeakVolume">#REF!</definedName>
    <definedName name="midCterm">#REF!</definedName>
    <definedName name="midCYear">#REF!</definedName>
    <definedName name="monthMapping">'Month Mapping'!$A$1:$B$12</definedName>
    <definedName name="NWRblockVol" localSheetId="3">'Basis Swaps 2'!#REF!</definedName>
    <definedName name="NWRblockVol">'Basis Swaps'!$R$16</definedName>
    <definedName name="NWROIChange">'Basis Swaps'!$T$16</definedName>
    <definedName name="NWROpenInt">'Basis Swaps'!$S$16</definedName>
    <definedName name="NWRsettlement" localSheetId="3">'Basis Swaps 2'!#REF!</definedName>
    <definedName name="NWRsettlement">'Basis Swaps'!$P$16</definedName>
    <definedName name="NWRvolume" localSheetId="3">'Basis Swaps 2'!#REF!</definedName>
    <definedName name="NWRvolume">'Basis Swaps'!$Q$16</definedName>
    <definedName name="PGEblockVol" localSheetId="3">'Basis Swaps 2'!#REF!</definedName>
    <definedName name="PGEblockVol">'Basis Swaps'!$X$16</definedName>
    <definedName name="PGEOIChange">'Basis Swaps'!$Z$16</definedName>
    <definedName name="PGEOpenInt">'Basis Swaps'!$Y$16</definedName>
    <definedName name="PGEsettlement" localSheetId="3">'Basis Swaps 2'!#REF!</definedName>
    <definedName name="PGEsettlement">'Basis Swaps'!$V$16</definedName>
    <definedName name="PGEvolume" localSheetId="3">'Basis Swaps 2'!#REF!</definedName>
    <definedName name="PGEvolume">'Basis Swaps'!$W$16</definedName>
    <definedName name="PJMdate">PJM!$B$1</definedName>
    <definedName name="PJMOffPeakBlockVol">PJM!$K$11</definedName>
    <definedName name="PJMOffPeakOIChange">PJM!$M$11</definedName>
    <definedName name="PJMOffPeakOpenInt">PJM!$L$11</definedName>
    <definedName name="PJMOffPeakPrevious">'PJM Off Peak Previous'!#REF!</definedName>
    <definedName name="PJMOffPeakSettlement">PJM!$I$11</definedName>
    <definedName name="PJMOffPeakVolume">PJM!$J$11</definedName>
    <definedName name="PJMOnPeakPrevious">'PJM On Peak Previous'!#REF!</definedName>
    <definedName name="PJMPeakBlockVol">PJM!$E$11</definedName>
    <definedName name="PJMPeakOIChange">PJM!$G$11</definedName>
    <definedName name="PJMPeakOpenInt">PJM!$F$11</definedName>
    <definedName name="PJMPeakSettlement">PJM!$C$11</definedName>
    <definedName name="PJMPeakVolume">PJM!$D$11</definedName>
    <definedName name="PJMTerm">PJM!$A$11</definedName>
    <definedName name="PJMYear">PJM!$B$11</definedName>
    <definedName name="previousPJMOffPeak">'PJM Off Peak Previous'!#REF!</definedName>
    <definedName name="previousPJMPeak">'PJM On Peak Previous'!#REF!</definedName>
    <definedName name="records" localSheetId="5">AEC!$A$2:$R$116</definedName>
    <definedName name="records" localSheetId="7">DGD!$A$2:$R$116</definedName>
    <definedName name="records" localSheetId="17">HSC!$A$2:$R$116</definedName>
    <definedName name="records" localSheetId="29">'MidC Off Peak'!$A$2:$R$117</definedName>
    <definedName name="records" localSheetId="27">'MidC On Peak'!$A$2:$R$117</definedName>
    <definedName name="records" localSheetId="34">NPM!$A$2:$R$105</definedName>
    <definedName name="records" localSheetId="9">NWR!$A$2:$R$80</definedName>
    <definedName name="records" localSheetId="35">ONP!$A$2:$R$105</definedName>
    <definedName name="records" localSheetId="33">OVP!$A$2:$R$117</definedName>
    <definedName name="records" localSheetId="11">PGE!$A$2:$R$80</definedName>
    <definedName name="records" localSheetId="21">'PJM Off Peak'!$A$2:$R$129</definedName>
    <definedName name="records" localSheetId="19">'PJM On Peak'!$A$2:$R$81</definedName>
    <definedName name="records" localSheetId="32">PVM!$A$2:$R$117</definedName>
    <definedName name="records" localSheetId="13">SCL!$A$2:$R$140</definedName>
    <definedName name="records" localSheetId="25">'SP-15 Off Peak'!$A$2:$R$117</definedName>
    <definedName name="records" localSheetId="23">'SP-15 On Peak'!$A$2:$R$117</definedName>
    <definedName name="records" localSheetId="15">WAH!$A$2:$R$80</definedName>
    <definedName name="SCLblockVol" localSheetId="3">'Basis Swaps 2'!#REF!</definedName>
    <definedName name="SCLblockVol">'Basis Swaps'!$AD$16</definedName>
    <definedName name="SCLOIChange">'Basis Swaps'!$AF$16</definedName>
    <definedName name="SCLOpenInt">'Basis Swaps'!$AE$16</definedName>
    <definedName name="SCLsettlement" localSheetId="3">'Basis Swaps 2'!#REF!</definedName>
    <definedName name="SCLsettlement">'Basis Swaps'!$AB$16</definedName>
    <definedName name="SCLvolume" localSheetId="3">'Basis Swaps 2'!#REF!</definedName>
    <definedName name="SCLvolume">'Basis Swaps'!$AC$16</definedName>
    <definedName name="SP15date">#REF!</definedName>
    <definedName name="SP15MidCdate">'West Electric'!$B$2</definedName>
    <definedName name="SP15MidCMidCOffPeakBlockVol">'West Electric'!$R$17</definedName>
    <definedName name="SP15MidCMidCOffPeakOIChange">'West Electric'!#REF!</definedName>
    <definedName name="SP15MidCMidCOffPeakOpenInt">'West Electric'!#REF!</definedName>
    <definedName name="SP15MidCMidCOffPeakSettlement">'West Electric'!$P$17</definedName>
    <definedName name="SP15MidCMidCOffPeakVolume">'West Electric'!$Q$17</definedName>
    <definedName name="SP15MidCMidCPeakBlockVol">'West Electric'!$N$17</definedName>
    <definedName name="SP15MidCMidCPeakOIChange">'West Electric'!#REF!</definedName>
    <definedName name="SP15MidCMidCPeakOpenInt">'West Electric'!#REF!</definedName>
    <definedName name="SP15MidCMidCPeakSettlement">'West Electric'!$L$17</definedName>
    <definedName name="SP15MidCMidCPeakVolume">'West Electric'!$M$17</definedName>
    <definedName name="SP15MidCSP15OffPeakBlockVol">'West Electric'!$J$17</definedName>
    <definedName name="SP15MidCSP15OffPeakOIChange">'West Electric'!#REF!</definedName>
    <definedName name="SP15MidCSP15OffPeakOpenInt">'West Electric'!#REF!</definedName>
    <definedName name="SP15MidCSP15OffPeakSettlement">'West Electric'!$H$17</definedName>
    <definedName name="SP15MidCSP15OffPeakVolume">'West Electric'!$I$17</definedName>
    <definedName name="SP15MidCSP15PeakBlockVol">'West Electric'!$F$17</definedName>
    <definedName name="SP15MidCSP15PeakOIChange">'West Electric'!#REF!</definedName>
    <definedName name="SP15MidCSP15PeakOpenInt">'West Electric'!#REF!</definedName>
    <definedName name="SP15MidCSP15PeakSettlement">'West Electric'!$D$17</definedName>
    <definedName name="SP15MidCSP15PeakVolume">'West Electric'!$E$17</definedName>
    <definedName name="SP15MidCterm">'West Electric'!$A$17</definedName>
    <definedName name="SP15MidCyear">'West Electric'!$B$17</definedName>
    <definedName name="SP15OffPeakBlockVol">#REF!</definedName>
    <definedName name="SP15OffPeakOpenInt">'West Electric'!#REF!</definedName>
    <definedName name="SP15OffPeakSettlement">#REF!</definedName>
    <definedName name="SP15OffPeakVolume">#REF!</definedName>
    <definedName name="SP15PeakBlockVol">#REF!</definedName>
    <definedName name="SP15PeakOpenInt">'West Electric'!#REF!</definedName>
    <definedName name="SP15PeakSettlement">#REF!</definedName>
    <definedName name="SP15PeakVolume">#REF!</definedName>
    <definedName name="SP15term">#REF!</definedName>
    <definedName name="SP15year">#REF!</definedName>
    <definedName name="table" localSheetId="5">AEC!$A$1:$R$116</definedName>
    <definedName name="table" localSheetId="7">DGD!$A$1:$R$116</definedName>
    <definedName name="table" localSheetId="17">HSC!$A$1:$R$116</definedName>
    <definedName name="table" localSheetId="29">'MidC Off Peak'!$A$1:$R$117</definedName>
    <definedName name="table" localSheetId="27">'MidC On Peak'!$A$1:$R$117</definedName>
    <definedName name="table" localSheetId="34">NPM!$A$1:$R$105</definedName>
    <definedName name="table" localSheetId="9">NWR!$A$1:$R$80</definedName>
    <definedName name="table" localSheetId="35">ONP!$A$1:$R$105</definedName>
    <definedName name="table" localSheetId="33">OVP!$A$1:$R$117</definedName>
    <definedName name="table" localSheetId="11">PGE!$A$1:$R$80</definedName>
    <definedName name="table" localSheetId="21">'PJM Off Peak'!$A$1:$R$129</definedName>
    <definedName name="table" localSheetId="19">'PJM On Peak'!$A$1:$R$81</definedName>
    <definedName name="table" localSheetId="32">PVM!$A$1:$R$117</definedName>
    <definedName name="table" localSheetId="13">SCL!$A$1:$R$140</definedName>
    <definedName name="table" localSheetId="25">'SP-15 Off Peak'!$A$1:$R$117</definedName>
    <definedName name="table" localSheetId="23">'SP-15 On Peak'!$A$1:$R$117</definedName>
    <definedName name="table" localSheetId="15">WAH!$A$1:$R$80</definedName>
    <definedName name="WAHblockVol" localSheetId="3">'Basis Swaps 2'!#REF!</definedName>
    <definedName name="WAHblockVol">'Basis Swaps'!$AJ$16</definedName>
    <definedName name="WAHOIChange">'Basis Swaps'!$AL$16</definedName>
    <definedName name="WAHOpenInt">'Basis Swaps'!$AK$16</definedName>
    <definedName name="WAHsettlement" localSheetId="3">'Basis Swaps 2'!#REF!</definedName>
    <definedName name="WAHsettlement">'Basis Swaps'!$AH$16</definedName>
    <definedName name="WAHvolume" localSheetId="3">'Basis Swaps 2'!#REF!</definedName>
    <definedName name="WAHvolume">'Basis Swaps'!$AI$16</definedName>
    <definedName name="WestElecNPMBlockVol">'West Electric'!$AD$17</definedName>
    <definedName name="WestElecNPMSettlement">'West Electric'!$AB$17</definedName>
    <definedName name="WestElecNPMVolume">'West Electric'!$AC$17</definedName>
    <definedName name="WestElecONPBlockVol">'West Electric'!$AH$17</definedName>
    <definedName name="WestElecONPSettlement">'West Electric'!$AF$17</definedName>
    <definedName name="WestElecONPVolume">'West Electric'!$AG$17</definedName>
    <definedName name="WestElecOVPBlockVol">'West Electric'!$Z$17</definedName>
    <definedName name="WestElecOVPSettlement">'West Electric'!$X$17</definedName>
    <definedName name="WestElecOVPVolume">'West Electric'!$Y$17</definedName>
    <definedName name="WestElecPVMBlockVol">'West Electric'!$V$17</definedName>
    <definedName name="WestElecPVMSettlement">'West Electric'!$T$17</definedName>
    <definedName name="WestElecPVMVolume">'West Electric'!$U$17</definedName>
  </definedNames>
  <calcPr calcId="145621"/>
</workbook>
</file>

<file path=xl/calcChain.xml><?xml version="1.0" encoding="utf-8"?>
<calcChain xmlns="http://schemas.openxmlformats.org/spreadsheetml/2006/main">
  <c r="AD137" i="26" l="1"/>
  <c r="AC137" i="26"/>
  <c r="AB137" i="26"/>
  <c r="Z137" i="26"/>
  <c r="Y137" i="26"/>
  <c r="X137" i="26"/>
  <c r="R137" i="26"/>
  <c r="Q137" i="26"/>
  <c r="P137" i="26"/>
  <c r="N137" i="26"/>
  <c r="M137" i="26"/>
  <c r="L137" i="26"/>
  <c r="J137" i="26"/>
  <c r="I137" i="26"/>
  <c r="H137" i="26"/>
  <c r="F137" i="26"/>
  <c r="E137" i="26"/>
  <c r="D137" i="26"/>
  <c r="AD136" i="26"/>
  <c r="AC136" i="26"/>
  <c r="AB136" i="26"/>
  <c r="Z136" i="26"/>
  <c r="Y136" i="26"/>
  <c r="X136" i="26"/>
  <c r="R136" i="26"/>
  <c r="Q136" i="26"/>
  <c r="P136" i="26"/>
  <c r="N136" i="26"/>
  <c r="M136" i="26"/>
  <c r="L136" i="26"/>
  <c r="J136" i="26"/>
  <c r="I136" i="26"/>
  <c r="H136" i="26"/>
  <c r="F136" i="26"/>
  <c r="E136" i="26"/>
  <c r="D136" i="26"/>
  <c r="AD135" i="26"/>
  <c r="AC135" i="26"/>
  <c r="AB135" i="26"/>
  <c r="Z135" i="26"/>
  <c r="Y135" i="26"/>
  <c r="X135" i="26"/>
  <c r="R135" i="26"/>
  <c r="Q135" i="26"/>
  <c r="P135" i="26"/>
  <c r="N135" i="26"/>
  <c r="M135" i="26"/>
  <c r="L135" i="26"/>
  <c r="J135" i="26"/>
  <c r="I135" i="26"/>
  <c r="H135" i="26"/>
  <c r="F135" i="26"/>
  <c r="E135" i="26"/>
  <c r="D135" i="26"/>
  <c r="F12" i="26"/>
  <c r="E12" i="26"/>
  <c r="F11" i="26"/>
  <c r="E11" i="26"/>
  <c r="F10" i="26"/>
  <c r="E10" i="26"/>
  <c r="F9" i="26"/>
  <c r="E9" i="26"/>
  <c r="F8" i="26"/>
  <c r="E8" i="26"/>
  <c r="F7" i="26"/>
  <c r="E7" i="26"/>
  <c r="F6" i="26"/>
  <c r="E6" i="26"/>
  <c r="AD1" i="26"/>
  <c r="AC1" i="26"/>
  <c r="AB1" i="26"/>
  <c r="Z1" i="26"/>
  <c r="Y1" i="26"/>
  <c r="X1" i="26"/>
  <c r="V1" i="26"/>
  <c r="U1" i="26"/>
  <c r="T1" i="26"/>
  <c r="R1" i="26"/>
  <c r="Q1" i="26"/>
  <c r="P1" i="26"/>
  <c r="N1" i="26"/>
  <c r="M1" i="26"/>
  <c r="L1" i="26"/>
  <c r="J1" i="26"/>
  <c r="I1" i="26"/>
  <c r="H1" i="26"/>
  <c r="F1" i="26"/>
  <c r="E1" i="26"/>
  <c r="D1" i="26"/>
  <c r="A3" i="38"/>
  <c r="A4" i="38"/>
  <c r="A5" i="38"/>
  <c r="A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2" i="38"/>
  <c r="D3" i="38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2" i="38"/>
  <c r="A3" i="37"/>
  <c r="A4" i="37"/>
  <c r="A5" i="37"/>
  <c r="A6" i="37"/>
  <c r="A7" i="37"/>
  <c r="A8" i="37"/>
  <c r="A9" i="37"/>
  <c r="A10" i="37"/>
  <c r="A11" i="37"/>
  <c r="A12" i="37"/>
  <c r="A13" i="37"/>
  <c r="A14" i="37"/>
  <c r="A15" i="37"/>
  <c r="A16" i="37"/>
  <c r="A17" i="37"/>
  <c r="A18" i="37"/>
  <c r="A19" i="37"/>
  <c r="A20" i="37"/>
  <c r="A21" i="37"/>
  <c r="A22" i="37"/>
  <c r="A23" i="37"/>
  <c r="A24" i="37"/>
  <c r="A25" i="37"/>
  <c r="A26" i="37"/>
  <c r="A27" i="37"/>
  <c r="A28" i="37"/>
  <c r="A29" i="37"/>
  <c r="A30" i="37"/>
  <c r="A31" i="37"/>
  <c r="A32" i="37"/>
  <c r="A33" i="37"/>
  <c r="A34" i="37"/>
  <c r="A35" i="37"/>
  <c r="A36" i="37"/>
  <c r="A37" i="37"/>
  <c r="A38" i="37"/>
  <c r="A39" i="37"/>
  <c r="A40" i="37"/>
  <c r="A41" i="37"/>
  <c r="A42" i="37"/>
  <c r="A43" i="37"/>
  <c r="A44" i="37"/>
  <c r="A45" i="37"/>
  <c r="A46" i="37"/>
  <c r="A47" i="37"/>
  <c r="A48" i="37"/>
  <c r="A49" i="37"/>
  <c r="A50" i="37"/>
  <c r="A51" i="37"/>
  <c r="A52" i="37"/>
  <c r="A53" i="37"/>
  <c r="A54" i="37"/>
  <c r="A55" i="37"/>
  <c r="A56" i="37"/>
  <c r="A57" i="37"/>
  <c r="A58" i="37"/>
  <c r="A59" i="37"/>
  <c r="A60" i="37"/>
  <c r="A61" i="37"/>
  <c r="A62" i="37"/>
  <c r="A63" i="37"/>
  <c r="A64" i="37"/>
  <c r="A65" i="37"/>
  <c r="A66" i="37"/>
  <c r="A67" i="37"/>
  <c r="A68" i="37"/>
  <c r="A69" i="37"/>
  <c r="A70" i="37"/>
  <c r="A71" i="37"/>
  <c r="A72" i="37"/>
  <c r="A73" i="37"/>
  <c r="A74" i="37"/>
  <c r="A75" i="37"/>
  <c r="A76" i="37"/>
  <c r="A77" i="37"/>
  <c r="A78" i="37"/>
  <c r="A79" i="37"/>
  <c r="A80" i="37"/>
  <c r="A81" i="37"/>
  <c r="A82" i="37"/>
  <c r="A83" i="37"/>
  <c r="A84" i="37"/>
  <c r="A85" i="37"/>
  <c r="A86" i="37"/>
  <c r="A87" i="37"/>
  <c r="A88" i="37"/>
  <c r="A89" i="37"/>
  <c r="A90" i="37"/>
  <c r="A91" i="37"/>
  <c r="A92" i="37"/>
  <c r="A93" i="37"/>
  <c r="A94" i="37"/>
  <c r="A95" i="37"/>
  <c r="A96" i="37"/>
  <c r="A97" i="37"/>
  <c r="A98" i="37"/>
  <c r="A99" i="37"/>
  <c r="A100" i="37"/>
  <c r="A101" i="37"/>
  <c r="A102" i="37"/>
  <c r="A103" i="37"/>
  <c r="A104" i="37"/>
  <c r="A105" i="37"/>
  <c r="A2" i="37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C80" i="37"/>
  <c r="C81" i="37"/>
  <c r="C82" i="37"/>
  <c r="C83" i="37"/>
  <c r="C84" i="37"/>
  <c r="C85" i="37"/>
  <c r="C86" i="37"/>
  <c r="C87" i="37"/>
  <c r="C88" i="37"/>
  <c r="C89" i="37"/>
  <c r="C90" i="37"/>
  <c r="C91" i="37"/>
  <c r="C92" i="37"/>
  <c r="C93" i="37"/>
  <c r="C94" i="37"/>
  <c r="C95" i="37"/>
  <c r="C96" i="37"/>
  <c r="C97" i="37"/>
  <c r="C98" i="37"/>
  <c r="C99" i="37"/>
  <c r="C100" i="37"/>
  <c r="C101" i="37"/>
  <c r="C102" i="37"/>
  <c r="C103" i="37"/>
  <c r="C104" i="37"/>
  <c r="C105" i="37"/>
  <c r="C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D80" i="37"/>
  <c r="D81" i="37"/>
  <c r="D82" i="37"/>
  <c r="D83" i="37"/>
  <c r="D84" i="37"/>
  <c r="D85" i="37"/>
  <c r="D86" i="37"/>
  <c r="D87" i="37"/>
  <c r="D88" i="37"/>
  <c r="D89" i="37"/>
  <c r="D90" i="37"/>
  <c r="D91" i="37"/>
  <c r="D92" i="37"/>
  <c r="D93" i="37"/>
  <c r="D94" i="37"/>
  <c r="D95" i="37"/>
  <c r="D96" i="37"/>
  <c r="D97" i="37"/>
  <c r="D98" i="37"/>
  <c r="D99" i="37"/>
  <c r="D100" i="37"/>
  <c r="D101" i="37"/>
  <c r="D102" i="37"/>
  <c r="D103" i="37"/>
  <c r="D104" i="37"/>
  <c r="D105" i="37"/>
  <c r="D2" i="37"/>
  <c r="A3" i="36"/>
  <c r="A4" i="36"/>
  <c r="A5" i="36"/>
  <c r="A6" i="36"/>
  <c r="A7" i="36"/>
  <c r="A8" i="36"/>
  <c r="A9" i="36"/>
  <c r="A10" i="36"/>
  <c r="A11" i="36"/>
  <c r="A12" i="36"/>
  <c r="A13" i="36"/>
  <c r="A14" i="36"/>
  <c r="A15" i="36"/>
  <c r="A16" i="36"/>
  <c r="A17" i="36"/>
  <c r="A18" i="36"/>
  <c r="A19" i="36"/>
  <c r="A20" i="36"/>
  <c r="A21" i="36"/>
  <c r="A22" i="36"/>
  <c r="A23" i="36"/>
  <c r="A24" i="36"/>
  <c r="A25" i="36"/>
  <c r="A26" i="36"/>
  <c r="A27" i="36"/>
  <c r="A28" i="36"/>
  <c r="A29" i="36"/>
  <c r="A30" i="36"/>
  <c r="A31" i="36"/>
  <c r="A32" i="36"/>
  <c r="A33" i="36"/>
  <c r="A34" i="36"/>
  <c r="A35" i="36"/>
  <c r="A36" i="36"/>
  <c r="A37" i="36"/>
  <c r="A38" i="36"/>
  <c r="A39" i="36"/>
  <c r="A40" i="36"/>
  <c r="A41" i="36"/>
  <c r="A42" i="36"/>
  <c r="A43" i="36"/>
  <c r="A44" i="36"/>
  <c r="A45" i="36"/>
  <c r="A46" i="36"/>
  <c r="A47" i="36"/>
  <c r="A48" i="36"/>
  <c r="A49" i="36"/>
  <c r="A50" i="36"/>
  <c r="A51" i="36"/>
  <c r="A52" i="36"/>
  <c r="A53" i="36"/>
  <c r="A54" i="36"/>
  <c r="A55" i="36"/>
  <c r="A56" i="36"/>
  <c r="A57" i="36"/>
  <c r="A58" i="36"/>
  <c r="A59" i="36"/>
  <c r="A60" i="36"/>
  <c r="A61" i="36"/>
  <c r="A62" i="36"/>
  <c r="A63" i="36"/>
  <c r="A64" i="36"/>
  <c r="A65" i="36"/>
  <c r="A66" i="36"/>
  <c r="A67" i="36"/>
  <c r="A68" i="36"/>
  <c r="A69" i="36"/>
  <c r="A70" i="36"/>
  <c r="A71" i="36"/>
  <c r="A72" i="36"/>
  <c r="A73" i="36"/>
  <c r="A74" i="36"/>
  <c r="A75" i="36"/>
  <c r="A76" i="36"/>
  <c r="A77" i="36"/>
  <c r="A78" i="36"/>
  <c r="A79" i="36"/>
  <c r="A80" i="36"/>
  <c r="A81" i="36"/>
  <c r="A82" i="36"/>
  <c r="A83" i="36"/>
  <c r="A84" i="36"/>
  <c r="A85" i="36"/>
  <c r="A86" i="36"/>
  <c r="A87" i="36"/>
  <c r="A88" i="36"/>
  <c r="A89" i="36"/>
  <c r="A90" i="36"/>
  <c r="A91" i="36"/>
  <c r="A92" i="36"/>
  <c r="A93" i="36"/>
  <c r="A94" i="36"/>
  <c r="A95" i="36"/>
  <c r="A96" i="36"/>
  <c r="A97" i="36"/>
  <c r="A98" i="36"/>
  <c r="A99" i="36"/>
  <c r="A100" i="36"/>
  <c r="A101" i="36"/>
  <c r="A102" i="36"/>
  <c r="A103" i="36"/>
  <c r="A104" i="36"/>
  <c r="A105" i="36"/>
  <c r="A106" i="36"/>
  <c r="A107" i="36"/>
  <c r="A108" i="36"/>
  <c r="A109" i="36"/>
  <c r="A110" i="36"/>
  <c r="A111" i="36"/>
  <c r="A112" i="36"/>
  <c r="A113" i="36"/>
  <c r="A114" i="36"/>
  <c r="A115" i="36"/>
  <c r="A116" i="36"/>
  <c r="A117" i="36"/>
  <c r="A2" i="36"/>
  <c r="C3" i="36"/>
  <c r="C4" i="36"/>
  <c r="C5" i="36"/>
  <c r="C6" i="36"/>
  <c r="C7" i="36"/>
  <c r="C8" i="36"/>
  <c r="C9" i="36"/>
  <c r="C10" i="36"/>
  <c r="C11" i="36"/>
  <c r="C12" i="36"/>
  <c r="C13" i="36"/>
  <c r="C14" i="36"/>
  <c r="C15" i="36"/>
  <c r="C16" i="36"/>
  <c r="C17" i="36"/>
  <c r="C18" i="36"/>
  <c r="C19" i="36"/>
  <c r="C20" i="36"/>
  <c r="C21" i="36"/>
  <c r="C22" i="36"/>
  <c r="C23" i="36"/>
  <c r="C24" i="36"/>
  <c r="C25" i="36"/>
  <c r="C26" i="36"/>
  <c r="C27" i="36"/>
  <c r="C28" i="36"/>
  <c r="C29" i="36"/>
  <c r="C30" i="36"/>
  <c r="C31" i="36"/>
  <c r="C32" i="36"/>
  <c r="C33" i="36"/>
  <c r="C34" i="36"/>
  <c r="C35" i="36"/>
  <c r="C36" i="36"/>
  <c r="C37" i="36"/>
  <c r="C38" i="36"/>
  <c r="C39" i="36"/>
  <c r="C40" i="36"/>
  <c r="C41" i="36"/>
  <c r="C42" i="36"/>
  <c r="C43" i="36"/>
  <c r="C44" i="36"/>
  <c r="C45" i="36"/>
  <c r="C46" i="36"/>
  <c r="C47" i="36"/>
  <c r="C48" i="36"/>
  <c r="C49" i="36"/>
  <c r="C50" i="36"/>
  <c r="C51" i="36"/>
  <c r="C52" i="36"/>
  <c r="C53" i="36"/>
  <c r="C54" i="36"/>
  <c r="C55" i="36"/>
  <c r="C56" i="36"/>
  <c r="C57" i="36"/>
  <c r="C58" i="36"/>
  <c r="C59" i="36"/>
  <c r="C60" i="36"/>
  <c r="C61" i="36"/>
  <c r="C62" i="36"/>
  <c r="C63" i="36"/>
  <c r="C64" i="36"/>
  <c r="C65" i="36"/>
  <c r="C66" i="36"/>
  <c r="C67" i="36"/>
  <c r="C68" i="36"/>
  <c r="C69" i="36"/>
  <c r="C70" i="36"/>
  <c r="C71" i="36"/>
  <c r="C72" i="36"/>
  <c r="C73" i="36"/>
  <c r="C74" i="36"/>
  <c r="C75" i="36"/>
  <c r="C76" i="36"/>
  <c r="C77" i="36"/>
  <c r="C78" i="36"/>
  <c r="C79" i="36"/>
  <c r="C80" i="36"/>
  <c r="C81" i="36"/>
  <c r="C82" i="36"/>
  <c r="C83" i="36"/>
  <c r="C84" i="36"/>
  <c r="C85" i="36"/>
  <c r="C86" i="36"/>
  <c r="C87" i="36"/>
  <c r="C88" i="36"/>
  <c r="C89" i="36"/>
  <c r="C90" i="36"/>
  <c r="C91" i="36"/>
  <c r="C92" i="36"/>
  <c r="C93" i="36"/>
  <c r="C94" i="36"/>
  <c r="C95" i="36"/>
  <c r="C96" i="36"/>
  <c r="C97" i="36"/>
  <c r="C98" i="36"/>
  <c r="C99" i="36"/>
  <c r="C100" i="36"/>
  <c r="C101" i="36"/>
  <c r="C102" i="36"/>
  <c r="C103" i="36"/>
  <c r="C104" i="36"/>
  <c r="C105" i="36"/>
  <c r="C106" i="36"/>
  <c r="C107" i="36"/>
  <c r="C108" i="36"/>
  <c r="C109" i="36"/>
  <c r="C110" i="36"/>
  <c r="C111" i="36"/>
  <c r="C112" i="36"/>
  <c r="C113" i="36"/>
  <c r="C114" i="36"/>
  <c r="C115" i="36"/>
  <c r="C116" i="36"/>
  <c r="C117" i="36"/>
  <c r="C2" i="36"/>
  <c r="D3" i="36"/>
  <c r="D4" i="36"/>
  <c r="D5" i="36"/>
  <c r="D6" i="36"/>
  <c r="D7" i="36"/>
  <c r="D8" i="36"/>
  <c r="D9" i="36"/>
  <c r="D10" i="36"/>
  <c r="D11" i="36"/>
  <c r="D12" i="36"/>
  <c r="D13" i="36"/>
  <c r="D14" i="36"/>
  <c r="D15" i="36"/>
  <c r="D16" i="36"/>
  <c r="D17" i="36"/>
  <c r="D18" i="36"/>
  <c r="D19" i="36"/>
  <c r="D20" i="36"/>
  <c r="D21" i="36"/>
  <c r="D22" i="36"/>
  <c r="D23" i="36"/>
  <c r="D24" i="36"/>
  <c r="D25" i="36"/>
  <c r="D26" i="36"/>
  <c r="D27" i="36"/>
  <c r="D28" i="36"/>
  <c r="D29" i="36"/>
  <c r="D30" i="36"/>
  <c r="D31" i="36"/>
  <c r="D32" i="36"/>
  <c r="D33" i="36"/>
  <c r="D34" i="36"/>
  <c r="D35" i="36"/>
  <c r="D36" i="36"/>
  <c r="D37" i="36"/>
  <c r="D38" i="36"/>
  <c r="D39" i="36"/>
  <c r="D40" i="36"/>
  <c r="D41" i="36"/>
  <c r="D42" i="36"/>
  <c r="D43" i="36"/>
  <c r="D44" i="36"/>
  <c r="D45" i="36"/>
  <c r="D46" i="36"/>
  <c r="D47" i="36"/>
  <c r="D48" i="36"/>
  <c r="D49" i="36"/>
  <c r="D50" i="36"/>
  <c r="D51" i="36"/>
  <c r="D52" i="36"/>
  <c r="D53" i="36"/>
  <c r="D54" i="36"/>
  <c r="D55" i="36"/>
  <c r="D56" i="36"/>
  <c r="D57" i="36"/>
  <c r="D58" i="36"/>
  <c r="D59" i="36"/>
  <c r="D60" i="36"/>
  <c r="D61" i="36"/>
  <c r="D62" i="36"/>
  <c r="D63" i="36"/>
  <c r="D64" i="36"/>
  <c r="D65" i="36"/>
  <c r="D66" i="36"/>
  <c r="D67" i="36"/>
  <c r="D68" i="36"/>
  <c r="D69" i="36"/>
  <c r="D70" i="36"/>
  <c r="D71" i="36"/>
  <c r="D72" i="36"/>
  <c r="D73" i="36"/>
  <c r="D74" i="36"/>
  <c r="D75" i="36"/>
  <c r="D76" i="36"/>
  <c r="D77" i="36"/>
  <c r="D78" i="36"/>
  <c r="D79" i="36"/>
  <c r="D80" i="36"/>
  <c r="D81" i="36"/>
  <c r="D82" i="36"/>
  <c r="D83" i="36"/>
  <c r="D84" i="36"/>
  <c r="D85" i="36"/>
  <c r="D86" i="36"/>
  <c r="D87" i="36"/>
  <c r="D88" i="36"/>
  <c r="D89" i="36"/>
  <c r="D90" i="36"/>
  <c r="D91" i="36"/>
  <c r="D92" i="36"/>
  <c r="D93" i="36"/>
  <c r="D94" i="36"/>
  <c r="D95" i="36"/>
  <c r="D96" i="36"/>
  <c r="D97" i="36"/>
  <c r="D98" i="36"/>
  <c r="D99" i="36"/>
  <c r="D100" i="36"/>
  <c r="D101" i="36"/>
  <c r="D102" i="36"/>
  <c r="D103" i="36"/>
  <c r="D104" i="36"/>
  <c r="D105" i="36"/>
  <c r="D106" i="36"/>
  <c r="D107" i="36"/>
  <c r="D108" i="36"/>
  <c r="D109" i="36"/>
  <c r="D110" i="36"/>
  <c r="D111" i="36"/>
  <c r="D112" i="36"/>
  <c r="D113" i="36"/>
  <c r="D114" i="36"/>
  <c r="D115" i="36"/>
  <c r="D116" i="36"/>
  <c r="D117" i="36"/>
  <c r="D2" i="36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51" i="35"/>
  <c r="A52" i="35"/>
  <c r="A53" i="35"/>
  <c r="A54" i="35"/>
  <c r="A55" i="35"/>
  <c r="A56" i="35"/>
  <c r="A57" i="35"/>
  <c r="A58" i="35"/>
  <c r="A59" i="35"/>
  <c r="A60" i="35"/>
  <c r="A61" i="35"/>
  <c r="A62" i="35"/>
  <c r="A63" i="35"/>
  <c r="A64" i="35"/>
  <c r="A65" i="35"/>
  <c r="A66" i="35"/>
  <c r="A67" i="35"/>
  <c r="A68" i="35"/>
  <c r="A69" i="35"/>
  <c r="A70" i="35"/>
  <c r="A71" i="35"/>
  <c r="A72" i="35"/>
  <c r="A73" i="35"/>
  <c r="A74" i="35"/>
  <c r="A75" i="35"/>
  <c r="A76" i="35"/>
  <c r="A77" i="35"/>
  <c r="A78" i="35"/>
  <c r="A79" i="35"/>
  <c r="A80" i="35"/>
  <c r="A81" i="35"/>
  <c r="A82" i="35"/>
  <c r="A83" i="35"/>
  <c r="A84" i="35"/>
  <c r="A85" i="35"/>
  <c r="A86" i="35"/>
  <c r="A87" i="35"/>
  <c r="A88" i="35"/>
  <c r="A89" i="35"/>
  <c r="A90" i="35"/>
  <c r="A91" i="35"/>
  <c r="A92" i="35"/>
  <c r="A93" i="35"/>
  <c r="A94" i="35"/>
  <c r="A95" i="35"/>
  <c r="A96" i="35"/>
  <c r="A97" i="35"/>
  <c r="A98" i="35"/>
  <c r="A99" i="35"/>
  <c r="A100" i="35"/>
  <c r="A101" i="35"/>
  <c r="A102" i="35"/>
  <c r="A103" i="35"/>
  <c r="A104" i="35"/>
  <c r="A105" i="35"/>
  <c r="A106" i="35"/>
  <c r="A107" i="35"/>
  <c r="A108" i="35"/>
  <c r="A109" i="35"/>
  <c r="A110" i="35"/>
  <c r="A111" i="35"/>
  <c r="A112" i="35"/>
  <c r="A113" i="35"/>
  <c r="A114" i="35"/>
  <c r="A115" i="35"/>
  <c r="A116" i="35"/>
  <c r="A117" i="35"/>
  <c r="A2" i="35"/>
  <c r="C3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2" i="35"/>
  <c r="D3" i="35"/>
  <c r="D4" i="35"/>
  <c r="D5" i="35"/>
  <c r="D6" i="35"/>
  <c r="D7" i="35"/>
  <c r="D8" i="35"/>
  <c r="D9" i="35"/>
  <c r="D10" i="35"/>
  <c r="D11" i="35"/>
  <c r="D12" i="35"/>
  <c r="D13" i="35"/>
  <c r="D14" i="35"/>
  <c r="D15" i="35"/>
  <c r="D16" i="35"/>
  <c r="D17" i="35"/>
  <c r="D18" i="35"/>
  <c r="D19" i="35"/>
  <c r="D20" i="35"/>
  <c r="D21" i="35"/>
  <c r="D22" i="35"/>
  <c r="D23" i="35"/>
  <c r="D24" i="35"/>
  <c r="D25" i="35"/>
  <c r="D26" i="35"/>
  <c r="D27" i="35"/>
  <c r="D28" i="35"/>
  <c r="D29" i="35"/>
  <c r="D30" i="35"/>
  <c r="D31" i="35"/>
  <c r="D32" i="35"/>
  <c r="D33" i="35"/>
  <c r="D34" i="35"/>
  <c r="D35" i="35"/>
  <c r="D36" i="35"/>
  <c r="D37" i="35"/>
  <c r="D38" i="35"/>
  <c r="D39" i="35"/>
  <c r="D40" i="35"/>
  <c r="D41" i="35"/>
  <c r="D42" i="35"/>
  <c r="D43" i="35"/>
  <c r="D44" i="35"/>
  <c r="D45" i="35"/>
  <c r="D46" i="35"/>
  <c r="D47" i="35"/>
  <c r="D48" i="35"/>
  <c r="D49" i="35"/>
  <c r="D50" i="35"/>
  <c r="D51" i="35"/>
  <c r="D52" i="35"/>
  <c r="D53" i="35"/>
  <c r="D54" i="35"/>
  <c r="D55" i="35"/>
  <c r="D56" i="35"/>
  <c r="D57" i="35"/>
  <c r="D58" i="35"/>
  <c r="D59" i="35"/>
  <c r="D60" i="35"/>
  <c r="D61" i="35"/>
  <c r="D62" i="35"/>
  <c r="D63" i="35"/>
  <c r="D64" i="35"/>
  <c r="D65" i="35"/>
  <c r="D66" i="35"/>
  <c r="D67" i="35"/>
  <c r="D68" i="35"/>
  <c r="D69" i="35"/>
  <c r="D70" i="35"/>
  <c r="D71" i="35"/>
  <c r="D72" i="35"/>
  <c r="D73" i="35"/>
  <c r="D74" i="35"/>
  <c r="D75" i="35"/>
  <c r="D76" i="35"/>
  <c r="D77" i="35"/>
  <c r="D78" i="35"/>
  <c r="D79" i="35"/>
  <c r="D80" i="35"/>
  <c r="D81" i="35"/>
  <c r="D82" i="35"/>
  <c r="D83" i="35"/>
  <c r="D84" i="35"/>
  <c r="D85" i="35"/>
  <c r="D86" i="35"/>
  <c r="D87" i="35"/>
  <c r="D88" i="35"/>
  <c r="D89" i="35"/>
  <c r="D90" i="35"/>
  <c r="D91" i="35"/>
  <c r="D92" i="35"/>
  <c r="D93" i="35"/>
  <c r="D94" i="35"/>
  <c r="D95" i="35"/>
  <c r="D96" i="35"/>
  <c r="D97" i="35"/>
  <c r="D98" i="35"/>
  <c r="D99" i="35"/>
  <c r="D100" i="35"/>
  <c r="D101" i="35"/>
  <c r="D102" i="35"/>
  <c r="D103" i="35"/>
  <c r="D104" i="35"/>
  <c r="D105" i="35"/>
  <c r="D106" i="35"/>
  <c r="D107" i="35"/>
  <c r="D108" i="35"/>
  <c r="D109" i="35"/>
  <c r="D110" i="35"/>
  <c r="D111" i="35"/>
  <c r="D112" i="35"/>
  <c r="D113" i="35"/>
  <c r="D114" i="35"/>
  <c r="D115" i="35"/>
  <c r="D116" i="35"/>
  <c r="D117" i="35"/>
  <c r="D2" i="35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2" i="17"/>
  <c r="C3" i="17"/>
  <c r="C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C101" i="17"/>
  <c r="C102" i="17"/>
  <c r="C103" i="17"/>
  <c r="C104" i="17"/>
  <c r="C105" i="17"/>
  <c r="C106" i="17"/>
  <c r="C107" i="17"/>
  <c r="C108" i="17"/>
  <c r="C109" i="17"/>
  <c r="C110" i="17"/>
  <c r="C111" i="17"/>
  <c r="C112" i="17"/>
  <c r="C113" i="17"/>
  <c r="C114" i="17"/>
  <c r="C115" i="17"/>
  <c r="C116" i="17"/>
  <c r="C2" i="17"/>
  <c r="D3" i="17"/>
  <c r="D4" i="17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2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2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2" i="16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2" i="15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C101" i="15"/>
  <c r="C102" i="15"/>
  <c r="C103" i="15"/>
  <c r="C104" i="15"/>
  <c r="C105" i="15"/>
  <c r="C106" i="15"/>
  <c r="C107" i="15"/>
  <c r="C108" i="15"/>
  <c r="C109" i="15"/>
  <c r="C110" i="15"/>
  <c r="C111" i="15"/>
  <c r="C112" i="15"/>
  <c r="C113" i="15"/>
  <c r="C114" i="15"/>
  <c r="C115" i="15"/>
  <c r="C116" i="15"/>
  <c r="C117" i="15"/>
  <c r="C118" i="15"/>
  <c r="C119" i="15"/>
  <c r="C120" i="15"/>
  <c r="C121" i="15"/>
  <c r="C122" i="15"/>
  <c r="C123" i="15"/>
  <c r="C124" i="15"/>
  <c r="C125" i="15"/>
  <c r="C126" i="15"/>
  <c r="C127" i="15"/>
  <c r="C128" i="15"/>
  <c r="C129" i="15"/>
  <c r="C130" i="15"/>
  <c r="C131" i="15"/>
  <c r="C132" i="15"/>
  <c r="C133" i="15"/>
  <c r="C134" i="15"/>
  <c r="C135" i="15"/>
  <c r="C136" i="15"/>
  <c r="C137" i="15"/>
  <c r="C138" i="15"/>
  <c r="C139" i="15"/>
  <c r="C140" i="15"/>
  <c r="C2" i="15"/>
  <c r="D3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D101" i="15"/>
  <c r="D102" i="15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D139" i="15"/>
  <c r="D140" i="15"/>
  <c r="D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2" i="14"/>
  <c r="C3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C78" i="14"/>
  <c r="C79" i="14"/>
  <c r="C80" i="14"/>
  <c r="C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2" i="14"/>
  <c r="A3" i="13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2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2" i="13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2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2" i="12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2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2" i="1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2" i="11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2" i="10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2" i="9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2" i="6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2" i="4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2" i="3"/>
  <c r="F13" i="7" l="1"/>
  <c r="E13" i="7"/>
  <c r="F12" i="7"/>
  <c r="E12" i="7"/>
  <c r="F11" i="7"/>
  <c r="E11" i="7"/>
  <c r="F10" i="7"/>
  <c r="E10" i="7"/>
  <c r="F9" i="7"/>
  <c r="E9" i="7"/>
  <c r="F8" i="7"/>
  <c r="E8" i="7"/>
  <c r="F7" i="7"/>
  <c r="E7" i="7"/>
  <c r="AN1" i="18"/>
  <c r="AO1" i="18"/>
  <c r="AP1" i="18"/>
  <c r="AN135" i="18"/>
  <c r="AO135" i="18"/>
  <c r="AP135" i="18"/>
  <c r="AN136" i="18"/>
  <c r="AO136" i="18"/>
  <c r="AP136" i="18"/>
  <c r="AN137" i="18"/>
  <c r="AO137" i="18"/>
  <c r="AP137" i="18"/>
  <c r="AH1" i="18"/>
  <c r="AI1" i="18"/>
  <c r="AJ1" i="18"/>
  <c r="AB1" i="18"/>
  <c r="AC1" i="18"/>
  <c r="AD1" i="18"/>
  <c r="V1" i="18"/>
  <c r="W1" i="18"/>
  <c r="X1" i="18"/>
  <c r="P1" i="18"/>
  <c r="Q1" i="18"/>
  <c r="R1" i="18"/>
  <c r="J1" i="18"/>
  <c r="K1" i="18"/>
  <c r="L1" i="18"/>
  <c r="D1" i="18"/>
  <c r="E1" i="18"/>
  <c r="F1" i="18"/>
  <c r="P1" i="7"/>
  <c r="Q1" i="7"/>
  <c r="L1" i="7"/>
  <c r="M1" i="7"/>
  <c r="K1" i="7"/>
  <c r="F11" i="18"/>
  <c r="E11" i="18"/>
  <c r="F12" i="18"/>
  <c r="E12" i="18"/>
  <c r="F10" i="18"/>
  <c r="E10" i="18"/>
  <c r="F9" i="18"/>
  <c r="E9" i="18"/>
  <c r="F8" i="18"/>
  <c r="E8" i="18"/>
  <c r="F7" i="18"/>
  <c r="E7" i="18"/>
  <c r="F6" i="18"/>
  <c r="E6" i="18"/>
  <c r="F6" i="7"/>
  <c r="E6" i="7"/>
  <c r="C6" i="8"/>
  <c r="C5" i="8"/>
  <c r="B5" i="8"/>
  <c r="B6" i="8"/>
  <c r="AH137" i="18"/>
  <c r="AI137" i="18"/>
  <c r="AJ135" i="18"/>
  <c r="AJ136" i="18"/>
  <c r="AI135" i="18"/>
  <c r="AJ137" i="18"/>
  <c r="AH136" i="18"/>
  <c r="V137" i="18"/>
  <c r="W135" i="18"/>
  <c r="AI136" i="18"/>
  <c r="AH135" i="18"/>
  <c r="V135" i="18"/>
  <c r="W136" i="18"/>
  <c r="X137" i="18"/>
  <c r="W137" i="18"/>
  <c r="X135" i="18"/>
  <c r="V136" i="18"/>
  <c r="X136" i="18"/>
  <c r="F135" i="18" l="1"/>
  <c r="E137" i="18"/>
  <c r="E135" i="18"/>
  <c r="D137" i="18"/>
  <c r="D135" i="18"/>
  <c r="E136" i="18"/>
  <c r="F136" i="18"/>
  <c r="D136" i="18"/>
  <c r="F137" i="18"/>
  <c r="R135" i="18"/>
  <c r="P137" i="18"/>
  <c r="R137" i="18"/>
  <c r="Q135" i="18"/>
  <c r="Q137" i="18"/>
  <c r="R136" i="18"/>
  <c r="P136" i="18"/>
  <c r="P135" i="18"/>
  <c r="Q136" i="18"/>
  <c r="J135" i="18"/>
  <c r="J137" i="18"/>
  <c r="K137" i="18"/>
  <c r="L136" i="18"/>
  <c r="L137" i="18"/>
  <c r="K136" i="18"/>
  <c r="K135" i="18"/>
  <c r="J136" i="18"/>
  <c r="L135" i="18"/>
</calcChain>
</file>

<file path=xl/sharedStrings.xml><?xml version="1.0" encoding="utf-8"?>
<sst xmlns="http://schemas.openxmlformats.org/spreadsheetml/2006/main" count="7640" uniqueCount="1601">
  <si>
    <t>MAR-15,0,0,0,0,.1000,.0000,0,2077,0,N/A,0,0,0</t>
  </si>
  <si>
    <t>APR-15,0,0,0,0,.0500,.0000,0,2040,0,N/A,0,0,0</t>
  </si>
  <si>
    <t>MAY-15,0,0,0,0,.0500,.0000,0,2108,0,N/A,0,0,0</t>
  </si>
  <si>
    <t>JUN-15,0,0,0,0,.0500,.0000,0,2040,0,N/A,0,0,0</t>
  </si>
  <si>
    <t>JUL-15,0,0,0,0,.0500,.0000,0,2108,0,N/A,0,0,0</t>
  </si>
  <si>
    <t>AUG-15,0,0,0,0,.0500,.0000,0,2108,0,N/A,0,0,0</t>
  </si>
  <si>
    <t>SEP-15,0,0,0,0,.0500,.0000,0,2040,0,N/A,0,0,0</t>
  </si>
  <si>
    <t>OCT-15,0,0,0,0,.0500,.0000,0,2108,0,N/A,0,0,0</t>
  </si>
  <si>
    <t>NOV-15,0,0,0,0,.0725,.0000,0,1620,0,N/A,0,0,0</t>
  </si>
  <si>
    <t>DEC-15,0,0,0,0,.0725,.0000,0,1674,0,N/A,0,0,0</t>
  </si>
  <si>
    <t>JAN-16,0,0,0,0,.0725,.0000,0,651,0,N/A,0,0,0</t>
  </si>
  <si>
    <t>FEB-16,0,0,0,0,.0725,.0000,0,609,0,N/A,0,0,0</t>
  </si>
  <si>
    <t>MAR-16,0,0,0,0,.0725,.0000,0,651,0,N/A,0,0,0</t>
  </si>
  <si>
    <t>APR-16,0,0,0,0,.0350,.0000,0,330,0,N/A,0,0,0</t>
  </si>
  <si>
    <t>MAY-16,0,0,0,0,.0350,.0000,0,341,0,N/A,0,0,0</t>
  </si>
  <si>
    <t>JUN-16,0,0,0,0,.0350,.0000,0,330,0,N/A,0,0,0</t>
  </si>
  <si>
    <t>JUL-16,0,0,0,0,.0350,.0000,0,341,0,N/A,0,0,0</t>
  </si>
  <si>
    <t>AUG-16,0,0,0,0,.0350,.0000,0,341,0,N/A,0,0,0</t>
  </si>
  <si>
    <t>SEP-16,0,0,0,0,.0350,.0000,0,330,0,N/A,0,0,0</t>
  </si>
  <si>
    <t>OCT-16,0,0,0,0,.0350,.0000,0,341,0,N/A,0,0,0</t>
  </si>
  <si>
    <t>NOV-16,0,0,0,0,.0750,.0000,0,300,0,N/A,0,0,0</t>
  </si>
  <si>
    <t>DEC-16,0,0,0,0,.0750,.0000,0,310,0,N/A,0,0,0</t>
  </si>
  <si>
    <t>JAN-17,0,0,0,0,.0750,.0000,0,0,0,N/A,0,0,0</t>
  </si>
  <si>
    <t>FEB-17,0,0,0,0,.0750,.0000,0,0,0,N/A,0,0,0</t>
  </si>
  <si>
    <t>MAR-17,0,0,0,0,.0750,.0000,0,0,0,N/A,0,0,0</t>
  </si>
  <si>
    <t>APR-17,0,0,0,0,.0375,.0000,0,0,0,N/A,0,0,0</t>
  </si>
  <si>
    <t>MAY-17,0,0,0,0,.0375,.0000,0,0,0,N/A,0,0,0</t>
  </si>
  <si>
    <t>JUN-17,0,0,0,0,.0375,.0000,0,0,0,N/A,0,0,0</t>
  </si>
  <si>
    <t>JUL-17,0,0,0,0,.0375,.0000,0,0,0,N/A,0,0,0</t>
  </si>
  <si>
    <t>AUG-17,0,0,0,0,.0375,.0000,0,0,0,N/A,0,0,0</t>
  </si>
  <si>
    <t>Commodity Name,Hub,Product,Contract Month,Open,High,Low,Settlement,Change,Block Vol,Volume,Open Int,Prev Day Vol,11-Oct-2012</t>
  </si>
  <si>
    <t>CAL,CCA V13,CCA,Dec12,14.50,14.50,14.50,14.40,-0.30,10,15,91,0,</t>
  </si>
  <si>
    <t>CAL,CCA V13,CCA,Dec13,14.50,14.50,14.40,14.40,-0.20,85,125,1829,0,</t>
  </si>
  <si>
    <t>CAL,CCA V13,CCA,Dec14,,,,14.75,-0.20,0,0,0,0,</t>
  </si>
  <si>
    <t>CAL,CCA V13,CCA,Dec15,,,,15.70,-0.20,0,0,0,0,</t>
  </si>
  <si>
    <t>CAM,CCA V14,CCA,Dec14,,,,14.55,-0.20,0,0,25,0,</t>
  </si>
  <si>
    <t>CAM,CCA V14,CCA,Dec15,,,,15.40,-0.20,0,0,0,0,</t>
  </si>
  <si>
    <t>CAN,CCA V15,CCA,Dec12,,,,11.40,0.35,10,10,145,0,</t>
  </si>
  <si>
    <t>CAN,CCA V15,CCA,Dec13,,,,11.95,0.35,0,0,15,0,</t>
  </si>
  <si>
    <t>CAN,CCA V15,CCA,Dec14,,,,12.40,0.35,0,0,0,0,</t>
  </si>
  <si>
    <t>CAN,CCA V15,CCA,Dec15,,,,13.65,0.35,0,0,20,0,</t>
  </si>
  <si>
    <t>CTR,REC-CT C1,REC-CT,Oct12,,,,45.93,0.00,0,0,0,0,</t>
  </si>
  <si>
    <t>CTR,REC-CT C1,REC-CT,Nov12,,,,45.93,0.00,0,0,0,0,</t>
  </si>
  <si>
    <t>CTR,REC-CT C1,REC-CT,Jan13,,,,45.95,0.00,0,0,0,0,</t>
  </si>
  <si>
    <t>CTR,REC-CT C1,REC-CT,Feb13,,,,45.96,0.00,0,0,0,0,</t>
  </si>
  <si>
    <t>CTR,REC-CT C1,REC-CT,Apr13,,,,52.70,0.70,0,0,625,0,</t>
  </si>
  <si>
    <t>CTR,REC-CT C1,REC-CT,May13,,,,52.70,0.70,0,0,900,0,</t>
  </si>
  <si>
    <t>CTR,REC-CT C1,REC-CT,Jul13,,,,46.04,0.00,0,0,0,0,</t>
  </si>
  <si>
    <t>CTR,REC-CT C1,REC-CT,Aug13,,,,46.06,0.00,0,0,250,0,</t>
  </si>
  <si>
    <t>CTR,REC-CT C1,REC-CT,Oct13,,,,37.63,0.00,0,0,0,0,</t>
  </si>
  <si>
    <t>CTR,REC-CT C1,REC-CT,Nov13,,,,37.64,0.00,0,0,0,0,</t>
  </si>
  <si>
    <t>CTR,REC-CT C1,REC-CT,Jan14,,,,37.68,0.00,0,0,0,0,</t>
  </si>
  <si>
    <t>CTR,REC-CT C1,REC-CT,Feb14,,,,37.70,0.00,0,0,0,0,</t>
  </si>
  <si>
    <t>CTR,REC-CT C1,REC-CT,Apr14,,,,47.75,-0.50,0,0,700,0,</t>
  </si>
  <si>
    <t>CTR,REC-CT C1,REC-CT,May14,48.00,48.00,48.00,47.75,-0.50,0,50,1675,0,</t>
  </si>
  <si>
    <t>CTR,REC-CT C1,REC-CT,Jul14,,,,37.82,0.00,0,0,0,0,</t>
  </si>
  <si>
    <t>CTR,REC-CT C1,REC-CT,Aug14,,,,37.85,0.00,0,0,0,0,</t>
  </si>
  <si>
    <t>CTR,REC-CT C1,REC-CT,Oct14,,,,25.10,0.00,0,0,0,0,</t>
  </si>
  <si>
    <t>CTR,REC-CT C1,REC-CT,Nov14,,,,25.13,0.00,0,0,0,0,</t>
  </si>
  <si>
    <t>CTR,REC-CT C1,REC-CT,Jan15,,,,25.18,0.00,0,0,0,0,</t>
  </si>
  <si>
    <t>CTR,REC-CT C1,REC-CT,Feb15,,,,25.20,0.00,0,0,0,0,</t>
  </si>
  <si>
    <t>CTR,REC-CT C1,REC-CT,Apr15,,,,39.25,-0.75,0,0,0,0,</t>
  </si>
  <si>
    <t>CTR,REC-CT C1,REC-CT,May15,,,,39.25,-0.75,0,0,550,50,</t>
  </si>
  <si>
    <t>CTR,REC-CT C1,REC-CT,Jul15,,,,28.19,0.00,0,0,0,0,</t>
  </si>
  <si>
    <t>CTR,REC-CT C1,REC-CT,Aug15,,,,28.25,0.00,0,0,0,0,</t>
  </si>
  <si>
    <t>CTR,REC-CT C1,REC-CT,Oct15,,,,25.64,0.00,0,0,0,0,</t>
  </si>
  <si>
    <t>CTR,REC-CT C1,REC-CT,Nov15,,,,25.70,0.00,0,0,0,0,</t>
  </si>
  <si>
    <t>CTR,REC-CT C1,REC-CT,Jan16,,,,25.82,0.00,0,0,0,0,</t>
  </si>
  <si>
    <t>CTR,REC-CT C1,REC-CT,Feb16,,,,25.88,0.00,0,0,0,0,</t>
  </si>
  <si>
    <t>CTR,REC-CT C1,REC-CT,Apr16,,,,37.25,0.00,0,0,0,0,</t>
  </si>
  <si>
    <t>CTR,REC-CT C1,REC-CT,May16,,,,37.25,0.00,0,0,0,0,</t>
  </si>
  <si>
    <t>CTR,REC-CT C1,REC-CT,Jul16,,,,26.18,0.00,0,0,0,0,</t>
  </si>
  <si>
    <t>CTR,REC-CT C1,REC-CT,Aug16,,,,26.24,0.00,0,0,0,0,</t>
  </si>
  <si>
    <t>CTR,REC-CT C1,REC-CT,Oct16,,,,27.38,0.00,0,0,0,0,</t>
  </si>
  <si>
    <t>CTR,REC-CT C1,REC-CT,Nov16,,,,27.45,0.00,0,0,0,0,</t>
  </si>
  <si>
    <t>CTR,REC-CT C1,REC-CT,Jan17,,,,23.82,0.00,0,0,0,0,</t>
  </si>
  <si>
    <t>CTR,REC-CT C1,REC-CT,Feb17,,,,23.88,0.00,0,0,0,0,</t>
  </si>
  <si>
    <t>CTR,REC-CT C1,REC-CT,Apr17,,,,24.00,0.00,0,0,0,0,</t>
  </si>
  <si>
    <t>CTR,REC-CT C1,REC-CT,May17,,,,24.06,0.00,0,0,0,0,</t>
  </si>
  <si>
    <t>CTR,REC-CT C1,REC-CT,Jul17,,,,24.18,0.00,0,0,0,0,</t>
  </si>
  <si>
    <t>CTR,REC-CT C1,REC-CT,Aug17,,,,24.24,0.00,0,0,0,0,</t>
  </si>
  <si>
    <t>CTR,REC-CT C1,REC-CT,Oct17,,,,25.38,0.00,0,0,0,0,</t>
  </si>
  <si>
    <t>CTR,REC-CT C1,REC-CT,Nov17,,,,25.45,0.00,0,0,0,0,</t>
  </si>
  <si>
    <t>MCR,REC-MA C1,REC-MA,Oct12,,,,62.50,0.00,0,0,0,0,</t>
  </si>
  <si>
    <t>MCR,REC-MA C1,REC-MA,Nov12,,,,62.50,0.00,0,0,0,0,</t>
  </si>
  <si>
    <t>MCR,REC-MA C1,REC-MA,Jan13,,,,62.50,0.00,0,0,0,0,</t>
  </si>
  <si>
    <t>MCR,REC-MA C1,REC-MA,Feb13,,,,62.50,0.00,0,0,0,0,</t>
  </si>
  <si>
    <t>JUN-15,0,0,0,0,-.1050,.0000,0,822,0,N/A,0,0,0</t>
  </si>
  <si>
    <t>JUL-15,0,0,0,0,-.1050,.0000,0,849,0,N/A,0,0,0</t>
  </si>
  <si>
    <t>AUG-15,0,0,0,0,-.1050,.0000,0,849,0,N/A,0,0,0</t>
  </si>
  <si>
    <t>SEP-15,0,0,0,0,-.1050,.0000,0,822,0,N/A,0,0,0</t>
  </si>
  <si>
    <t>OCT-15,0,0,0,0,-.1050,.0000,0,849,0,N/A,0,0,0</t>
  </si>
  <si>
    <t>NOV-15,0,0,0,0,-.1425,.0000,0,612,0,N/A,0,0,0</t>
  </si>
  <si>
    <t>DEC-15,0,0,0,0,-.0925,.0000,0,632,0,N/A,0,0,0</t>
  </si>
  <si>
    <t>JAN-16,0,0,0,0,-.1050,.0000,0,12,0,N/A,0,0,0</t>
  </si>
  <si>
    <t>FEB-16,0,0,0,0,-.1050,.0000,0,12,0,N/A,0,0,0</t>
  </si>
  <si>
    <t>MAR-16,0,0,0,0,-.0950,.0000,0,12,0,N/A,0,0,0</t>
  </si>
  <si>
    <t>APR-16,0,0,0,0,-.1100,.0000,0,12,0,N/A,0,0,0</t>
  </si>
  <si>
    <t>MAY-16,0,0,0,0,-.1100,.0000,0,12,0,N/A,0,0,0</t>
  </si>
  <si>
    <t>JUN-16,0,0,0,0,-.1100,.0000,0,12,0,N/A,0,0,0</t>
  </si>
  <si>
    <t>JUL-16,0,0,0,0,-.1100,.0000,0,12,0,N/A,0,0,0</t>
  </si>
  <si>
    <t>AUG-16,0,0,0,0,-.1100,.0000,0,12,0,N/A,0,0,0</t>
  </si>
  <si>
    <t>SEP-16,0,0,0,0,-.1100,.0000,0,12,0,N/A,0,0,0</t>
  </si>
  <si>
    <t>OCT-16,0,0,0,0,-.1100,.0000,0,12,0,N/A,0,0,0</t>
  </si>
  <si>
    <t>NOV-16,0,0,0,0,-.1300,.0000,0,12,0,N/A,0,0,0</t>
  </si>
  <si>
    <t>DEC-16,0,0,0,0,-.0800,.0000,0,12,0,N/A,0,0,0</t>
  </si>
  <si>
    <t>JAN-17,0,0,0,0,-.0850,.0000,0,12,0,N/A,0,0,0</t>
  </si>
  <si>
    <t>FEB-17,0,0,0,0,-.0875,.0000,0,12,0,N/A,0,0,0</t>
  </si>
  <si>
    <t>MAR-17,0,0,0,0,-.0800,.0000,0,12,0,N/A,0,0,0</t>
  </si>
  <si>
    <t>APR-17,0,0,0,0,-.1125,.0000,0,12,0,N/A,0,0,0</t>
  </si>
  <si>
    <t>MAY-17,0,0,0,0,-.1125,.0000,0,12,0,N/A,0,0,0</t>
  </si>
  <si>
    <t>JUN-17,0,0,0,0,-.1125,.0000,0,12,0,N/A,0,0,0</t>
  </si>
  <si>
    <t>JUL-17,0,0,0,0,-.1125,.0000,0,0,0,N/A,0,0,0</t>
  </si>
  <si>
    <t>AUG-17,0,0,0,0,-.1125,.0000,0,0,0,N/A,0,0,0</t>
  </si>
  <si>
    <t>SEP-17,0,0,0,0,-.1125,.0000,0,0,0,N/A,0,0,0</t>
  </si>
  <si>
    <t>OCT-17,0,0,0,0,-.1125,.0000,0,0,0,N/A,0,0,0</t>
  </si>
  <si>
    <t>NOV-17,0,0,0,0,-.1300,.0000,0,0,0,N/A,0,0,0</t>
  </si>
  <si>
    <t>DEC-17,0,0,0,0,-.0800,.0000,0,0,0,N/A,0,0,0</t>
  </si>
  <si>
    <t>DEC-12,-.0475,-.0475,-.0500,-.0500,-.0500,-.0100,2914,24303,1190,N/A,0,0,1891</t>
  </si>
  <si>
    <t>JAN-13,-.0575,-.0575,-.0625,-.0625,-.0625,-.0075,2387,22586,930,N/A,0,0,682</t>
  </si>
  <si>
    <t>FEB-13,-.0595,-.0595,-.0600,-.0600,-.0600,-.0050,1400,19090,438,N/A,0,0,252</t>
  </si>
  <si>
    <t>MAR-13,-.0620,-.0620,-.0625,-.0625,-.0650,-.0075,1488,21005,589,N/A,0,0,279</t>
  </si>
  <si>
    <t>APR-13,0,0,0,0,-.0500,.0000,870,11884,150,N/A,0,0,810</t>
  </si>
  <si>
    <t>MAY-13,0,0,0,0,-.0575,-.0075,1426,12500,620,N/A,0,0,1364</t>
  </si>
  <si>
    <t>JUN-13,0,0,0,0,-.0550,-.0075,990,10474,240,N/A,0,0,930</t>
  </si>
  <si>
    <t>JUL-13,0,0,0,0,-.0375,-.0050,341,11490,248,N/A,0,0,279</t>
  </si>
  <si>
    <t>AUG-13,0,0,0,0,-.0350,.0000,341,11394,93,N/A,0,0,279</t>
  </si>
  <si>
    <t>SEP-13,-.0550,-.0550,-.0550,-.0550,-.0550,.0000,360,12982,150,N/A,0,0,270</t>
  </si>
  <si>
    <t>OCT-13,0,0,0,0,-.0650,-.0025,341,14032,155,N/A,0,0,279</t>
  </si>
  <si>
    <t>NOV-13,-.0800,-.0800,-.0800,-.0800,-.0800,-.0050,60,8576,30,N/A,0,0,0</t>
  </si>
  <si>
    <t>DEC-13,-.0800,-.0800,-.0825,-.0825,-.0825,-.0050,93,13402,31,N/A,0,0,0</t>
  </si>
  <si>
    <t>JAN-14,0,0,0,0,-.0850,-.0025,434,4849,253,N/A,0,0,434</t>
  </si>
  <si>
    <t>FEB-14,0,0,0,0,-.0800,-.0075,0,3690,0,N/A,0,0,0</t>
  </si>
  <si>
    <t>MAR-14,0,0,0,0,-.0700,-.0050,0,4964,0,N/A,0,0,0</t>
  </si>
  <si>
    <t>APR-14,0,0,0,0,-.0550,-.0050,0,3710,0,N/A,0,0,0</t>
  </si>
  <si>
    <t>MAY-14,0,0,0,0,-.0550,-.0050,0,3417,0,N/A,0,0,0</t>
  </si>
  <si>
    <t>JUN-14,0,0,0,0,-.0550,-.0050,0,3310,0,N/A,0,0,0</t>
  </si>
  <si>
    <t>JUL-14,0,0,0,0,-.0550,-.0050,0,3493,0,N/A,0,0,0</t>
  </si>
  <si>
    <t>JUN-18,0,0,0,0,.0375,.0000,0,0,0,N/A,0,0,0</t>
  </si>
  <si>
    <t>JUL-18,0,0,0,0,.0375,.0000,0,0,0,N/A,0,0,0</t>
  </si>
  <si>
    <t>AUG-18,0,0,0,0,.0375,.0000,0,0,0,N/A,0,0,0</t>
  </si>
  <si>
    <t>SEP-18,0,0,0,0,.0375,.0000,0,0,0,N/A,0,0,0</t>
  </si>
  <si>
    <t>OCT-18,0,0,0,0,.0375,.0000,0,0,0,N/A,0,0,0</t>
  </si>
  <si>
    <t>NOV-18,0,0,0,0,.0750,.0000,0,0,0,N/A,0,0,0</t>
  </si>
  <si>
    <t>DEC-18,0,0,0,0,.0750,.0000,0,0,0,N/A,0,0,0</t>
  </si>
  <si>
    <t>JAN-19,0,0,0,0,.0750,.0000,0,0,0,N/A,0,0,0</t>
  </si>
  <si>
    <t>FEB-19,0,0,0,0,.0750,.0000,0,0,0,N/A,0,0,0</t>
  </si>
  <si>
    <t>MAR-19,0,0,0,0,.0750,.0000,0,0,0,N/A,0,0,0</t>
  </si>
  <si>
    <t>APR-19,0,0,0,0,.0375,.0000,0,0,0,N/A,0,0,0</t>
  </si>
  <si>
    <t>MAY-19,0,0,0,0,.0375,.0000,0,0,0,N/A,0,0,0</t>
  </si>
  <si>
    <t>JUN-19,0,0,0,0,.0375,.0000,0,0,0,N/A,0,0,0</t>
  </si>
  <si>
    <t>JUL-19,0,0,0,0,.0375,.0000,0,0,0,N/A,0,0,0</t>
  </si>
  <si>
    <t>AUG-19,0,0,0,0,.0375,.0000,0,0,0,N/A,0,0,0</t>
  </si>
  <si>
    <t>SEP-19,0,0,0,0,.0375,.0000,0,0,0,N/A,0,0,0</t>
  </si>
  <si>
    <t>OCT-19,0,0,0,0,.0375,.0000,0,0,0,N/A,0,0,0</t>
  </si>
  <si>
    <t>NOV-19,0,0,0,0,.0750,.0000,0,0,0,N/A,0,0,0</t>
  </si>
  <si>
    <t>DEC-19,0,0,0,0,.0750,.0000,0,0,0,N/A,0,0,0</t>
  </si>
  <si>
    <t>JAN-20,0,0,0,0,.0750,.0000,0,0,0,N/A,0,0,0</t>
  </si>
  <si>
    <t>FEB-20,0,0,0,0,.0750,.0000,0,0,0,N/A,0,0,0</t>
  </si>
  <si>
    <t>MAR-20,0,0,0,0,.0750,.0000,0,0,0,N/A,0,0,0</t>
  </si>
  <si>
    <t>APR-20,0,0,0,0,.0350,.0000,0,0,0,N/A,0,0,0</t>
  </si>
  <si>
    <t>MAY-20,0,0,0,0,.0350,.0000,0,0,0,N/A,0,0,0</t>
  </si>
  <si>
    <t>JUN-20,0,0,0,0,.0350,.0000,0,0,0,N/A,0,0,0</t>
  </si>
  <si>
    <t>JUL-20,0,0,0,0,.0350,.0000,0,0,0,N/A,0,0,0</t>
  </si>
  <si>
    <t>AUG-20,0,0,0,0,.0350,.0000,0,0,0,N/A,0,0,0</t>
  </si>
  <si>
    <t>SEP-20,0,0,0,0,.0350,.0000,0,0,0,N/A,0,0,0</t>
  </si>
  <si>
    <t>OCT-20,0,0,0,0,.0350,.0000,0,0,0,N/A,0,0,0</t>
  </si>
  <si>
    <t>NOV-20,0,0,0,0,.0750,.0000,0,0,0,N/A,0,0,0</t>
  </si>
  <si>
    <t>DEC-20,0,0,0,0,.0750,.0000,0,0,0,N/A,0,0,0</t>
  </si>
  <si>
    <t>DEC-12,.0100,.0100,.0050,.0100,.0050,-.0150,3751,13982,0,N/A,0,0,1984</t>
  </si>
  <si>
    <t>JAN-13,-.0400,-.0400,-.0400,-.0400,-.0400,-.0150,2294,13292,-561,N/A,0,0,1705</t>
  </si>
  <si>
    <t>FEB-13,0,0,0,0,-.0500,-.0125,1260,10464,-104,N/A,0,0,1204</t>
  </si>
  <si>
    <t>MAR-13,0,0,0,0,-.0750,-.0150,1395,11417,124,N/A,0,0,1333</t>
  </si>
  <si>
    <t>APR-13,0,0,0,0,-.1175,-.0050,240,8463,-120,N/A,0,0,180</t>
  </si>
  <si>
    <t>MAY-13,0,0,0,0,-.1600,-.0050,248,8983,62,N/A,0,0,186</t>
  </si>
  <si>
    <t>JUN-13,0,0,0,0,-.1600,-.0050,240,8545,60,N/A,0,0,180</t>
  </si>
  <si>
    <t>JUL-13,0,0,0,0,-.1175,-.0050,248,8335,62,N/A,0,0,186</t>
  </si>
  <si>
    <t>AUG-13,0,0,0,0,-.1275,-.0050,248,8326,62,N/A,0,0,186</t>
  </si>
  <si>
    <t>SEP-13,0,0,0,0,-.1150,-.0050,240,8060,60,N/A,0,0,180</t>
  </si>
  <si>
    <t>OCT-13,0,0,0,0,-.1125,-.0050,248,8388,62,N/A,0,0,186</t>
  </si>
  <si>
    <t>NOV-13,0,0,0,0,-.0725,-.0050,30,4606,30,N/A,0,0,0</t>
  </si>
  <si>
    <t>DEC-13,0,0,0,0,-.0650,-.0050,31,4247,0,N/A,0,0,0</t>
  </si>
  <si>
    <t>JAN-14,0,0,0,0,-.0650,-.0050,31,4650,0,N/A,0,0,0</t>
  </si>
  <si>
    <t>FEB-14,0,0,0,0,-.0775,-.0050,28,6912,0,N/A,0,0,0</t>
  </si>
  <si>
    <t>MAR-14,0,0,0,0,-.0950,-.0050,31,4774,0,N/A,0,0,0</t>
  </si>
  <si>
    <t>APR-14,0,0,0,0,-.1225,.0050,0,3210,0,N/A,0,0,0</t>
  </si>
  <si>
    <t>MAY-14,0,0,0,0,-.1225,.0050,0,3317,0,N/A,0,0,0</t>
  </si>
  <si>
    <t>JUN-14,0,0,0,0,-.1225,.0050,0,3210,0,N/A,0,0,0</t>
  </si>
  <si>
    <t>JUL-14,0,0,0,0,-.1225,.0050,0,3317,0,N/A,0,0,0</t>
  </si>
  <si>
    <t>AUG-14,0,0,0,0,-.1225,.0050,0,3317,0,N/A,0,0,0</t>
  </si>
  <si>
    <t>SEP-14,0,0,0,0,-.1225,.0050,0,3210,0,N/A,0,0,0</t>
  </si>
  <si>
    <t>OCT-14,0,0,0,0,-.1225,.0050,0,3317,0,N/A,0,0,0</t>
  </si>
  <si>
    <t>NOV-14,0,0,0,0,-.1250,.0000,0,2700,0,N/A,0,0,0</t>
  </si>
  <si>
    <t>DEC-14,0,0,0,0,-.0525,.0000,0,2790,0,N/A,0,0,0</t>
  </si>
  <si>
    <t>JAN-15,0,0,0,0,-.0200,.0000,0,2294,0,N/A,0,0,0</t>
  </si>
  <si>
    <t>FEB-15,0,0,0,0,-.0500,.0000,0,2072,0,N/A,0,0,0</t>
  </si>
  <si>
    <t>MAR-15,0,0,0,0,-.0875,.0000,0,2294,0,N/A,0,0,0</t>
  </si>
  <si>
    <t>APR-15,0,0,0,0,-.1350,.0000,0,3390,0,N/A,0,0,0</t>
  </si>
  <si>
    <t>MAY-15,0,0,0,0,-.1350,.0000,0,3503,0,N/A,0,0,0</t>
  </si>
  <si>
    <t>JUN-15,0,0,0,0,-.1350,.0000,0,3390,0,N/A,0,0,0</t>
  </si>
  <si>
    <t>JUL-15,0,0,0,0,-.1350,.0000,0,3503,0,N/A,0,0,0</t>
  </si>
  <si>
    <t>AUG-15,0,0,0,0,-.1350,.0000,0,3503,0,N/A,0,0,0</t>
  </si>
  <si>
    <t>SEP-15,0,0,0,0,-.1350,.0000,0,3390,0,N/A,0,0,0</t>
  </si>
  <si>
    <t>OCT-15,0,0,0,0,-.1350,.0000,0,3503,0,N/A,0,0,0</t>
  </si>
  <si>
    <t>NOV-15,0,0,0,0,-.1025,.0000,0,2250,0,N/A,0,0,0</t>
  </si>
  <si>
    <t>DEC-15,0,0,0,0,-.0400,.0000,0,2325,0,N/A,0,0,0</t>
  </si>
  <si>
    <t>JAN-16,0,0,0,0,-.0500,.0000,31,1662,0,N/A,0,0,31</t>
  </si>
  <si>
    <t>FEB-16,0,0,0,0,-.0525,.0000,29,1525,0,N/A,0,0,29</t>
  </si>
  <si>
    <t>MAR-16,0,0,0,0,-.0775,.0000,31,1631,0,N/A,0,0,31</t>
  </si>
  <si>
    <t>APR-16,0,0,0,0,-.1275,.0025,30,1518,0,N/A,0,0,30</t>
  </si>
  <si>
    <t>MAY-16,0,0,0,0,-.1275,.0025,31,1569,0,N/A,0,0,31</t>
  </si>
  <si>
    <t>JUN-16,0,0,0,0,-.1275,.0025,30,1518,0,N/A,0,0,30</t>
  </si>
  <si>
    <t>JUL-16,0,0,0,0,-.1275,.0025,31,1569,0,N/A,0,0,31</t>
  </si>
  <si>
    <t>AUG-16,0,0,0,0,-.1275,.0025,31,1538,0,N/A,0,0,31</t>
  </si>
  <si>
    <t>SEP-16,0,0,0,0,-.1275,.0025,30,1518,0,N/A,0,0,30</t>
  </si>
  <si>
    <t>OCT-16,0,0,0,0,-.1275,.0025,31,1569,0,N/A,0,0,31</t>
  </si>
  <si>
    <t>NOV-16,0,0,0,0,-.0650,.0025,30,1398,0,N/A,0,0,30</t>
  </si>
  <si>
    <t>DEC-16,0,0,0,0,-.0650,.0025,31,1445,0,N/A,0,0,31</t>
  </si>
  <si>
    <t>JAN-17,0,0,0,0,-.0650,.0025,0,248,0,N/A,0,0,0</t>
  </si>
  <si>
    <t>FEB-17,0,0,0,0,-.0650,.0025,0,224,0,N/A,0,0,0</t>
  </si>
  <si>
    <t>MAR-17,0,0,0,0,-.0650,.0025,0,248,0,N/A,0,0,0</t>
  </si>
  <si>
    <t>APR-17,0,0,0,0,-.1125,.0000,0,240,0,N/A,0,0,0</t>
  </si>
  <si>
    <t>MAY-17,0,0,0,0,-.1125,.0000,0,248,0,N/A,0,0,0</t>
  </si>
  <si>
    <t>JUN-17,0,0,0,0,-.1125,.0000,0,240,0,N/A,0,0,0</t>
  </si>
  <si>
    <t>JUL-17,0,0,0,0,-.1125,.0000,0,248,0,N/A,0,0,0</t>
  </si>
  <si>
    <t>AUG-17,0,0,0,0,-.1125,.0000,0,248,0,N/A,0,0,0</t>
  </si>
  <si>
    <t>SEP-17,0,0,0,0,-.1125,.0000,0,240,0,N/A,0,0,0</t>
  </si>
  <si>
    <t>OCT-17,0,0,0,0,-.1125,.0000,0,248,0,N/A,0,0,0</t>
  </si>
  <si>
    <t>NOV-17,0,0,0,0,-.0675,.0000,0,240,0,N/A,0,0,0</t>
  </si>
  <si>
    <t>DEC-17,0,0,0,0,-.0675,.0000,0,248,0,N/A,0,0,0</t>
  </si>
  <si>
    <t>JAN-18,0,0,0,0,-.0675,.0000,0,62,0,N/A,0,0,0</t>
  </si>
  <si>
    <t>FEB-18,0,0,0,0,-.0675,.0000,0,56,0,N/A,0,0,0</t>
  </si>
  <si>
    <t>MAR-18,0,0,0,0,-.0675,.0000,0,62,0,N/A,0,0,0</t>
  </si>
  <si>
    <t>APR-18,0,0,0,0,-.1125,.0000,0,60,0,N/A,0,0,0</t>
  </si>
  <si>
    <t>MAY-18,0,0,0,0,-.1125,.0000,0,62,0,N/A,0,0,0</t>
  </si>
  <si>
    <t>JUN-18,0,0,0,0,-.1125,.0000,0,60,0,N/A,0,0,0</t>
  </si>
  <si>
    <t>JUL-18,0,0,0,0,-.1125,.0000,0,62,0,N/A,0,0,0</t>
  </si>
  <si>
    <t>AUG-18,0,0,0,0,-.1125,.0000,0,62,0,N/A,0,0,0</t>
  </si>
  <si>
    <t>SEP-18,0,0,0,0,-.1125,.0000,0,60,0,N/A,0,0,0</t>
  </si>
  <si>
    <t>OCT-18,0,0,0,0,-.1125,.0000,0,62,0,N/A,0,0,0</t>
  </si>
  <si>
    <t>NOV-18,0,0,0,0,-.0675,.0000,0,60,0,N/A,0,0,0</t>
  </si>
  <si>
    <t>DEC-18,0,0,0,0,-.0675,.0000,0,62,0,N/A,0,0,0</t>
  </si>
  <si>
    <t>JAN-19,0,0,0,0,-.0675,.0000,0,0,0,N/A,0,0,0</t>
  </si>
  <si>
    <t>FEB-19,0,0,0,0,-.0675,.0000,0,0,0,N/A,0,0,0</t>
  </si>
  <si>
    <t>MAR-19,0,0,0,0,-.0675,.0000,0,0,0,N/A,0,0,0</t>
  </si>
  <si>
    <t>APR-19,0,0,0,0,-.1200,.0000,0,0,0,N/A,0,0,0</t>
  </si>
  <si>
    <t>MAY-19,0,0,0,0,-.1200,.0000,0,0,0,N/A,0,0,0</t>
  </si>
  <si>
    <t>JUN-19,0,0,0,0,-.1200,.0000,0,0,0,N/A,0,0,0</t>
  </si>
  <si>
    <t>JUL-19,0,0,0,0,-.1200,.0000,0,0,0,N/A,0,0,0</t>
  </si>
  <si>
    <t>AUG-19,0,0,0,0,-.1200,.0000,0,0,0,N/A,0,0,0</t>
  </si>
  <si>
    <t>SEP-19,0,0,0,0,-.1200,.0000,0,0,0,N/A,0,0,0</t>
  </si>
  <si>
    <t>OCT-19,0,0,0,0,-.1200,.0000,0,0,0,N/A,0,0,0</t>
  </si>
  <si>
    <t>NOV-19,0,0,0,0,-.0675,.0000,0,0,0,N/A,0,0,0</t>
  </si>
  <si>
    <t>DEC-19,0,0,0,0,-.0675,.0000,0,0,0,N/A,0,0,0</t>
  </si>
  <si>
    <t>JAN-20,0,0,0,0,-.0675,.0000,0,0,0,N/A,0,0,0</t>
  </si>
  <si>
    <t>FEB-20,0,0,0,0,-.0675,.0000,0,0,0,N/A,0,0,0</t>
  </si>
  <si>
    <t>MAR-20,0,0,0,0,-.0675,.0000,0,0,0,N/A,0,0,0</t>
  </si>
  <si>
    <t>APR-20,0,0,0,0,-.1200,.0000,0,0,0,N/A,0,0,0</t>
  </si>
  <si>
    <t>MAY-20,0,0,0,0,-.1200,.0000,0,0,0,N/A,0,0,0</t>
  </si>
  <si>
    <t>JUN-20,0,0,0,0,-.1200,.0000,0,0,0,N/A,0,0,0</t>
  </si>
  <si>
    <t>JUL-20,0,0,0,0,-.1200,.0000,0,0,0,N/A,0,0,0</t>
  </si>
  <si>
    <t>AUG-20,0,0,0,0,-.1200,.0000,0,0,0,N/A,0,0,0</t>
  </si>
  <si>
    <t>SEP-20,0,0,0,0,-.1200,.0000,0,0,0,N/A,0,0,0</t>
  </si>
  <si>
    <t>OCT-20,0,0,0,0,-.1200,.0000,0,0,0,N/A,0,0,0</t>
  </si>
  <si>
    <t>NOV-20,0,0,0,0,-.0675,.0000,0,0,0,N/A,0,0,0</t>
  </si>
  <si>
    <t>DEC-20,0,0,0,0,-.0675,.0000,0,0,0,N/A,0,0,0</t>
  </si>
  <si>
    <t>DEC-12,.3600,.3600,.3500,.3500,.3500,-.0300,1209,13272,279,N/A,0,0,434</t>
  </si>
  <si>
    <t>JAN-13,.2850,.2850,.2800,.2800,.2800,-.0150,465,22155,-124,N/A,0,0,248</t>
  </si>
  <si>
    <t>FEB-13,0,0,0,0,.3000,.0000,224,13050,-112,N/A,0,0,224</t>
  </si>
  <si>
    <t>MAR-13,0,0,0,0,.3000,-.0275,248,9872,-124,N/A,0,0,248</t>
  </si>
  <si>
    <t>APR-13,.3350,.3400,.3350,.3400,.3400,-.0150,540,4553,-30,N/A,0,0,60</t>
  </si>
  <si>
    <t>MAY-13,0,0,0,0,.2950,-.0050,62,3785,0,N/A,0,0,62</t>
  </si>
  <si>
    <t>JUN-13,0,0,0,0,.2700,-.0050,60,3462,0,N/A,0,0,60</t>
  </si>
  <si>
    <t>JUL-13,0,0,0,0,.2875,-.0050,62,6014,-62,N/A,0,0,62</t>
  </si>
  <si>
    <t>AUG-13,0,0,0,0,.2975,-.0050,62,5952,-62,N/A,0,0,62</t>
  </si>
  <si>
    <t>SEP-13,0,0,0,0,.2950,-.0050,60,5172,0,N/A,0,0,60</t>
  </si>
  <si>
    <t>OCT-13,0,0,0,0,.2950,-.0050,62,4555,0,N/A,0,0,62</t>
  </si>
  <si>
    <t>NOV-13,0,0,0,0,.3650,-.0050,0,3560,0,N/A,0,0,0</t>
  </si>
  <si>
    <t>DEC-13,0,0,0,0,.3325,-.0050,0,3912,0,N/A,0,0,0</t>
  </si>
  <si>
    <t>JAN-14,0,0,0,0,.2500,-.0050,0,2356,0,N/A,0,0,0</t>
  </si>
  <si>
    <t>FEB-14,0,0,0,0,.2550,-.0050,0,2368,0,N/A,0,0,0</t>
  </si>
  <si>
    <t>MAR-14,0,0,0,0,.2500,-.0050,0,2170,0,N/A,0,0,0</t>
  </si>
  <si>
    <t>APR-14,0,0,0,0,.3250,-.0050,0,3193,0,N/A,0,0,0</t>
  </si>
  <si>
    <t>MAY-14,0,0,0,0,.3250,-.0050,0,3300,0,N/A,0,0,0</t>
  </si>
  <si>
    <t>JUN-14,0,0,0,0,.3250,-.0050,0,3433,0,N/A,0,0,0</t>
  </si>
  <si>
    <t>JUL-14,0,0,0,0,.3250,-.0050,0,1119,0,N/A,0,0,0</t>
  </si>
  <si>
    <t>AUG-14,0,0,0,0,.3250,-.0050,0,1119,0,N/A,0,0,0</t>
  </si>
  <si>
    <t>JUL-19,0,0,0,0,71.05,.00,0,0,0,N/A,0,0,0</t>
  </si>
  <si>
    <t>AUG-19,0,0,0,0,71.05,.00,0,0,0,N/A,0,0,0</t>
  </si>
  <si>
    <t>SEP-19,0,0,0,0,71.05,.00,0,0,0,N/A,0,0,0</t>
  </si>
  <si>
    <t>OCT-19,0,0,0,0,63.00,.00,0,0,0,N/A,0,0,0</t>
  </si>
  <si>
    <t>JUL-14,0,0,0,0,.1925,-.0025,124,2776,-88,N/A,0,0,124</t>
  </si>
  <si>
    <t>AUG-14,0,0,0,0,.2075,-.0025,124,2776,-88,N/A,0,0,124</t>
  </si>
  <si>
    <t>SEP-14,0,0,0,0,.1950,-.0025,120,2683,-87,N/A,0,0,120</t>
  </si>
  <si>
    <t>OCT-14,0,0,0,0,.1450,-.0025,124,2796,-88,N/A,0,0,124</t>
  </si>
  <si>
    <t>NOV-14,0,0,0,0,.1200,-.0025,120,2638,60,N/A,0,0,120</t>
  </si>
  <si>
    <t>DEC-14,0,0,0,0,.1575,-.0025,124,2733,62,N/A,0,0,124</t>
  </si>
  <si>
    <t>JAN-15,0,0,0,0,.1350,-.0025,0,2708,0,N/A,0,0,0</t>
  </si>
  <si>
    <t>FEB-15,0,0,0,0,.1325,-.0025,0,2456,0,N/A,0,0,0</t>
  </si>
  <si>
    <t>MAR-15,0,0,0,0,.1300,-.0025,0,2708,0,N/A,0,0,0</t>
  </si>
  <si>
    <t>APR-15,0,0,0,0,.0900,.0000,0,3613,0,N/A,0,0,0</t>
  </si>
  <si>
    <t>MAY-15,0,0,0,0,.1050,.0000,0,3724,0,N/A,0,0,0</t>
  </si>
  <si>
    <t>JUN-15,0,0,0,0,.1250,.0000,0,3607,0,N/A,0,0,0</t>
  </si>
  <si>
    <t>JUL-15,0,0,0,0,.3425,.0000,0,3724,0,N/A,0,0,0</t>
  </si>
  <si>
    <t>AUG-15,0,0,0,0,.3375,.0000,0,3724,0,N/A,0,0,0</t>
  </si>
  <si>
    <t>SEP-15,0,0,0,0,.1700,.0000,0,3607,0,N/A,0,0,0</t>
  </si>
  <si>
    <t>OCT-15,0,0,0,0,.0850,.0000,0,3724,0,N/A,0,0,0</t>
  </si>
  <si>
    <t>NOV-15,0,0,0,0,.1375,.0000,0,2318,0,N/A,0,0,0</t>
  </si>
  <si>
    <t>DEC-15,0,0,0,0,.1650,.0000,0,2392,0,N/A,0,0,0</t>
  </si>
  <si>
    <t>JAN-16,0,0,0,0,.1400,.0000,0,1926,0,N/A,0,0,0</t>
  </si>
  <si>
    <t>FEB-16,0,0,0,0,.1350,.0000,0,1818,0,N/A,0,0,0</t>
  </si>
  <si>
    <t>MAR-16,0,0,0,0,.1325,.0000,0,1926,0,N/A,0,0,0</t>
  </si>
  <si>
    <t>APR-16,0,0,0,0,.1100,.0000,0,2103,0,N/A,0,0,0</t>
  </si>
  <si>
    <t>MAY-16,0,0,0,0,.1275,.0000,0,2165,0,N/A,0,0,0</t>
  </si>
  <si>
    <t>JUN-16,0,0,0,0,.1475,.0000,0,2103,0,N/A,0,0,0</t>
  </si>
  <si>
    <t>JUL-16,0,0,0,0,.3650,.0000,0,2165,0,N/A,0,0,0</t>
  </si>
  <si>
    <t>AUG-16,0,0,0,0,.3550,.0000,0,2165,0,N/A,0,0,0</t>
  </si>
  <si>
    <t>APR-20,0,0,0,0,25.45,.10,0,0,0,N/A,0,0,0</t>
  </si>
  <si>
    <t>MAY-20,0,0,0,0,25.45,.10,0,0,0,N/A,0,0,0</t>
  </si>
  <si>
    <t>JUN-20,0,0,0,0,25.45,.10,0,0,0,N/A,0,0,0</t>
  </si>
  <si>
    <t>JUL-20,0,0,0,0,43.25,.15,0,0,0,N/A,0,0,0</t>
  </si>
  <si>
    <t>AUG-20,0,0,0,0,43.25,.15,0,0,0,N/A,0,0,0</t>
  </si>
  <si>
    <t>SEP-20,0,0,0,0,43.25,.15,0,0,0,N/A,0,0,0</t>
  </si>
  <si>
    <t>OCT-20,0,0,0,0,49.15,.20,0,0,0,N/A,0,0,0</t>
  </si>
  <si>
    <t>NOV-20,0,0,0,0,49.15,.20,0,0,0,N/A,0,0,0</t>
  </si>
  <si>
    <t>DEC-20,0,0,0,0,49.15,.20,0,0,0,N/A,0,0,0</t>
  </si>
  <si>
    <t>NOV-12,0,0,0,0,44.87,1.12,0,9271,0,N/A,0,0,0</t>
  </si>
  <si>
    <t>DEC-12,44.65,45.40,44.65,45.20,45.40,.55,1140,8910,190,N/A,0,0,460</t>
  </si>
  <si>
    <t>JAN-13,0,0,0,0,49.30,.25,462,7722,-44,N/A,0,0,242</t>
  </si>
  <si>
    <t>FEB-13,0,0,0,0,46.15,.25,420,7140,0,N/A,0,0,220</t>
  </si>
  <si>
    <t>MAR-13,0,0,0,0,43.75,.30,42,4809,-42,N/A,0,0,42</t>
  </si>
  <si>
    <t>APR-13,42.50,42.85,42.50,42.85,42.85,.30,132,5522,-66,N/A,0,0,66</t>
  </si>
  <si>
    <t>MAY-13,43.75,43.75,43.75,43.75,43.80,.10,220,6842,44,N/A,0,0,154</t>
  </si>
  <si>
    <t>JUN-13,0,0,0,0,46.75,.10,140,5060,-120,N/A,0,0,140</t>
  </si>
  <si>
    <t>JUL-13,0,0,0,0,57.05,.05,110,7326,-22,N/A,0,0,44</t>
  </si>
  <si>
    <t>AUG-13,52.50,52.50,52.50,52.50,52.95,.15,132,7106,-44,N/A,0,0,44</t>
  </si>
  <si>
    <t>SEP-13,0,0,0,0,45.10,.25,160,5652,0,N/A,0,0,140</t>
  </si>
  <si>
    <t>OCT-13,0,0,0,0,42.30,.30,322,7452,-69,N/A,0,0,115</t>
  </si>
  <si>
    <t>NOV-13,41.75,42.20,41.65,42.10,42.30,.55,360,6520,20,N/A,0,0,100</t>
  </si>
  <si>
    <t>DEC-13,45.35,45.35,45.35,45.35,45.75,.20,357,6867,42,N/A,0,0,105</t>
  </si>
  <si>
    <t>JAN-14,0,0,0,0,50.35,-.15,132,4114,0,N/A,0,0,110</t>
  </si>
  <si>
    <t>FEB-14,0,0,0,0,47.50,-.15,120,3740,0,N/A,0,0,100</t>
  </si>
  <si>
    <t>MAR-14,0,0,0,0,45.10,.15,126,3129,0,N/A,0,0,105</t>
  </si>
  <si>
    <t>APR-14,0,0,0,0,43.55,-.20,132,3388,22,N/A,0,0,110</t>
  </si>
  <si>
    <t>MAY-14,0,0,0,0,44.80,-.05,126,3129,-21,N/A,0,0,105</t>
  </si>
  <si>
    <t>JUN-14,0,0,0,0,47.90,-.10,126,2940,-21,N/A,0,0,105</t>
  </si>
  <si>
    <t>JUL-14,0,0,0,0,56.30,.15,154,3696,-22,N/A,0,0,110</t>
  </si>
  <si>
    <t>AUG-14,0,0,0,0,56.30,.15,147,3528,-21,N/A,0,0,105</t>
  </si>
  <si>
    <t>SEP-14,45.50,45.50,45.50,45.50,45.60,-.10,147,3024,-42,N/A,0,0,105</t>
  </si>
  <si>
    <t>OCT-14,0,0,0,0,42.75,.65,138,3450,-23,N/A,0,0,115</t>
  </si>
  <si>
    <t>NOV-14,0,0,0,0,43.30,.65,114,2850,-19,N/A,0,0,95</t>
  </si>
  <si>
    <t>DEC-14,46.50,46.50,46.50,46.50,46.35,.10,154,3278,-22,N/A,0,0,110</t>
  </si>
  <si>
    <t>JAN-15,0,0,0,0,49.80,.10,42,1197,21,N/A,0,0,42</t>
  </si>
  <si>
    <t>FEB-15,0,0,0,0,49.80,.10,40,1140,20,N/A,0,0,40</t>
  </si>
  <si>
    <t>MAR-15,0,0,0,0,45.25,.10,44,1276,22,N/A,0,0,44</t>
  </si>
  <si>
    <t>APR-15,0,0,0,0,45.25,.10,44,1254,22,N/A,0,0,44</t>
  </si>
  <si>
    <t>MAY-15,0,0,0,0,45.15,.10,40,1100,20,N/A,0,0,40</t>
  </si>
  <si>
    <t>JUN-15,0,0,0,0,48.45,.10,44,1144,22,N/A,0,0,44</t>
  </si>
  <si>
    <t>JUL-15,0,0,0,0,58.40,.10,46,1403,23,N/A,0,0,46</t>
  </si>
  <si>
    <t>AUG-15,0,0,0,0,58.40,.10,42,1281,21,N/A,0,0,42</t>
  </si>
  <si>
    <t>SEP-15,0,0,0,0,47.25,.10,42,1092,21,N/A,0,0,42</t>
  </si>
  <si>
    <t>OCT-15,0,0,0,0,44.85,.10,44,1144,22,N/A,0,0,44</t>
  </si>
  <si>
    <t>NOV-15,0,0,0,0,44.75,.10,40,1040,20,N/A,0,0,40</t>
  </si>
  <si>
    <t>DEC-15,0,0,0,0,44.70,.10,44,1144,22,N/A,0,0,44</t>
  </si>
  <si>
    <t>JAN-16,0,0,0,0,52.05,.10,0,480,0,N/A,0,0,0</t>
  </si>
  <si>
    <t>FEB-16,0,0,0,0,52.05,.10,0,504,0,N/A,0,0,0</t>
  </si>
  <si>
    <t>MAR-16,0,0,0,0,46.70,.10,0,552,0,N/A,0,0,0</t>
  </si>
  <si>
    <t>APR-16,0,0,0,0,46.70,.10,0,504,0,N/A,0,0,0</t>
  </si>
  <si>
    <t>MAY-16,0,0,0,0,46.15,.10,0,504,0,N/A,0,0,0</t>
  </si>
  <si>
    <t>JUN-16,0,0,0,0,50.45,.10,0,528,0,N/A,0,0,0</t>
  </si>
  <si>
    <t>JUL-16,0,0,0,0,57.75,.10,0,480,0,N/A,0,0,0</t>
  </si>
  <si>
    <t>AUG-16,0,0,0,0,57.75,.10,0,552,0,N/A,0,0,0</t>
  </si>
  <si>
    <t>SEP-16,0,0,0,0,48.30,.10,0,504,0,N/A,0,0,0</t>
  </si>
  <si>
    <t>OCT-16,0,0,0,0,46.35,.10,0,504,0,N/A,0,0,0</t>
  </si>
  <si>
    <t>NOV-16,0,0,0,0,46.35,.10,0,504,0,N/A,0,0,0</t>
  </si>
  <si>
    <t>DEC-16,0,0,0,0,46.35,.10,0,504,0,N/A,0,0,0</t>
  </si>
  <si>
    <t>JAN-17,0,0,0,0,54.05,.10,0,105,0,N/A,0,0,0</t>
  </si>
  <si>
    <t>FEB-17,0,0,0,0,54.05,.10,0,100,0,N/A,0,0,0</t>
  </si>
  <si>
    <t>MAR-17,0,0,0,0,48.60,.10,0,115,0,N/A,0,0,0</t>
  </si>
  <si>
    <t>APR-17,0,0,0,0,48.60,.10,0,100,0,N/A,0,0,0</t>
  </si>
  <si>
    <t>MAY-17,0,0,0,0,47.75,.10,0,110,0,N/A,0,0,0</t>
  </si>
  <si>
    <t>JUN-17,0,0,0,0,51.95,.10,0,110,0,N/A,0,0,0</t>
  </si>
  <si>
    <t>JUL-17,0,0,0,0,59.25,.10,0,100,0,N/A,0,0,0</t>
  </si>
  <si>
    <t>AUG-17,0,0,0,0,59.25,.10,0,115,0,N/A,0,0,0</t>
  </si>
  <si>
    <t>SEP-17,0,0,0,0,49.85,.10,0,100,0,N/A,0,0,0</t>
  </si>
  <si>
    <t>OCT-17,0,0,0,0,47.40,.10,0,110,0,N/A,0,0,0</t>
  </si>
  <si>
    <t>NOV-17,0,0,0,0,47.40,.10,0,105,0,N/A,0,0,0</t>
  </si>
  <si>
    <t>DEC-17,0,0,0,0,47.40,.10,0,100,0,N/A,0,0,0</t>
  </si>
  <si>
    <t>JAN-18,0,0,0,0,55.05,.10,0,0,0,N/A,0,0,0</t>
  </si>
  <si>
    <t>FEB-18,0,0,0,0,55.05,.10,0,0,0,N/A,0,0,0</t>
  </si>
  <si>
    <t>MAR-18,0,0,0,0,50.50,.10,0,0,0,N/A,0,0,0</t>
  </si>
  <si>
    <t>APR-18,0,0,0,0,50.50,.10,0,0,0,N/A,0,0,0</t>
  </si>
  <si>
    <t>MAY-18,0,0,0,0,49.45,.05,0,0,0,N/A,0,0,0</t>
  </si>
  <si>
    <t>JUN-18,0,0,0,0,52.95,.10,0,0,0,N/A,0,0,0</t>
  </si>
  <si>
    <t>JUL-18,0,0,0,0,61.30,.10,0,0,0,N/A,0,0,0</t>
  </si>
  <si>
    <t>AUG-18,0,0,0,0,61.30,.10,0,0,0,N/A,0,0,0</t>
  </si>
  <si>
    <t>SEP-18,0,0,0,0,51.40,.10,0,0,0,N/A,0,0,0</t>
  </si>
  <si>
    <t>OCT-18,0,0,0,0,48.75,.10,0,0,0,N/A,0,0,0</t>
  </si>
  <si>
    <t>NOV-18,0,0,0,0,48.75,.10,0,0,0,N/A,0,0,0</t>
  </si>
  <si>
    <t>DEC-18,0,0,0,0,48.75,.10,0,0,0,N/A,0,0,0</t>
  </si>
  <si>
    <t>JAN-19,0,0,0,0,57.00,.10,0,22,0,N/A,0,0,0</t>
  </si>
  <si>
    <t>FEB-19,0,0,0,0,57.00,.10,0,20,0,N/A,0,0,0</t>
  </si>
  <si>
    <t>MAR-19,0,0,0,0,52.25,.10,0,21,0,N/A,0,0,0</t>
  </si>
  <si>
    <t>APR-19,0,0,0,0,52.25,.10,0,22,0,N/A,0,0,0</t>
  </si>
  <si>
    <t>MAY-19,0,0,0,0,51.50,.10,0,22,0,N/A,0,0,0</t>
  </si>
  <si>
    <t>JUN-19,0,0,0,0,54.90,.10,0,20,0,N/A,0,0,0</t>
  </si>
  <si>
    <t>JUL-19,0,0,0,0,64.10,.10,0,22,0,N/A,0,0,0</t>
  </si>
  <si>
    <t>AUG-19,0,0,0,0,64.10,.10,0,22,0,N/A,0,0,0</t>
  </si>
  <si>
    <t>SEP-19,0,0,0,0,52.45,.05,0,20,0,N/A,0,0,0</t>
  </si>
  <si>
    <t>OCT-19,0,0,0,0,49.90,.10,0,23,0,N/A,0,0,0</t>
  </si>
  <si>
    <t>NOV-19,0,0,0,0,49.90,.10,0,20,0,N/A,0,0,0</t>
  </si>
  <si>
    <t>DEC-19,0,0,0,0,49.90,.10,0,21,0,N/A,0,0,0</t>
  </si>
  <si>
    <t>JAN-20,0,0,0,0,59.25,.10,0,0,0,N/A,0,0,0</t>
  </si>
  <si>
    <t>FEB-20,0,0,0,0,59.25,.10,0,0,0,N/A,0,0,0</t>
  </si>
  <si>
    <t>MAR-20,0,0,0,0,53.20,.10,0,0,0,N/A,0,0,0</t>
  </si>
  <si>
    <t>APR-20,0,0,0,0,53.20,.10,0,0,0,N/A,0,0,0</t>
  </si>
  <si>
    <t>MAY-20,0,0,0,0,52.45,.10,0,0,0,N/A,0,0,0</t>
  </si>
  <si>
    <t>JUN-20,0,0,0,0,55.80,.10,0,0,0,N/A,0,0,0</t>
  </si>
  <si>
    <t>JUL-20,0,0,0,0,66.20,.10,0,0,0,N/A,0,0,0</t>
  </si>
  <si>
    <t>AUG-20,0,0,0,0,66.20,.10,0,0,0,N/A,0,0,0</t>
  </si>
  <si>
    <t>SEP-20,0,0,0,0,54.50,.10,0,0,0,N/A,0,0,0</t>
  </si>
  <si>
    <t>OCT-20,0,0,0,0,52.25,.10,0,0,0,N/A,0,0,0</t>
  </si>
  <si>
    <t>NOV-20,0,0,0,0,52.25,.10,0,0,0,N/A,0,0,0</t>
  </si>
  <si>
    <t>DEC-20,0,0,0,0,52.25,.10,0,0,0,N/A,0,0,0</t>
  </si>
  <si>
    <t>JAN-21,0,0,0,0,61.10,.10,0,0,0,N/A,0,0,0</t>
  </si>
  <si>
    <t>FEB-21,0,0,0,0,61.10,.10,0,0,0,N/A,0,0,0</t>
  </si>
  <si>
    <t>MAR-21,0,0,0,0,54.85,.10,0,0,0,N/A,0,0,0</t>
  </si>
  <si>
    <t>APR-21,0,0,0,0,54.85,.10,0,0,0,N/A,0,0,0</t>
  </si>
  <si>
    <t>MAY-21,0,0,0,0,54.05,.10,0,0,0,N/A,0,0,0</t>
  </si>
  <si>
    <t>JUN-21,0,0,0,0,57.55,.10,0,0,0,N/A,0,0,0</t>
  </si>
  <si>
    <t>JUL-21,0,0,0,0,68.25,.10,0,0,0,N/A,0,0,0</t>
  </si>
  <si>
    <t>AUG-21,0,0,0,0,68.25,.10,0,0,0,N/A,0,0,0</t>
  </si>
  <si>
    <t>SEP-21,0,0,0,0,56.15,.10,0,0,0,N/A,0,0,0</t>
  </si>
  <si>
    <t>OCT-21,0,0,0,0,53.85,.05,0,0,0,N/A,0,0,0</t>
  </si>
  <si>
    <t>NOV-21,0,0,0,0,53.85,.05,0,0,0,N/A,0,0,0</t>
  </si>
  <si>
    <t>DEC-21,0,0,0,0,53.85,.05,0,0,0,N/A,0,0,0</t>
  </si>
  <si>
    <t>NOV-12,0,0,0,0,34.31,.01,0,73150,0,N/A,0,0,0</t>
  </si>
  <si>
    <t>DEC-12,36.25,36.25,36.25,36.25,36.25,.35,2968,103456,424,N/A,0,0,2544</t>
  </si>
  <si>
    <t>JAN-13,0,0,0,0,39.65,.05,1960,94864,0,N/A,0,0,1960</t>
  </si>
  <si>
    <t>FEB-13,0,0,0,0,37.45,.05,1760,85888,0,N/A,0,0,1760</t>
  </si>
  <si>
    <t>MAR-13,0,0,0,0,33.25,.15,4884,74074,-1221,N/A,0,0,4070</t>
  </si>
  <si>
    <t>APR-13,0,0,0,0,30.60,-.20,4416,65136,0,N/A,0,0,3680</t>
  </si>
  <si>
    <t>NJR,REC-NJ C1,REC-NJ,Jul17,,,,3.59,0.00,0,0,0,0,</t>
  </si>
  <si>
    <t>NJR,REC-NJ C1,REC-NJ,Aug17,,,,3.60,0.00,0,0,0,0,</t>
  </si>
  <si>
    <t>NJR,REC-NJ C1,REC-NJ,Sep17,,,,3.82,0.00,0,0,0,0,</t>
  </si>
  <si>
    <t>NJR,REC-NJ C1,REC-NJ,Oct17,,,,3.82,0.00,0,0,0,0,</t>
  </si>
  <si>
    <t>NJR,REC-NJ C1,REC-NJ,Nov17,,,,3.83,0.00,0,0,0,0,</t>
  </si>
  <si>
    <t>NJR,REC-NJ C1,REC-NJ,Dec17,,,,3.84,0.00,0,0,0,0,</t>
  </si>
  <si>
    <t>NOK,CSAPR NOx Ozone V12,CSAPR NOx,Oct12,,,,50.00,0.00,0,0,640,0,</t>
  </si>
  <si>
    <t>NOK,CSAPR NOx Ozone V12,CSAPR NOx,Nov12,,,,50.00,0.00,0,0,0,0,</t>
  </si>
  <si>
    <t>NOK,CSAPR NOx Ozone V12,CSAPR NOx,Dec12,,,,50.00,0.00,0,0,0,0,</t>
  </si>
  <si>
    <t>NOK,CSAPR NOx Ozone V12,CSAPR NOx,Dec13,,,,50.00,0.00,0,0,50,0,</t>
  </si>
  <si>
    <t>NOK,CSAPR NOx Ozone V12,CSAPR NOx,Dec14,,,,50.00,0.00,0,0,0,0,</t>
  </si>
  <si>
    <t>SFH,SFI V09,SFI,Oct12,,,,1.45,0.00,0,0,420,0,</t>
  </si>
  <si>
    <t>SFH,SFI V09,SFI,Nov12,,,,1.45,0.00,0,0,0,0,</t>
  </si>
  <si>
    <t>SFH,SFI V09,SFI,Dec12,,,,1.45,0.00,0,0,740,0,</t>
  </si>
  <si>
    <t>SFH,SFI V09,SFI,Jan13,,,,1.45,0.00,0,0,0,0,</t>
  </si>
  <si>
    <t>SFH,SFI V09,SFI,Feb13,,,,1.45,0.00,0,0,0,0,</t>
  </si>
  <si>
    <t>SFH,SFI V09,SFI,Mar13,,,,1.45,0.00,0,0,0,0,</t>
  </si>
  <si>
    <t>SFH,SFI V09,SFI,Apr13,,,,1.45,0.00,0,0,0,0,</t>
  </si>
  <si>
    <t>SFH,SFI V09,SFI,May13,,,,1.45,0.00,0,0,0,0,</t>
  </si>
  <si>
    <t>SFH,SFI V09,SFI,Jun13,,,,1.45,0.00,0,0,0,0,</t>
  </si>
  <si>
    <t>SFH,SFI V09,SFI,Jul13,,,,1.45,0.00,0,0,0,0,</t>
  </si>
  <si>
    <t>SFH,SFI V09,SFI,Aug13,,,,1.45,0.00,0,0,0,0,</t>
  </si>
  <si>
    <t>SFH,SFI V09,SFI,Sep13,,,,1.45,0.00,0,0,0,0,</t>
  </si>
  <si>
    <t>SFH,SFI V09,SFI,Oct13,,,,1.45,0.00,0,0,0,0,</t>
  </si>
  <si>
    <t>SFH,SFI V09,SFI,Nov13,,,,1.45,0.00,0,0,0,0,</t>
  </si>
  <si>
    <t>SFH,SFI V09,SFI,Dec13,,,,1.45,0.00,0,0,0,0,</t>
  </si>
  <si>
    <t>SFH,SFI V09,SFI,Dec14,,,,1.45,0.00,0,0,0,0,</t>
  </si>
  <si>
    <t>SFH,SFI V09,SFI,Dec15,,,,1.45,0.00,0,0,0,0,</t>
  </si>
  <si>
    <t>SFH,SFI V09,SFI,Dec16,,,,1.45,0.00,0,0,0,0,</t>
  </si>
  <si>
    <t>SFL,SFI V13,SFI,Dec12,,,,0.50,0.00,0,0,1681,0,</t>
  </si>
  <si>
    <t>SFL,SFI V13,SFI,Dec13,,,,0.50,0.00,0,0,1288,0,</t>
  </si>
  <si>
    <t>SFL,SFI V13,SFI,Dec14,,,,0.50,0.00,0,0,0,0,</t>
  </si>
  <si>
    <t>SFL,SFI V13,SFI,Dec15,,,,0.50,0.00,0,0,0,0,</t>
  </si>
  <si>
    <t>SFL,SFI V13,SFI,Dec16,,,,0.50,0.00,0,0,0,0,</t>
  </si>
  <si>
    <t>SOK,CSAPR SO2 Group 1 V12,CSAPR SO2,Dec12,,,,20.00,0.00,0,0,170,0,</t>
  </si>
  <si>
    <t>SOK,CSAPR SO2 Group 1 V12,CSAPR SO2,Dec13,,,,20.00,0.00,0,0,0,0,</t>
  </si>
  <si>
    <t>SOK,CSAPR SO2 Group 1 V12,CSAPR SO2,Dec14,,,,20.00,0.00,0,0,0,0,</t>
  </si>
  <si>
    <t>STK,CSAPR SO2 Group 2 V12,CSAPR SO2,Dec12,,,,50.00,0.00,0,0,100,0,</t>
  </si>
  <si>
    <t>STK,CSAPR SO2 Group 2 V12,CSAPR SO2,Dec13,,,,50.00,0.00,0,0,0,0,</t>
  </si>
  <si>
    <t>STK,CSAPR SO2 Group 2 V12,CSAPR SO2,Dec14,,,,50.00,0.00,0,0,0,0,</t>
  </si>
  <si>
    <t>MAY-13,0,0,0,0,28.70,.00,1568,73696,-392,N/A,0,0,1568</t>
  </si>
  <si>
    <t>JUN-13,0,0,0,0,29.05,.00,1600,70400,0,N/A,0,0,1600</t>
  </si>
  <si>
    <t>JUL-13,0,0,0,0,32.50,.00,1568,74480,0,N/A,0,0,1568</t>
  </si>
  <si>
    <t>AUG-13,0,0,0,0,30.80,.00,1568,74480,0,N/A,0,0,1568</t>
  </si>
  <si>
    <t>SEP-13,0,0,0,0,29.70,.00,1600,76400,0,N/A,0,0,1600</t>
  </si>
  <si>
    <t>OCT-13,0,0,0,0,30.50,.00,3008,74824,-1128,N/A,0,0,2256</t>
  </si>
  <si>
    <t>NOV-13,31.80,31.80,31.80,31.80,31.90,.00,3609,80200,-1203,N/A,0,0,2406</t>
  </si>
  <si>
    <t>DEC-13,0,0,0,0,35.60,.00,3264,82824,-1224,N/A,0,0,2448</t>
  </si>
  <si>
    <t>JAN-14,0,0,0,0,39.65,.00,392,38808,0,N/A,0,0,392</t>
  </si>
  <si>
    <t>FEB-14,0,0,0,0,39.70,.00,352,34848,0,N/A,0,0,352</t>
  </si>
  <si>
    <t>MAR-14,0,0,0,0,32.65,.00,407,33781,0,N/A,0,0,407</t>
  </si>
  <si>
    <t>APR-14,0,0,0,0,32.65,.00,368,31280,0,N/A,0,0,368</t>
  </si>
  <si>
    <t>MAY-14,0,0,0,0,29.45,.00,408,34680,0,N/A,0,0,408</t>
  </si>
  <si>
    <t>JUN-14,0,0,0,0,30.60,.00,384,32640,0,N/A,0,0,384</t>
  </si>
  <si>
    <t>JUL-14,0,0,0,0,32.65,.00,392,33712,0,N/A,0,0,392</t>
  </si>
  <si>
    <t>AUG-14,0,0,0,0,32.65,.00,408,35088,0,N/A,0,0,408</t>
  </si>
  <si>
    <t>SEP-14,0,0,0,0,30.95,.00,384,32256,0,N/A,0,0,384</t>
  </si>
  <si>
    <t>OCT-14,0,0,0,0,33.45,.00,376,31960,0,N/A,0,0,376</t>
  </si>
  <si>
    <t>NOV-14,0,0,0,0,33.45,.00,417,35445,0,N/A,0,0,417</t>
  </si>
  <si>
    <t>DEC-14,0,0,0,0,33.45,.00,392,33320,0,N/A,0,0,392</t>
  </si>
  <si>
    <t>JAN-15,0,0,0,0,39.95,.00,1632,14280,816,N/A,0,0,1632</t>
  </si>
  <si>
    <t>FEB-15,0,0,0,0,39.95,.00,1408,12320,704,N/A,0,0,1408</t>
  </si>
  <si>
    <t>MAR-15,0,0,0,0,33.95,.00,1564,13685,782,N/A,0,0,1564</t>
  </si>
  <si>
    <t>APR-15,0,0,0,0,33.95,.00,1472,12512,1104,N/A,0,0,1472</t>
  </si>
  <si>
    <t>MAY-15,0,0,0,0,31.45,.00,1696,14416,1272,N/A,0,0,1696</t>
  </si>
  <si>
    <t>JUN-15,0,0,0,0,32.30,.00,1472,12144,1104,N/A,0,0,1472</t>
  </si>
  <si>
    <t>JUL-15,0,0,0,0,35.35,.00,1504,12408,1128,N/A,0,0,1504</t>
  </si>
  <si>
    <t>AUG-15,0,0,0,0,35.35,.00,1632,13464,1224,N/A,0,0,1632</t>
  </si>
  <si>
    <t>SEP-15,0,0,0,0,31.90,.00,1536,12672,1152,N/A,0,0,1536</t>
  </si>
  <si>
    <t>OCT-15,0,0,0,0,33.75,.00,1568,12936,1176,N/A,0,0,1568</t>
  </si>
  <si>
    <t>NOV-15,0,0,0,0,33.75,.00,1604,13233,1203,N/A,0,0,1604</t>
  </si>
  <si>
    <t>DEC-15,0,0,0,0,33.75,.00,1568,12936,1176,N/A,0,0,1568</t>
  </si>
  <si>
    <t>JAN-16,0,0,0,0,41.20,.00,0,5088,0,N/A,0,0,0</t>
  </si>
  <si>
    <t>FEB-16,0,0,0,0,41.20,.00,0,4320,0,N/A,0,0,0</t>
  </si>
  <si>
    <t>MAR-16,0,0,0,0,35.60,.00,0,4500,0,N/A,0,0,0</t>
  </si>
  <si>
    <t>APR-16,0,0,0,0,35.60,.00,0,4608,0,N/A,0,0,0</t>
  </si>
  <si>
    <t>MAY-16,0,0,0,0,32.85,.00,0,4896,0,N/A,0,0,0</t>
  </si>
  <si>
    <t>JUN-16,0,0,0,0,33.75,.00,0,4416,0,N/A,0,0,0</t>
  </si>
  <si>
    <t>JUL-16,0,0,0,0,37.00,.00,0,5088,0,N/A,0,0,0</t>
  </si>
  <si>
    <t>AUG-16,0,0,0,0,37.00,.00,0,4512,0,N/A,0,0,0</t>
  </si>
  <si>
    <t>SEP-16,0,0,0,0,33.10,.00,0,4608,0,N/A,0,0,0</t>
  </si>
  <si>
    <t>OCT-16,0,0,0,0,35.20,.00,0,4896,0,N/A,0,0,0</t>
  </si>
  <si>
    <t>NOV-16,0,0,0,0,35.20,.00,0,4620,0,N/A,0,0,0</t>
  </si>
  <si>
    <t>DEC-16,0,0,0,0,35.20,.00,0,4896,0,N/A,0,0,0</t>
  </si>
  <si>
    <t>JAN-17,0,0,0,0,42.60,.00,0,0,0,N/A,0,0,0</t>
  </si>
  <si>
    <t>FEB-17,0,0,0,0,42.60,.00,0,0,0,N/A,0,0,0</t>
  </si>
  <si>
    <t>MAR-17,0,0,0,0,37.35,.00,0,0,0,N/A,0,0,0</t>
  </si>
  <si>
    <t>APR-17,0,0,0,0,37.35,.00,0,0,0,N/A,0,0,0</t>
  </si>
  <si>
    <t>MAY-17,0,0,0,0,34.35,.00,0,0,0,N/A,0,0,0</t>
  </si>
  <si>
    <t>JUN-17,0,0,0,0,35.55,.00,0,0,0,N/A,0,0,0</t>
  </si>
  <si>
    <t>JUL-17,0,0,0,0,38.95,.00,0,0,0,N/A,0,0,0</t>
  </si>
  <si>
    <t>AUG-17,0,0,0,0,38.95,.00,0,0,0,N/A,0,0,0</t>
  </si>
  <si>
    <t>SEP-17,0,0,0,0,34.80,.00,0,0,0,N/A,0,0,0</t>
  </si>
  <si>
    <t>OCT-17,0,0,0,0,36.65,.00,0,0,0,N/A,0,0,0</t>
  </si>
  <si>
    <t>NOV-17,0,0,0,0,36.65,.00,0,0,0,N/A,0,0,0</t>
  </si>
  <si>
    <t>DEC-17,0,0,0,0,36.65,.00,0,0,0,N/A,0,0,0</t>
  </si>
  <si>
    <t>JAN-18,0,0,0,0,45.35,.00,0,0,0,N/A,0,0,0</t>
  </si>
  <si>
    <t>FEB-18,0,0,0,0,45.35,.00,0,0,0,N/A,0,0,0</t>
  </si>
  <si>
    <t>MAR-18,0,0,0,0,38.70,.00,0,0,0,N/A,0,0,0</t>
  </si>
  <si>
    <t>APR-18,0,0,0,0,38.70,.00,0,0,0,N/A,0,0,0</t>
  </si>
  <si>
    <t>MAY-18,0,0,0,0,36.00,.00,0,0,0,N/A,0,0,0</t>
  </si>
  <si>
    <t>JUN-18,0,0,0,0,37.40,.00,0,0,0,N/A,0,0,0</t>
  </si>
  <si>
    <t>JUL-18,0,0,0,0,39.60,.00,0,0,0,N/A,0,0,0</t>
  </si>
  <si>
    <t>AUG-18,0,0,0,0,39.60,.00,0,0,0,N/A,0,0,0</t>
  </si>
  <si>
    <t>SEP-18,0,0,0,0,37.05,.00,0,0,0,N/A,0,0,0</t>
  </si>
  <si>
    <t>OCT-18,0,0,0,0,38.65,.00,0,0,0,N/A,0,0,0</t>
  </si>
  <si>
    <t>NOV-18,0,0,0,0,38.65,.00,0,0,0,N/A,0,0,0</t>
  </si>
  <si>
    <t>DEC-18,0,0,0,0,38.65,.00,0,0,0,N/A,0,0,0</t>
  </si>
  <si>
    <t>DEC-12,-.2050,-.2050,-.2200,-.2150,-.2125,-.0075,1364,47229,-403,N/A,0,0,186</t>
  </si>
  <si>
    <t>JAN-13,-.3200,-.3125,-.3200,-.3185,-.3200,-.0075,8494,44990,-3165,N/A,0,0,806</t>
  </si>
  <si>
    <t>FEB-13,-.3295,-.3225,-.3300,-.3285,-.3300,-.0075,6244,27101,-635,N/A,0,0,728</t>
  </si>
  <si>
    <t>MAR-13,-.3175,-.3175,-.3175,-.3175,-.3175,-.0075,2635,57264,-1493,N/A,0,0,806</t>
  </si>
  <si>
    <t>APR-13,-.3500,-.3500,-.3500,-.3500,-.3500,-.0075,2340,49813,1020,N/A,0,0,630</t>
  </si>
  <si>
    <t>MAY-13,0,0,0,0,-.3850,-.0100,1364,34786,31,N/A,0,0,651</t>
  </si>
  <si>
    <t>JUN-13,0,0,0,0,-.4200,-.0075,1320,27310,-30,N/A,0,0,630</t>
  </si>
  <si>
    <t>JUL-13,-.4350,-.4350,-.4375,-.4375,-.4350,-.0100,2108,34016,434,N/A,0,0,651</t>
  </si>
  <si>
    <t>AUG-13,0,0,0,0,-.4275,-.0025,1364,35012,-341,N/A,0,0,651</t>
  </si>
  <si>
    <t>SEP-13,0,0,0,0,-.3950,-.0050,1320,27961,-420,N/A,0,0,630</t>
  </si>
  <si>
    <t>OCT-13,-.3875,-.3875,-.3875,-.3875,-.3800,-.0050,1395,26357,-270,N/A,0,0,651</t>
  </si>
  <si>
    <t>NOV-13,0,0,0,0,-.3525,-.0025,270,17554,270,N/A,0,0,180</t>
  </si>
  <si>
    <t>DEC-13,0,0,0,0,-.3775,-.0025,279,19329,279,N/A,0,0,186</t>
  </si>
  <si>
    <t>JAN-14,0,0,0,0,-.4100,-.0025,334,18147,217,N/A,0,0,241</t>
  </si>
  <si>
    <t>FEB-14,0,0,0,0,-.4075,-.0025,304,16328,196,N/A,0,0,220</t>
  </si>
  <si>
    <t>MAR-14,0,0,0,0,-.3775,-.0025,334,18209,217,N/A,0,0,241</t>
  </si>
  <si>
    <t>APR-14,0,0,0,0,-.3875,-.0050,54,9130,30,N/A,0,0,54</t>
  </si>
  <si>
    <t>MAY-14,0,0,0,0,-.3950,-.0050,55,9418,31,N/A,0,0,55</t>
  </si>
  <si>
    <t>JUN-14,0,0,0,0,-.4100,-.0050,54,9028,30,N/A,0,0,54</t>
  </si>
  <si>
    <t>JUL-14,0,0,0,0,-.4125,-.0050,55,8829,19,N/A,0,0,55</t>
  </si>
  <si>
    <t>AUG-14,0,0,0,0,-.4125,-.0050,55,8829,19,N/A,0,0,55</t>
  </si>
  <si>
    <t>SEP-14,0,0,0,0,-.3725,-.0050,54,8548,10,N/A,0,0,54</t>
  </si>
  <si>
    <t>OCT-14,0,0,0,0,-.3750,-.0050,55,8891,19,N/A,0,0,55</t>
  </si>
  <si>
    <t>NOV-14,0,0,0,0,-.3825,-.0050,54,5934,0,N/A,0,0,54</t>
  </si>
  <si>
    <t>DEC-14,0,0,0,0,-.3925,-.0050,55,6131,0,N/A,0,0,55</t>
  </si>
  <si>
    <t>JAN-15,0,0,0,0,-.3900,-.0050,0,6548,0,N/A,0,0,0</t>
  </si>
  <si>
    <t>FEB-15,0,0,0,0,-.4025,-.0050,0,5918,0,N/A,0,0,0</t>
  </si>
  <si>
    <t>MAR-15,0,0,0,0,-.3850,-.0050,0,6548,0,N/A,0,0,0</t>
  </si>
  <si>
    <t>APR-15,0,0,0,0,-.3850,.0000,0,6244,0,N/A,0,0,0</t>
  </si>
  <si>
    <t>MAY-15,0,0,0,0,-.3775,.0000,0,6513,0,N/A,0,0,0</t>
  </si>
  <si>
    <t>JUN-15,0,0,0,0,-.4225,.0000,0,6304,0,N/A,0,0,0</t>
  </si>
  <si>
    <t>JUL-15,0,0,0,0,-.4450,.0000,0,6513,0,N/A,0,0,0</t>
  </si>
  <si>
    <t>AUG-15,0,0,0,0,-.4450,.0000,0,6513,0,N/A,0,0,0</t>
  </si>
  <si>
    <t>SEP-15,0,0,0,0,-.4225,.0000,0,6304,0,N/A,0,0,0</t>
  </si>
  <si>
    <t>OCT-15,0,0,0,0,-.4150,.0000,0,6513,0,N/A,0,0,0</t>
  </si>
  <si>
    <t>NOV-15,0,0,0,0,-.3650,.0000,0,4894,0,N/A,0,0,0</t>
  </si>
  <si>
    <t>DEC-15,0,0,0,0,-.4150,.0000,0,5056,0,N/A,0,0,0</t>
  </si>
  <si>
    <t>JAN-16,0,0,0,0,-.4300,.0000,0,2275,0,N/A,0,0,0</t>
  </si>
  <si>
    <t>FEB-16,0,0,0,0,-.4325,.0000,0,2129,0,N/A,0,0,0</t>
  </si>
  <si>
    <t>MAR-16,0,0,0,0,-.4325,.0000,0,2275,0,N/A,0,0,0</t>
  </si>
  <si>
    <t>APR-16,0,0,0,0,-.3650,.0000,0,1902,0,N/A,0,0,0</t>
  </si>
  <si>
    <t>MAY-16,0,0,0,0,-.3950,.0000,0,1965,0,N/A,0,0,0</t>
  </si>
  <si>
    <t>JUN-16,0,0,0,0,-.4450,.0000,0,1902,0,N/A,0,0,0</t>
  </si>
  <si>
    <t>JUL-16,0,0,0,0,-.4625,.0000,0,1965,0,N/A,0,0,0</t>
  </si>
  <si>
    <t>AUG-16,0,0,0,0,-.4825,.0000,0,1965,0,N/A,0,0,0</t>
  </si>
  <si>
    <t>SEP-16,0,0,0,0,-.4500,.0000,0,1902,0,N/A,0,0,0</t>
  </si>
  <si>
    <t>OCT-16,0,0,0,0,-.4425,.0000,0,1965,0,N/A,0,0,0</t>
  </si>
  <si>
    <t>NOV-16,0,0,0,0,-.3775,.0050,0,1812,0,N/A,0,0,0</t>
  </si>
  <si>
    <t>DEC-16,0,0,0,0,-.3750,.0050,0,1872,0,N/A,0,0,0</t>
  </si>
  <si>
    <t>JAN-17,0,0,0,0,-.3725,.0050,0,837,0,N/A,0,0,0</t>
  </si>
  <si>
    <t>FEB-17,0,0,0,0,-.3800,.0050,0,756,0,N/A,0,0,0</t>
  </si>
  <si>
    <t>MAR-17,0,0,0,0,-.3600,.0050,0,837,0,N/A,0,0,0</t>
  </si>
  <si>
    <t>APR-17,0,0,0,0,-.3100,.0050,0,600,0,N/A,0,0,0</t>
  </si>
  <si>
    <t>MAY-17,0,0,0,0,-.3650,.0050,0,620,0,N/A,0,0,0</t>
  </si>
  <si>
    <t>JUN-17,0,0,0,0,-.3675,.0050,0,600,0,N/A,0,0,0</t>
  </si>
  <si>
    <t>SEP-16,0,0,0,0,.1750,.0000,0,2103,0,N/A,0,0,0</t>
  </si>
  <si>
    <t>OCT-16,0,0,0,0,.1350,.0000,0,2165,0,N/A,0,0,0</t>
  </si>
  <si>
    <t>NOV-16,0,0,0,0,.1725,.0000,0,1862,0,N/A,0,0,0</t>
  </si>
  <si>
    <t>DEC-16,0,0,0,0,.1850,.0000,0,1916,0,N/A,0,0,0</t>
  </si>
  <si>
    <t>JAN-17,0,0,0,0,.1950,.0000,0,893,0,N/A,0,0,0</t>
  </si>
  <si>
    <t>FEB-17,0,0,0,0,.1700,.0000,0,830,0,N/A,0,0,0</t>
  </si>
  <si>
    <t>MAR-17,0,0,0,0,.1900,.0000,0,893,0,N/A,0,0,0</t>
  </si>
  <si>
    <t>APR-17,0,0,0,0,.0975,.0000,0,872,0,N/A,0,0,0</t>
  </si>
  <si>
    <t>MAY-17,0,0,0,0,.1450,.0000,0,893,0,N/A,0,0,0</t>
  </si>
  <si>
    <t>JUN-17,0,0,0,0,.1575,.0000,0,884,0,N/A,0,0,0</t>
  </si>
  <si>
    <t>JUL-17,0,0,0,0,.3750,.0000,0,905,0,N/A,0,0,0</t>
  </si>
  <si>
    <t>AUG-17,0,0,0,0,.3450,.0000,0,905,0,N/A,0,0,0</t>
  </si>
  <si>
    <t>SEP-17,0,0,0,0,.1825,.0000,0,872,0,N/A,0,0,0</t>
  </si>
  <si>
    <t>OCT-17,0,0,0,0,.1175,.0000,0,893,0,N/A,0,0,0</t>
  </si>
  <si>
    <t>NOV-17,0,0,0,0,.1200,.0000,0,872,0,N/A,0,0,0</t>
  </si>
  <si>
    <t>DEC-17,0,0,0,0,.1475,.0000,0,893,0,N/A,0,0,0</t>
  </si>
  <si>
    <t>JAN-18,0,0,0,0,.1750,.0000,0,368,0,N/A,0,0,0</t>
  </si>
  <si>
    <t>FEB-18,0,0,0,0,.1525,.0000,0,350,0,N/A,0,0,0</t>
  </si>
  <si>
    <t>MAR-18,0,0,0,0,.1700,.0000,0,368,0,N/A,0,0,0</t>
  </si>
  <si>
    <t>APR-18,0,0,0,0,.0925,.0000,0,362,0,N/A,0,0,0</t>
  </si>
  <si>
    <t>MAY-18,0,0,0,0,.1075,.0000,0,368,0,N/A,0,0,0</t>
  </si>
  <si>
    <t>JUN-18,0,0,0,0,.1300,.0000,0,374,0,N/A,0,0,0</t>
  </si>
  <si>
    <t>JUL-18,0,0,0,0,.3475,.0000,0,392,0,N/A,0,0,0</t>
  </si>
  <si>
    <t>AUG-18,0,0,0,0,.3375,.0000,0,392,0,N/A,0,0,0</t>
  </si>
  <si>
    <t>SEP-18,0,0,0,0,.1550,.0000,0,362,0,N/A,0,0,0</t>
  </si>
  <si>
    <t>OCT-18,0,0,0,0,.0675,.0000,0,368,0,N/A,0,0,0</t>
  </si>
  <si>
    <t>NOV-18,0,0,0,0,.1150,.0000,0,362,0,N/A,0,0,0</t>
  </si>
  <si>
    <t>DEC-18,0,0,0,0,.1150,.0000,0,368,0,N/A,0,0,0</t>
  </si>
  <si>
    <t>JAN-19,0,0,0,0,.1500,.0000,0,370,0,N/A,0,0,0</t>
  </si>
  <si>
    <t>FEB-19,0,0,0,0,.1325,.0000,0,340,0,N/A,0,0,0</t>
  </si>
  <si>
    <t>MAR-19,0,0,0,0,.1525,.0000,0,370,0,N/A,0,0,0</t>
  </si>
  <si>
    <t>APR-19,0,0,0,0,.0900,.0000,0,360,0,N/A,0,0,0</t>
  </si>
  <si>
    <t>MAY-19,0,0,0,0,.1225,.0000,0,370,0,N/A,0,0,0</t>
  </si>
  <si>
    <t>JUN-19,0,0,0,0,.1275,.0000,0,360,0,N/A,0,0,0</t>
  </si>
  <si>
    <t>JUL-19,0,0,0,0,.3350,.0000,0,382,0,N/A,0,0,0</t>
  </si>
  <si>
    <t>AUG-19,0,0,0,0,.3350,.0000,0,382,0,N/A,0,0,0</t>
  </si>
  <si>
    <t>SEP-19,0,0,0,0,.1525,.0000,0,360,0,N/A,0,0,0</t>
  </si>
  <si>
    <t>OCT-19,0,0,0,0,.0500,.0000,0,370,0,N/A,0,0,0</t>
  </si>
  <si>
    <t>NOV-19,0,0,0,0,.1075,.0000,0,360,0,N/A,0,0,0</t>
  </si>
  <si>
    <t>DEC-19,0,0,0,0,.1550,.0000,0,370,0,N/A,0,0,0</t>
  </si>
  <si>
    <t>JAN-20,0,0,0,0,.1200,.0000,0,186,0,N/A,0,0,0</t>
  </si>
  <si>
    <t>FEB-20,0,0,0,0,.1075,.0000,0,174,0,N/A,0,0,0</t>
  </si>
  <si>
    <t>MAR-20,0,0,0,0,.1225,.0000,0,186,0,N/A,0,0,0</t>
  </si>
  <si>
    <t>APR-20,0,0,0,0,.0650,.0000,0,180,0,N/A,0,0,0</t>
  </si>
  <si>
    <t>MAY-20,0,0,0,0,.1575,.0000,0,186,0,N/A,0,0,0</t>
  </si>
  <si>
    <t>JUN-20,0,0,0,0,.1625,.0000,0,180,0,N/A,0,0,0</t>
  </si>
  <si>
    <t>JUL-20,0,0,0,0,.3200,.0000,0,198,0,N/A,0,0,0</t>
  </si>
  <si>
    <t>AUG-20,0,0,0,0,.3100,.0000,0,198,0,N/A,0,0,0</t>
  </si>
  <si>
    <t>SEP-20,0,0,0,0,.1275,.0000,0,180,0,N/A,0,0,0</t>
  </si>
  <si>
    <t>OCT-20,0,0,0,0,.0400,.0000,0,186,0,N/A,0,0,0</t>
  </si>
  <si>
    <t>NOV-20,0,0,0,0,.0900,.0000,0,180,0,N/A,0,0,0</t>
  </si>
  <si>
    <t>DEC-20,0,0,0,0,.1250,.0000,0,186,0,N/A,0,0,0</t>
  </si>
  <si>
    <t>JAN-21,0,0,0,0,.1375,.0000,0,0,0,N/A,0,0,0</t>
  </si>
  <si>
    <t>FEB-21,0,0,0,0,.1225,.0000,0,0,0,N/A,0,0,0</t>
  </si>
  <si>
    <t>MAR-21,0,0,0,0,.1200,.0000,0,0,0,N/A,0,0,0</t>
  </si>
  <si>
    <t>APR-21,0,0,0,0,.0800,.0000,0,0,0,N/A,0,0,0</t>
  </si>
  <si>
    <t>MAY-21,0,0,0,0,.1125,.0000,0,0,0,N/A,0,0,0</t>
  </si>
  <si>
    <t>JUN-21,0,0,0,0,.1175,.0000,0,0,0,N/A,0,0,0</t>
  </si>
  <si>
    <t>JUL-21,0,0,0,0,.3350,.0000,0,0,0,N/A,0,0,0</t>
  </si>
  <si>
    <t>AUG-21,0,0,0,0,.3250,.0000,0,0,0,N/A,0,0,0</t>
  </si>
  <si>
    <t>SEP-21,0,0,0,0,.1425,.0000,0,0,0,N/A,0,0,0</t>
  </si>
  <si>
    <t>OCT-21,0,0,0,0,.0400,.0000,0,0,0,N/A,0,0,0</t>
  </si>
  <si>
    <t>NOV-21,0,0,0,0,.0850,.0000,0,0,0,N/A,0,0,0</t>
  </si>
  <si>
    <t>DEC-21,0,0,0,0,.1150,.0000,0,0,0,N/A,0,0,0</t>
  </si>
  <si>
    <t>DEC-12,-.0625,-.0625,-.0625,-.0625,-.0625,-.0100,310,12768,62,N/A,0,0,0</t>
  </si>
  <si>
    <t>JAN-13,0,0,0,0,-.0750,-.0050,682,13244,-403,N/A,0,0,248</t>
  </si>
  <si>
    <t>FEB-13,0,0,0,0,-.0775,-.0050,616,11970,-364,N/A,0,0,224</t>
  </si>
  <si>
    <t>MAR-13,-.1000,-.1000,-.1000,-.1000,-.1000,-.0100,806,12657,-465,N/A,0,0,248</t>
  </si>
  <si>
    <t>APR-13,0,0,0,0,-.1025,-.0075,240,3362,0,N/A,0,0,240</t>
  </si>
  <si>
    <t>MAY-13,0,0,0,0,-.1050,-.0075,248,3318,0,N/A,0,0,248</t>
  </si>
  <si>
    <t>JUN-13,0,0,0,0,-.1025,-.0075,240,3032,0,N/A,0,0,240</t>
  </si>
  <si>
    <t>JUL-13,0,0,0,0,-.0600,-.0075,248,2884,0,N/A,0,0,248</t>
  </si>
  <si>
    <t>AUG-13,0,0,0,0,-.0725,-.0075,248,2884,0,N/A,0,0,248</t>
  </si>
  <si>
    <t>SEP-13,0,0,0,0,-.0950,-.0100,240,2792,0,N/A,0,0,240</t>
  </si>
  <si>
    <t>OCT-13,0,0,0,0,-.0975,-.0075,248,2884,0,N/A,0,0,248</t>
  </si>
  <si>
    <t>NOV-13,0,0,0,0,-.1125,.0000,240,2232,-188,N/A,0,0,240</t>
  </si>
  <si>
    <t>DEC-13,0,0,0,0,-.0875,.0000,248,2306,-70,N/A,0,0,248</t>
  </si>
  <si>
    <t>JAN-14,0,0,0,0,-.1100,.0000,248,1658,0,N/A,0,0,248</t>
  </si>
  <si>
    <t>FEB-14,0,0,0,0,-.1050,.0000,224,1496,0,N/A,0,0,224</t>
  </si>
  <si>
    <t>MAR-14,0,0,0,0,-.1225,.0000,248,1658,0,N/A,0,0,248</t>
  </si>
  <si>
    <t>APR-14,0,0,0,0,-.1000,.0000,0,1592,0,N/A,0,0,0</t>
  </si>
  <si>
    <t>MAY-14,0,0,0,0,-.1000,.0000,0,1644,0,N/A,0,0,0</t>
  </si>
  <si>
    <t>JUN-14,0,0,0,0,-.1000,.0000,0,1592,0,N/A,0,0,0</t>
  </si>
  <si>
    <t>JUL-14,0,0,0,0,-.1000,.0000,0,1644,0,N/A,0,0,0</t>
  </si>
  <si>
    <t>AUG-14,0,0,0,0,-.1000,.0000,0,1644,0,N/A,0,0,0</t>
  </si>
  <si>
    <t>SEP-14,0,0,0,0,-.1000,.0000,0,1592,0,N/A,0,0,0</t>
  </si>
  <si>
    <t>OCT-14,0,0,0,0,-.1000,.0000,0,1644,0,N/A,0,0,0</t>
  </si>
  <si>
    <t>NOV-14,0,0,0,0,-.1300,.0000,0,1142,0,N/A,0,0,0</t>
  </si>
  <si>
    <t>DEC-14,0,0,0,0,-.1000,.0000,0,1179,0,N/A,0,0,0</t>
  </si>
  <si>
    <t>JAN-15,0,0,0,0,-.1200,.0000,0,632,0,N/A,0,0,0</t>
  </si>
  <si>
    <t>FEB-15,0,0,0,0,-.1100,.0000,0,572,0,N/A,0,0,0</t>
  </si>
  <si>
    <t>MAR-15,0,0,0,0,-.1200,.0000,0,632,0,N/A,0,0,0</t>
  </si>
  <si>
    <t>APR-15,0,0,0,0,-.1050,.0000,0,822,0,N/A,0,0,0</t>
  </si>
  <si>
    <t>MAY-15,0,0,0,0,-.1050,.0000,0,849,0,N/A,0,0,0</t>
  </si>
  <si>
    <t>MAR-15,0,0,0,0,36.85,.20,0,4905,0,N/A,0,0,0</t>
  </si>
  <si>
    <t>APR-15,0,0,0,0,28.60,.15,0,4560,0,N/A,0,0,0</t>
  </si>
  <si>
    <t>MAY-15,0,0,0,0,28.60,.15,0,5160,0,N/A,0,0,0</t>
  </si>
  <si>
    <t>JUN-15,0,0,0,0,28.60,.15,0,4560,0,N/A,0,0,0</t>
  </si>
  <si>
    <t>JUL-15,0,0,0,0,38.45,.20,0,4920,0,N/A,0,0,0</t>
  </si>
  <si>
    <t>AUG-15,0,0,0,0,38.45,.20,0,4920,0,N/A,0,0,0</t>
  </si>
  <si>
    <t>SEP-15,0,0,0,0,38.45,.20,0,4800,0,N/A,0,0,0</t>
  </si>
  <si>
    <t>OCT-15,0,0,0,0,38.90,.25,0,4680,0,N/A,0,0,0</t>
  </si>
  <si>
    <t>NOV-15,0,0,0,0,38.90,.25,0,5055,0,N/A,0,0,0</t>
  </si>
  <si>
    <t>DEC-15,0,0,0,0,38.90,.25,0,4920,0,N/A,0,0,0</t>
  </si>
  <si>
    <t>JAN-16,0,0,0,0,38.00,.20,0,2752,0,N/A,0,0,0</t>
  </si>
  <si>
    <t>FEB-16,0,0,0,0,38.00,.20,0,2368,0,N/A,0,0,0</t>
  </si>
  <si>
    <t>MAR-16,0,0,0,0,38.00,.20,0,2488,0,N/A,0,0,0</t>
  </si>
  <si>
    <t>JAN-20,0,0,0,0,-.1700,.0250,93,133,93,N/A,0,0,93</t>
  </si>
  <si>
    <t>FEB-20,0,0,0,0,-.1600,.0250,87,127,87,N/A,0,0,87</t>
  </si>
  <si>
    <t>MAR-20,0,0,0,0,-.1400,.0250,93,133,93,N/A,0,0,93</t>
  </si>
  <si>
    <t>APR-20,0,0,0,0,-.0325,.0250,90,130,90,N/A,0,0,90</t>
  </si>
  <si>
    <t>MAY-20,0,0,0,0,-.0975,.0250,93,133,93,N/A,0,0,93</t>
  </si>
  <si>
    <t>JUN-20,0,0,0,0,-.1175,.0250,90,130,90,N/A,0,0,90</t>
  </si>
  <si>
    <t>JUL-20,0,0,0,0,-.1450,.0250,93,133,93,N/A,0,0,93</t>
  </si>
  <si>
    <t>AUG-20,0,0,0,0,-.1850,.0250,93,133,93,N/A,0,0,93</t>
  </si>
  <si>
    <t>SEP-20,0,0,0,0,-.1300,.0250,90,130,90,N/A,0,0,90</t>
  </si>
  <si>
    <t>OCT-20,0,0,0,0,-.1275,.0250,93,133,93,N/A,0,0,93</t>
  </si>
  <si>
    <t>NOV-20,0,0,0,0,-.0750,.0150,90,130,90,N/A,0,0,90</t>
  </si>
  <si>
    <t>DEC-20,0,0,0,0,-.1200,.0150,93,133,93,N/A,0,0,93</t>
  </si>
  <si>
    <t>JAN-21,0,0,0,0,-.1600,.0150,0,40,0,N/A,0,0,0</t>
  </si>
  <si>
    <t>FEB-21,0,0,0,0,-.1500,.0150,0,40,0,N/A,0,0,0</t>
  </si>
  <si>
    <t>MAR-21,0,0,0,0,-.1300,.0150,0,40,0,N/A,0,0,0</t>
  </si>
  <si>
    <t>APR-21,0,0,0,0,-.0275,.0150,0,40,0,N/A,0,0,0</t>
  </si>
  <si>
    <t>MAY-21,0,0,0,0,-.0975,.0150,0,40,0,N/A,0,0,0</t>
  </si>
  <si>
    <t>JUN-21,0,0,0,0,-.1175,.0150,0,40,0,N/A,0,0,0</t>
  </si>
  <si>
    <t>JUL-21,0,0,0,0,-.1425,.0150,0,40,0,N/A,0,0,0</t>
  </si>
  <si>
    <t>AUG-21,0,0,0,0,-.1825,.0150,0,40,0,N/A,0,0,0</t>
  </si>
  <si>
    <t>SEP-21,0,0,0,0,-.1325,.0150,0,40,0,N/A,0,0,0</t>
  </si>
  <si>
    <t>OCT-21,0,0,0,0,-.1250,.0150,0,40,0,N/A,0,0,0</t>
  </si>
  <si>
    <t>NOV-21,0,0,0,0,-.0725,.0150,0,40,0,N/A,0,0,0</t>
  </si>
  <si>
    <t>DEC-21,0,0,0,0,-.1175,.0150,0,40,0,N/A,0,0,0</t>
  </si>
  <si>
    <t>DEC-12,.2000,.2025,.1950,.1950,.2000,-.0150,682,17031,197,N/A,0,0,279</t>
  </si>
  <si>
    <t>JAN-13,.1600,.1600,.1600,.1600,.1600,-.0050,496,13843,124,N/A,0,0,124</t>
  </si>
  <si>
    <t>FEB-13,.1575,.1575,.1575,.1575,.1575,-.0050,252,12992,140,N/A,0,0,112</t>
  </si>
  <si>
    <t>MAR-13,0,0,0,0,.1200,-.0050,248,13193,124,N/A,0,0,124</t>
  </si>
  <si>
    <t>APR-13,0,0,0,0,.0975,.0050,480,9682,210,N/A,0,0,120</t>
  </si>
  <si>
    <t>MAY-13,0,0,0,0,.0750,-.0025,496,10313,217,N/A,0,0,124</t>
  </si>
  <si>
    <t>JUN-13,0,0,0,0,.0625,-.0025,480,9470,210,N/A,0,0,120</t>
  </si>
  <si>
    <t>JUL-13,0,0,0,0,.0500,-.0025,496,9691,217,N/A,0,0,124</t>
  </si>
  <si>
    <t>AUG-13,0,0,0,0,.0500,-.0025,496,9631,217,N/A,0,0,124</t>
  </si>
  <si>
    <t>SEP-13,0,0,0,0,.0600,-.0025,480,9352,210,N/A,0,0,120</t>
  </si>
  <si>
    <t>OCT-13,0,0,0,0,.0775,-.0025,496,9629,217,N/A,0,0,124</t>
  </si>
  <si>
    <t>NOV-13,0,0,0,0,.1375,-.0025,60,4518,0,N/A,0,0,60</t>
  </si>
  <si>
    <t>DEC-13,0,0,0,0,.1350,-.0025,62,4697,0,N/A,0,0,62</t>
  </si>
  <si>
    <t>JAN-14,0,0,0,0,.1250,-.0025,62,4790,62,N/A,0,0,62</t>
  </si>
  <si>
    <t>FEB-14,0,0,0,0,.1225,-.0025,56,4334,56,N/A,0,0,56</t>
  </si>
  <si>
    <t>MAR-14,0,0,0,0,.1175,-.0025,62,4790,62,N/A,0,0,62</t>
  </si>
  <si>
    <t>APR-14,0,0,0,0,.0500,-.0025,210,2760,-90,N/A,0,0,180</t>
  </si>
  <si>
    <t>MAY-14,0,0,0,0,.0500,-.0025,217,2852,-93,N/A,0,0,186</t>
  </si>
  <si>
    <t>JUN-14,0,0,0,0,.0500,-.0025,210,2760,-90,N/A,0,0,180</t>
  </si>
  <si>
    <t>JUL-14,0,0,0,0,.0500,-.0025,217,2852,-93,N/A,0,0,186</t>
  </si>
  <si>
    <t>AUG-14,0,0,0,0,.0500,-.0025,217,2852,-93,N/A,0,0,186</t>
  </si>
  <si>
    <t>SEP-14,0,0,0,0,.0500,-.0025,210,2760,-90,N/A,0,0,180</t>
  </si>
  <si>
    <t>OCT-14,0,0,0,0,.0500,-.0025,217,2852,-93,N/A,0,0,186</t>
  </si>
  <si>
    <t>NOV-14,0,0,0,0,.1000,.0000,0,1830,0,N/A,0,0,0</t>
  </si>
  <si>
    <t>DEC-14,0,0,0,0,.1000,.0000,0,1891,0,N/A,0,0,0</t>
  </si>
  <si>
    <t>JAN-15,0,0,0,0,.1000,.0000,0,2077,0,N/A,0,0,0</t>
  </si>
  <si>
    <t>FEB-15,0,0,0,0,.1000,.0000,0,1876,0,N/A,0,0,0</t>
  </si>
  <si>
    <t>SEP-14,0,0,0,0,.3250,-.0050,0,1083,0,N/A,0,0,0</t>
  </si>
  <si>
    <t>OCT-14,0,0,0,0,.3250,-.0050,0,1116,0,N/A,0,0,0</t>
  </si>
  <si>
    <t>NOV-14,0,0,0,0,.3250,.0000,0,390,0,N/A,0,0,0</t>
  </si>
  <si>
    <t>DEC-14,0,0,0,0,.3250,.0000,0,403,0,N/A,0,0,0</t>
  </si>
  <si>
    <t>JAN-15,0,0,0,0,.3250,.0000,0,639,0,N/A,0,0,0</t>
  </si>
  <si>
    <t>FEB-15,0,0,0,0,.3250,.0000,0,588,0,N/A,0,0,0</t>
  </si>
  <si>
    <t>MAR-15,0,0,0,0,.3250,.0000,0,639,0,N/A,0,0,0</t>
  </si>
  <si>
    <t>APR-15,0,0,0,0,.3250,.0000,0,622,0,N/A,0,0,0</t>
  </si>
  <si>
    <t>MAY-15,0,0,0,0,.3250,.0000,0,639,0,N/A,0,0,0</t>
  </si>
  <si>
    <t>JUN-15,0,0,0,0,.3250,.0000,0,622,0,N/A,0,0,0</t>
  </si>
  <si>
    <t>JUL-15,0,0,0,0,.3250,.0000,0,639,0,N/A,0,0,0</t>
  </si>
  <si>
    <t>AUG-15,0,0,0,0,.3250,.0000,0,639,0,N/A,0,0,0</t>
  </si>
  <si>
    <t>SEP-15,0,0,0,0,.3250,.0000,0,622,0,N/A,0,0,0</t>
  </si>
  <si>
    <t>OCT-15,0,0,0,0,.3250,.0000,0,639,0,N/A,0,0,0</t>
  </si>
  <si>
    <t>NOV-15,0,0,0,0,.2825,.0000,0,532,0,N/A,0,0,0</t>
  </si>
  <si>
    <t>DEC-15,0,0,0,0,.2825,.0000,0,546,0,N/A,0,0,0</t>
  </si>
  <si>
    <t>JAN-16,0,0,0,0,.2825,.0000,0,0,0,N/A,0,0,0</t>
  </si>
  <si>
    <t>FEB-16,0,0,0,0,.2825,.0000,0,0,0,N/A,0,0,0</t>
  </si>
  <si>
    <t>MAR-16,0,0,0,0,.2825,.0000,0,0,0,N/A,0,0,0</t>
  </si>
  <si>
    <t>APR-16,0,0,0,0,.3675,.0000,0,360,0,N/A,0,0,0</t>
  </si>
  <si>
    <t>MAY-16,0,0,0,0,.3675,.0000,0,372,0,N/A,0,0,0</t>
  </si>
  <si>
    <t>JUN-16,0,0,0,0,.3675,.0000,0,360,0,N/A,0,0,0</t>
  </si>
  <si>
    <t>JUL-16,0,0,0,0,.3675,.0000,0,372,0,N/A,0,0,0</t>
  </si>
  <si>
    <t>AUG-16,0,0,0,0,.3675,.0000,0,372,0,N/A,0,0,0</t>
  </si>
  <si>
    <t>SEP-16,0,0,0,0,.3675,.0000,0,360,0,N/A,0,0,0</t>
  </si>
  <si>
    <t>OCT-16,0,0,0,0,.3675,.0000,0,372,0,N/A,0,0,0</t>
  </si>
  <si>
    <t>NOV-16,0,0,0,0,.2875,.0000,0,0,0,N/A,0,0,0</t>
  </si>
  <si>
    <t>DEC-16,0,0,0,0,.2875,.0000,0,0,0,N/A,0,0,0</t>
  </si>
  <si>
    <t>DEC-12,.2200,.2225,.2000,.2025,.2050,-.0350,4216,21373,314,N/A,0,0,1488</t>
  </si>
  <si>
    <t>JAN-13,.1650,.1650,.1500,.1500,.1500,-.0225,1984,17325,124,N/A,0,0,496</t>
  </si>
  <si>
    <t>FEB-13,.1600,.1600,.1475,.1475,.1525,-.0175,840,10157,351,N/A,0,0,448</t>
  </si>
  <si>
    <t>MAR-13,.1550,.1550,.1330,.1350,.1375,-.0300,1581,9043,27,N/A,0,0,496</t>
  </si>
  <si>
    <t>APR-13,0,0,0,0,.2050,-.0100,150,7385,30,N/A,0,0,120</t>
  </si>
  <si>
    <t>MAY-13,0,0,0,0,.1250,-.0100,155,9355,0,N/A,0,0,124</t>
  </si>
  <si>
    <t>JUN-13,0,0,0,0,.1050,-.0100,150,8135,60,N/A,0,0,120</t>
  </si>
  <si>
    <t>JUL-13,0,0,0,0,.1500,-.0100,155,9572,-31,N/A,0,0,124</t>
  </si>
  <si>
    <t>AUG-13,0,0,0,0,.1525,-.0100,155,9652,93,N/A,0,0,124</t>
  </si>
  <si>
    <t>SEP-13,0,0,0,0,.1550,-.0100,150,9319,90,N/A,0,0,120</t>
  </si>
  <si>
    <t>OCT-13,0,0,0,0,.1400,-.0100,155,10072,93,N/A,0,0,124</t>
  </si>
  <si>
    <t>NOV-13,0,0,0,0,.1300,-.0050,0,4583,0,N/A,0,0,0</t>
  </si>
  <si>
    <t>DEC-13,0,0,0,0,.1825,-.0050,0,4716,0,N/A,0,0,0</t>
  </si>
  <si>
    <t>JAN-14,0,0,0,0,.1250,-.0050,124,2832,-62,N/A,0,0,124</t>
  </si>
  <si>
    <t>FEB-14,0,0,0,0,.1175,-.0050,112,2570,-56,N/A,0,0,112</t>
  </si>
  <si>
    <t>MAR-14,0,0,0,0,.1300,-.0050,124,2832,-62,N/A,0,0,124</t>
  </si>
  <si>
    <t>APR-14,0,0,0,0,.1325,-.0025,120,2737,-87,N/A,0,0,120</t>
  </si>
  <si>
    <t>MAY-14,0,0,0,0,.1225,-.0025,124,2827,-88,N/A,0,0,124</t>
  </si>
  <si>
    <t>JUN-14,0,0,0,0,.1150,-.0025,120,2737,-87,N/A,0,0,120</t>
  </si>
  <si>
    <t>MCR,REC-MA C1,REC-MA,Apr13,,,,62.50,0.00,0,0,550,0,</t>
  </si>
  <si>
    <t>MCR,REC-MA C1,REC-MA,May13,,,,62.50,0.00,0,0,1285,0,</t>
  </si>
  <si>
    <t>MCR,REC-MA C1,REC-MA,Jul13,,,,54.59,0.00,0,0,0,0,</t>
  </si>
  <si>
    <t>MCR,REC-MA C1,REC-MA,Aug13,,,,54.62,0.00,0,0,0,0,</t>
  </si>
  <si>
    <t>MCR,REC-MA C1,REC-MA,Oct13,,,,54.67,0.00,0,0,0,0,</t>
  </si>
  <si>
    <t>MCR,REC-MA C1,REC-MA,Nov13,,,,54.69,0.00,0,0,0,0,</t>
  </si>
  <si>
    <t>MCR,REC-MA C1,REC-MA,Jan14,,,,54.74,0.00,0,0,0,0,</t>
  </si>
  <si>
    <t>MCR,REC-MA C1,REC-MA,Feb14,,,,54.77,0.00,0,0,0,0,</t>
  </si>
  <si>
    <t>MCR,REC-MA C1,REC-MA,Apr14,,,,61.25,0.00,0,0,300,0,</t>
  </si>
  <si>
    <t>MCR,REC-MA C1,REC-MA,May14,,,,61.25,0.00,0,0,875,50,</t>
  </si>
  <si>
    <t>MCR,REC-MA C1,REC-MA,Jul14,,,,44.10,0.00,0,0,0,0,</t>
  </si>
  <si>
    <t>MCR,REC-MA C1,REC-MA,Aug14,,,,44.13,0.00,0,0,0,0,</t>
  </si>
  <si>
    <t>MCR,REC-MA C1,REC-MA,Oct14,,,,44.21,0.00,0,0,0,0,</t>
  </si>
  <si>
    <t>MCR,REC-MA C1,REC-MA,Nov14,,,,44.25,0.00,0,0,0,0,</t>
  </si>
  <si>
    <t>MCR,REC-MA C1,REC-MA,Jan15,,,,44.32,0.00,0,0,0,0,</t>
  </si>
  <si>
    <t>MCR,REC-MA C1,REC-MA,Feb15,,,,44.36,0.00,0,0,0,0,</t>
  </si>
  <si>
    <t>MCR,REC-MA C1,REC-MA,Apr15,,,,55.50,-0.25,0,0,100,0,</t>
  </si>
  <si>
    <t>MCR,REC-MA C1,REC-MA,May15,,,,55.50,-0.25,0,0,775,0,</t>
  </si>
  <si>
    <t>MCR,REC-MA C1,REC-MA,Jul15,,,,40.98,0.00,0,0,0,0,</t>
  </si>
  <si>
    <t>MCR,REC-MA C1,REC-MA,Aug15,,,,41.08,0.00,0,0,0,0,</t>
  </si>
  <si>
    <t>MCR,REC-MA C1,REC-MA,Oct15,,,,41.27,0.00,0,0,0,0,</t>
  </si>
  <si>
    <t>MCR,REC-MA C1,REC-MA,Nov15,,,,41.37,0.00,0,0,0,0,</t>
  </si>
  <si>
    <t>MCR,REC-MA C1,REC-MA,Jan16,,,,41.56,0.00,0,0,0,0,</t>
  </si>
  <si>
    <t>MCR,REC-MA C1,REC-MA,Feb16,,,,41.66,0.00,0,0,0,0,</t>
  </si>
  <si>
    <t>MCR,REC-MA C1,REC-MA,Apr16,,,,45.75,0.00,0,0,300,0,</t>
  </si>
  <si>
    <t>MCR,REC-MA C1,REC-MA,May16,,,,45.75,0.00,0,0,475,0,</t>
  </si>
  <si>
    <t>MCR,REC-MA C1,REC-MA,Jul16,,,,42.98,0.00,0,0,0,0,</t>
  </si>
  <si>
    <t>MCR,REC-MA C1,REC-MA,Aug16,,,,43.09,0.00,0,0,0,0,</t>
  </si>
  <si>
    <t>MCR,REC-MA C1,REC-MA,Oct16,,,,43.24,0.00,0,0,0,0,</t>
  </si>
  <si>
    <t>MCR,REC-MA C1,REC-MA,Nov16,,,,43.34,0.00,0,0,0,0,</t>
  </si>
  <si>
    <t>MCR,REC-MA C1,REC-MA,Jan17,,,,39.56,0.00,0,0,0,0,</t>
  </si>
  <si>
    <t>MCR,REC-MA C1,REC-MA,Feb17,,,,39.66,0.00,0,0,0,0,</t>
  </si>
  <si>
    <t>MCR,REC-MA C1,REC-MA,Apr17,,,,39.90,0.00,0,0,0,0,</t>
  </si>
  <si>
    <t>MCR,REC-MA C1,REC-MA,May17,,,,39.90,0.00,0,0,275,0,</t>
  </si>
  <si>
    <t>MCR,REC-MA C1,REC-MA,Jul17,,,,40.98,0.00,0,0,0,0,</t>
  </si>
  <si>
    <t>MCR,REC-MA C1,REC-MA,Aug17,,,,41.09,0.00,0,0,0,0,</t>
  </si>
  <si>
    <t>MCR,REC-MA C1,REC-MA,Oct17,,,,41.24,0.00,0,0,0,0,</t>
  </si>
  <si>
    <t>MCR,REC-MA C1,REC-MA,Nov17,,,,41.34,0.00,0,0,0,0,</t>
  </si>
  <si>
    <t>NAK,CSAPR NOx Annual V12,CSAPR NOx,Dec12,,,,55.00,0.00,0,0,760,0,</t>
  </si>
  <si>
    <t>NAK,CSAPR NOx Annual V12,CSAPR NOx,Dec13,,,,95.00,0.00,0,0,0,0,</t>
  </si>
  <si>
    <t>NAK,CSAPR NOx Annual V12,CSAPR NOx,Dec14,,,,95.00,0.00,0,0,0,0,</t>
  </si>
  <si>
    <t>NJR,REC-NJ C1,REC-NJ,Oct12,,,,3.50,-0.10,0,0,0,0,</t>
  </si>
  <si>
    <t>NJR,REC-NJ C1,REC-NJ,Nov12,,,,3.50,-0.10,0,0,0,0,</t>
  </si>
  <si>
    <t>NJR,REC-NJ C1,REC-NJ,Dec12,,,,3.50,-0.10,0,0,250,0,</t>
  </si>
  <si>
    <t>NJR,REC-NJ C1,REC-NJ,Jan13,,,,3.50,-0.10,0,0,0,0,</t>
  </si>
  <si>
    <t>NJR,REC-NJ C1,REC-NJ,Feb13,,,,3.50,-0.10,0,0,0,0,</t>
  </si>
  <si>
    <t>NJR,REC-NJ C1,REC-NJ,Mar13,,,,3.50,-0.10,0,0,0,0,</t>
  </si>
  <si>
    <t>NJR,REC-NJ C1,REC-NJ,Apr13,,,,3.50,-0.10,0,0,0,0,</t>
  </si>
  <si>
    <t>NJR,REC-NJ C1,REC-NJ,May13,,,,3.50,-0.10,0,0,0,0,</t>
  </si>
  <si>
    <t>NJR,REC-NJ C1,REC-NJ,Jun13,,,,3.50,-0.10,0,0,0,0,</t>
  </si>
  <si>
    <t>NJR,REC-NJ C1,REC-NJ,Jul13,,,,3.50,-0.10,0,0,1675,0,</t>
  </si>
  <si>
    <t>NJR,REC-NJ C1,REC-NJ,Aug13,,,,3.50,-0.10,0,0,0,0,</t>
  </si>
  <si>
    <t>NJR,REC-NJ C1,REC-NJ,Sep13,,,,3.49,0.00,0,0,0,0,</t>
  </si>
  <si>
    <t>NJR,REC-NJ C1,REC-NJ,Oct13,,,,3.49,0.00,0,0,0,0,</t>
  </si>
  <si>
    <t>NJR,REC-NJ C1,REC-NJ,Nov13,,,,3.49,0.00,0,0,0,0,</t>
  </si>
  <si>
    <t>NJR,REC-NJ C1,REC-NJ,Dec13,,,,3.49,0.00,0,0,0,0,</t>
  </si>
  <si>
    <t>NJR,REC-NJ C1,REC-NJ,Jan14,,,,3.60,0.00,0,0,0,0,</t>
  </si>
  <si>
    <t>NJR,REC-NJ C1,REC-NJ,Feb14,,,,3.60,0.00,0,0,0,0,</t>
  </si>
  <si>
    <t>NJR,REC-NJ C1,REC-NJ,Mar14,,,,3.60,0.00,0,0,0,0,</t>
  </si>
  <si>
    <t>NJR,REC-NJ C1,REC-NJ,Apr14,,,,3.60,0.00,0,0,0,0,</t>
  </si>
  <si>
    <t>NJR,REC-NJ C1,REC-NJ,May14,,,,3.60,0.00,0,0,0,0,</t>
  </si>
  <si>
    <t>NJR,REC-NJ C1,REC-NJ,Jun14,,,,3.60,0.00,0,0,0,0,</t>
  </si>
  <si>
    <t>NJR,REC-NJ C1,REC-NJ,Jul14,,,,3.60,0.00,0,0,1700,0,</t>
  </si>
  <si>
    <t>NJR,REC-NJ C1,REC-NJ,Aug14,,,,3.60,0.00,0,0,0,0,</t>
  </si>
  <si>
    <t>NJR,REC-NJ C1,REC-NJ,Sep14,,,,3.60,0.00,0,0,0,0,</t>
  </si>
  <si>
    <t>NJR,REC-NJ C1,REC-NJ,Oct14,,,,3.60,0.00,0,0,0,0,</t>
  </si>
  <si>
    <t>NJR,REC-NJ C1,REC-NJ,Nov14,,,,3.60,0.00,0,0,0,0,</t>
  </si>
  <si>
    <t>NJR,REC-NJ C1,REC-NJ,Dec14,,,,3.60,0.00,0,0,0,0,</t>
  </si>
  <si>
    <t>NJR,REC-NJ C1,REC-NJ,Jan15,,,,3.60,0.00,0,0,0,0,</t>
  </si>
  <si>
    <t>NJR,REC-NJ C1,REC-NJ,Feb15,,,,3.60,0.00,0,0,0,0,</t>
  </si>
  <si>
    <t>NJR,REC-NJ C1,REC-NJ,Mar15,,,,3.60,0.00,0,0,0,0,</t>
  </si>
  <si>
    <t>NJR,REC-NJ C1,REC-NJ,Apr15,,,,3.60,0.00,0,0,0,0,</t>
  </si>
  <si>
    <t>NJR,REC-NJ C1,REC-NJ,May15,,,,3.60,0.00,0,0,0,0,</t>
  </si>
  <si>
    <t>NJR,REC-NJ C1,REC-NJ,Jun15,,,,3.60,0.00,0,0,0,0,</t>
  </si>
  <si>
    <t>NJR,REC-NJ C1,REC-NJ,Jul15,,,,3.60,0.00,0,0,700,0,</t>
  </si>
  <si>
    <t>NJR,REC-NJ C1,REC-NJ,Aug15,,,,3.60,0.00,0,0,0,0,</t>
  </si>
  <si>
    <t>NJR,REC-NJ C1,REC-NJ,Sep15,,,,3.23,0.00,0,0,0,0,</t>
  </si>
  <si>
    <t>NJR,REC-NJ C1,REC-NJ,Oct15,,,,3.23,0.00,0,0,0,0,</t>
  </si>
  <si>
    <t>NJR,REC-NJ C1,REC-NJ,Nov15,,,,3.24,0.00,0,0,0,0,</t>
  </si>
  <si>
    <t>NJR,REC-NJ C1,REC-NJ,Dec15,,,,3.25,0.00,0,0,0,0,</t>
  </si>
  <si>
    <t>NJR,REC-NJ C1,REC-NJ,Jan16,,,,3.25,0.00,0,0,0,0,</t>
  </si>
  <si>
    <t>NJR,REC-NJ C1,REC-NJ,Feb16,,,,3.26,0.00,0,0,0,0,</t>
  </si>
  <si>
    <t>NJR,REC-NJ C1,REC-NJ,Mar16,,,,3.27,0.00,0,0,0,0,</t>
  </si>
  <si>
    <t>NJR,REC-NJ C1,REC-NJ,Apr16,,,,3.27,0.00,0,0,0,0,</t>
  </si>
  <si>
    <t>NJR,REC-NJ C1,REC-NJ,May16,,,,3.28,0.00,0,0,0,0,</t>
  </si>
  <si>
    <t>NJR,REC-NJ C1,REC-NJ,Jun16,,,,3.28,0.00,0,0,0,0,</t>
  </si>
  <si>
    <t>NJR,REC-NJ C1,REC-NJ,Jul16,,,,3.29,0.00,0,0,0,0,</t>
  </si>
  <si>
    <t>NJR,REC-NJ C1,REC-NJ,Aug16,,,,3.30,0.00,0,0,0,0,</t>
  </si>
  <si>
    <t>NJR,REC-NJ C1,REC-NJ,Sep16,,,,3.52,0.00,0,0,0,0,</t>
  </si>
  <si>
    <t>NJR,REC-NJ C1,REC-NJ,Oct16,,,,3.52,0.00,0,0,0,0,</t>
  </si>
  <si>
    <t>NJR,REC-NJ C1,REC-NJ,Nov16,,,,3.53,0.00,0,0,0,0,</t>
  </si>
  <si>
    <t>NJR,REC-NJ C1,REC-NJ,Dec16,,,,3.54,0.00,0,0,0,0,</t>
  </si>
  <si>
    <t>NJR,REC-NJ C1,REC-NJ,Jan17,,,,3.55,0.00,0,0,0,0,</t>
  </si>
  <si>
    <t>NJR,REC-NJ C1,REC-NJ,Feb17,,,,3.56,0.00,0,0,0,0,</t>
  </si>
  <si>
    <t>NJR,REC-NJ C1,REC-NJ,Mar17,,,,3.57,0.00,0,0,0,0,</t>
  </si>
  <si>
    <t>NJR,REC-NJ C1,REC-NJ,Apr17,,,,3.57,0.00,0,0,0,0,</t>
  </si>
  <si>
    <t>NJR,REC-NJ C1,REC-NJ,May17,,,,3.58,0.00,0,0,0,0,</t>
  </si>
  <si>
    <t>NJR,REC-NJ C1,REC-NJ,Jun17,,,,3.58,0.00,0,0,0,0,</t>
  </si>
  <si>
    <t>AUG-14,0,0,0,0,-.0550,-.0050,0,3493,0,N/A,0,0,0</t>
  </si>
  <si>
    <t>SEP-14,0,0,0,0,-.0550,-.0050,0,3387,0,N/A,0,0,0</t>
  </si>
  <si>
    <t>OCT-14,0,0,0,0,-.0550,-.0050,0,3369,0,N/A,0,0,0</t>
  </si>
  <si>
    <t>NOV-14,0,0,0,0,-.0800,.0000,0,3721,0,N/A,0,0,0</t>
  </si>
  <si>
    <t>DEC-14,0,0,0,0,-.0750,.0000,0,3688,0,N/A,0,0,0</t>
  </si>
  <si>
    <t>JAN-15,0,0,0,0,-.0750,.0000,0,2347,0,N/A,0,0,0</t>
  </si>
  <si>
    <t>FEB-15,0,0,0,0,-.0725,.0000,0,2140,0,N/A,0,0,0</t>
  </si>
  <si>
    <t>MAR-15,0,0,0,0,-.0725,.0000,0,3147,0,N/A,0,0,0</t>
  </si>
  <si>
    <t>APR-15,0,0,0,0,-.0550,-.0050,30,1050,30,N/A,0,0,0</t>
  </si>
  <si>
    <t>MAY-15,0,0,0,0,-.0550,-.0050,31,1085,31,N/A,0,0,0</t>
  </si>
  <si>
    <t>JUN-15,0,0,0,0,-.0550,-.0050,30,1050,30,N/A,0,0,0</t>
  </si>
  <si>
    <t>JUL-15,0,0,0,0,-.0550,-.0050,0,1054,0,N/A,0,0,0</t>
  </si>
  <si>
    <t>AUG-15,0,0,0,0,-.0550,-.0050,0,1054,0,N/A,0,0,0</t>
  </si>
  <si>
    <t>SEP-15,0,0,0,0,-.0550,-.0050,0,1020,0,N/A,0,0,0</t>
  </si>
  <si>
    <t>OCT-15,0,0,0,0,-.0550,-.0050,0,1054,0,N/A,0,0,0</t>
  </si>
  <si>
    <t>NOV-15,0,0,0,0,-.0875,.0000,0,780,0,N/A,0,0,0</t>
  </si>
  <si>
    <t>DEC-15,0,0,0,0,-.0825,.0000,0,806,0,N/A,0,0,0</t>
  </si>
  <si>
    <t>JAN-16,0,0,0,0,-.0875,.0000,0,434,0,N/A,0,0,0</t>
  </si>
  <si>
    <t>FEB-16,0,0,0,0,-.0750,.0000,0,406,0,N/A,0,0,0</t>
  </si>
  <si>
    <t>MAR-16,0,0,0,0,-.0675,.0000,0,434,0,N/A,0,0,0</t>
  </si>
  <si>
    <t>APR-16,0,0,0,0,-.0500,.0000,0,60,0,N/A,0,0,0</t>
  </si>
  <si>
    <t>MAY-16,0,0,0,0,-.0500,.0000,0,62,0,N/A,0,0,0</t>
  </si>
  <si>
    <t>JUN-16,0,0,0,0,-.0500,.0000,0,60,0,N/A,0,0,0</t>
  </si>
  <si>
    <t>JUL-16,0,0,0,0,-.0500,.0000,0,62,0,N/A,0,0,0</t>
  </si>
  <si>
    <t>AUG-16,0,0,0,0,-.0500,.0000,0,62,0,N/A,0,0,0</t>
  </si>
  <si>
    <t>SEP-16,0,0,0,0,-.0500,.0000,0,60,0,N/A,0,0,0</t>
  </si>
  <si>
    <t>OCT-16,0,0,0,0,-.0500,.0000,0,62,0,N/A,0,0,0</t>
  </si>
  <si>
    <t>NOV-16,0,0,0,0,-.0925,.0000,0,0,0,N/A,0,0,0</t>
  </si>
  <si>
    <t>DEC-16,0,0,0,0,-.0875,.0000,0,0,0,N/A,0,0,0</t>
  </si>
  <si>
    <t>JAN-17,0,0,0,0,-.0925,.0000,0,0,0,N/A,0,0,0</t>
  </si>
  <si>
    <t>FEB-17,0,0,0,0,-.0800,.0000,0,0,0,N/A,0,0,0</t>
  </si>
  <si>
    <t>MAR-17,0,0,0,0,-.0725,.0000,0,0,0,N/A,0,0,0</t>
  </si>
  <si>
    <t>APR-17,0,0,0,0,-.0500,.0000,0,0,0,N/A,0,0,0</t>
  </si>
  <si>
    <t>MAY-17,0,0,0,0,-.0500,.0000,0,0,0,N/A,0,0,0</t>
  </si>
  <si>
    <t>JUN-17,0,0,0,0,-.0500,.0000,0,0,0,N/A,0,0,0</t>
  </si>
  <si>
    <t>JUL-17,0,0,0,0,-.0500,.0000,0,0,0,N/A,0,0,0</t>
  </si>
  <si>
    <t>AUG-17,0,0,0,0,-.0500,.0000,0,0,0,N/A,0,0,0</t>
  </si>
  <si>
    <t>SEP-17,0,0,0,0,-.0500,.0000,0,0,0,N/A,0,0,0</t>
  </si>
  <si>
    <t>OCT-17,0,0,0,0,-.0500,.0000,0,0,0,N/A,0,0,0</t>
  </si>
  <si>
    <t>NOV-17,0,0,0,0,-.0975,.0000,0,0,0,N/A,0,0,0</t>
  </si>
  <si>
    <t>DEC-17,0,0,0,0,-.0925,.0000,0,0,0,N/A,0,0,0</t>
  </si>
  <si>
    <t>JAN-18,0,0,0,0,-.0975,.0000,0,0,0,N/A,0,0,0</t>
  </si>
  <si>
    <t>FEB-18,0,0,0,0,-.0850,.0000,0,0,0,N/A,0,0,0</t>
  </si>
  <si>
    <t>MAR-18,0,0,0,0,-.0750,.0000,0,0,0,N/A,0,0,0</t>
  </si>
  <si>
    <t>APR-18,0,0,0,0,-.0500,.0000,0,0,0,N/A,0,0,0</t>
  </si>
  <si>
    <t>MAY-18,0,0,0,0,-.0500,.0000,0,0,0,N/A,0,0,0</t>
  </si>
  <si>
    <t>JUN-18,0,0,0,0,-.0500,.0000,0,0,0,N/A,0,0,0</t>
  </si>
  <si>
    <t>JUL-18,0,0,0,0,-.0500,.0000,0,0,0,N/A,0,0,0</t>
  </si>
  <si>
    <t>AUG-18,0,0,0,0,-.0500,.0000,0,0,0,N/A,0,0,0</t>
  </si>
  <si>
    <t>SEP-18,0,0,0,0,-.0500,.0000,0,0,0,N/A,0,0,0</t>
  </si>
  <si>
    <t>OCT-18,0,0,0,0,-.0500,.0000,0,0,0,N/A,0,0,0</t>
  </si>
  <si>
    <t>NOV-18,0,0,0,0,-.1025,.0000,0,0,0,N/A,0,0,0</t>
  </si>
  <si>
    <t>DEC-18,0,0,0,0,-.0975,.0000,0,0,0,N/A,0,0,0</t>
  </si>
  <si>
    <t>ICE Basis Summary Statistics</t>
  </si>
  <si>
    <t xml:space="preserve">   Waha (WAH)   </t>
  </si>
  <si>
    <t xml:space="preserve">      SoCal (SCL)      </t>
  </si>
  <si>
    <t>Settle</t>
  </si>
  <si>
    <t>Vol</t>
  </si>
  <si>
    <t>OI</t>
  </si>
  <si>
    <t>OI Ch</t>
  </si>
  <si>
    <t>BVol</t>
  </si>
  <si>
    <t>OI Change</t>
  </si>
  <si>
    <t>2018</t>
  </si>
  <si>
    <t>2019</t>
  </si>
  <si>
    <t>*Total Volume is OTC matched and electronically matched volumes together</t>
  </si>
  <si>
    <t xml:space="preserve">Trade Date: </t>
  </si>
  <si>
    <t>Term</t>
  </si>
  <si>
    <t>Volume</t>
  </si>
  <si>
    <t>Block Vol</t>
  </si>
  <si>
    <t>SP-15 Peak</t>
  </si>
  <si>
    <t>Settlement</t>
  </si>
  <si>
    <t>Open Int</t>
  </si>
  <si>
    <t>Year</t>
  </si>
  <si>
    <t>SP-15 Off Peak</t>
  </si>
  <si>
    <t xml:space="preserve">Mid-C Peak (MDC) </t>
  </si>
  <si>
    <t xml:space="preserve">Mid-C Off Peak (OMC) </t>
  </si>
  <si>
    <t xml:space="preserve">PJM On Peak(PJM) </t>
  </si>
  <si>
    <t xml:space="preserve">PJM Off Peak (OPJ) </t>
  </si>
  <si>
    <t>ICE PJM Summary Statistics</t>
  </si>
  <si>
    <t>On Peak</t>
  </si>
  <si>
    <t>Off Peak</t>
  </si>
  <si>
    <t xml:space="preserve"> </t>
  </si>
  <si>
    <t>Total Volume</t>
  </si>
  <si>
    <t>Block Volume</t>
  </si>
  <si>
    <t>Total Vol</t>
  </si>
  <si>
    <t>BlockVol</t>
  </si>
  <si>
    <t>AECO</t>
  </si>
  <si>
    <t>Chi</t>
  </si>
  <si>
    <t>Rox</t>
  </si>
  <si>
    <t>PGECity</t>
  </si>
  <si>
    <t>SoCal</t>
  </si>
  <si>
    <t>Waha</t>
  </si>
  <si>
    <t>HSC</t>
  </si>
  <si>
    <t>AECO (AEC)</t>
  </si>
  <si>
    <t>Chicago (DGD)</t>
  </si>
  <si>
    <t>NWR Roc (NWR)</t>
  </si>
  <si>
    <t>PG&amp;E Citygate (PGE)</t>
  </si>
  <si>
    <t>ShipChannel (HSC)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</si>
  <si>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</si>
  <si>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</si>
  <si>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</si>
  <si>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</si>
  <si>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</si>
  <si>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</si>
  <si>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</si>
  <si>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</si>
  <si>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</si>
  <si>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</si>
  <si>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</si>
  <si>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</si>
  <si>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2020</t>
  </si>
  <si>
    <t>Trade Date:</t>
  </si>
  <si>
    <t>Month,Open,High,Low,Close,Settlement,Change,Volume,Open Int,Vol Change,ADJ,EFP,EFS,Block Vol,08-NOV-2012</t>
  </si>
  <si>
    <t>OCT-12,0,0,0,0,42.86,.00,0,5400,0,N/A,0,0,0</t>
  </si>
  <si>
    <t>NOV-12,0,0,0,0,38.43,-.48,0,5625,0,N/A,0,0,0</t>
  </si>
  <si>
    <t>DEC-12,36.75,37.25,36.65,37.00,37.10,-.40,375,7350,250,N/A,0,0,100</t>
  </si>
  <si>
    <t>JAN-13,41.50,41.50,41.45,41.50,41.50,-.25,624,3562,-52,N/A,0,0,156</t>
  </si>
  <si>
    <t>FEB-13,41.25,41.25,41.25,41.25,41.70,.20,336,2640,0,N/A,0,0,144</t>
  </si>
  <si>
    <t>MAR-13,40.75,40.75,40.75,40.75,41.20,.20,312,2990,-52,N/A,0,0,156</t>
  </si>
  <si>
    <t>APR-13,0,0,0,0,39.65,.15,78,2418,52,N/A,0,0,52</t>
  </si>
  <si>
    <t>MAY-13,0,0,0,0,40.85,.15,78,2236,52,N/A,0,0,52</t>
  </si>
  <si>
    <t>JUN-13,0,0,0,0,41.75,.15,75,2200,50,N/A,0,0,50</t>
  </si>
  <si>
    <t>JUL-13,48.50,48.50,48.50,48.50,48.90,-1.00,208,2548,78,N/A,0,0,156</t>
  </si>
  <si>
    <t>AUG-13,0,0,0,0,51.80,.50,189,2619,54,N/A,0,0,162</t>
  </si>
  <si>
    <t>SEP-13,0,0,0,0,49.90,-.15,168,2328,48,N/A,0,0,144</t>
  </si>
  <si>
    <t>OCT-13,0,0,0,0,45.15,.15,135,2187,27,N/A,0,0,54</t>
  </si>
  <si>
    <t>NOV-13,0,0,0,0,44.25,.10,125,2025,25,N/A,0,0,50</t>
  </si>
  <si>
    <t>DEC-13,0,0,0,0,43.79,.14,125,2025,25,N/A,0,0,50</t>
  </si>
  <si>
    <t>JAN-14,0,0,0,0,45.55,.05,26,728,0,N/A,0,0,26</t>
  </si>
  <si>
    <t>FEB-14,0,0,0,0,45.55,.05,24,672,0,N/A,0,0,24</t>
  </si>
  <si>
    <t>MAR-14,0,0,0,0,45.55,.05,26,728,0,N/A,0,0,26</t>
  </si>
  <si>
    <t>APR-14,0,0,0,0,43.80,.05,52,884,0,N/A,0,0,52</t>
  </si>
  <si>
    <t>MAY-14,0,0,0,0,43.80,.05,52,884,0,N/A,0,0,52</t>
  </si>
  <si>
    <t>JUN-14,0,0,0,0,43.80,.05,50,850,0,N/A,0,0,50</t>
  </si>
  <si>
    <t>JUL-14,0,0,0,0,55.00,-.90,78,1092,26,N/A,0,0,52</t>
  </si>
  <si>
    <t>AUG-14,0,0,0,0,55.00,-.90,78,1092,26,N/A,0,0,52</t>
  </si>
  <si>
    <t>SEP-14,0,0,0,0,55.00,-.90,75,1050,25,N/A,0,0,50</t>
  </si>
  <si>
    <t>OCT-14,0,0,0,0,47.80,.10,27,729,0,N/A,0,0,27</t>
  </si>
  <si>
    <t>NOV-14,0,0,0,0,47.80,.10,24,648,0,N/A,0,0,24</t>
  </si>
  <si>
    <t>DEC-14,0,0,0,0,47.80,.10,26,702,0,N/A,0,0,26</t>
  </si>
  <si>
    <t>JAN-15,0,0,0,0,48.50,-.10,0,702,0,N/A,0,0,0</t>
  </si>
  <si>
    <t>FEB-15,0,0,0,0,48.50,-.10,0,648,0,N/A,0,0,0</t>
  </si>
  <si>
    <t>MAR-15,0,0,0,0,48.50,-.10,0,702,0,N/A,0,0,0</t>
  </si>
  <si>
    <t>APR-15,0,0,0,0,44.10,-.10,0,728,0,N/A,0,0,0</t>
  </si>
  <si>
    <t>MAY-15,0,0,0,0,44.10,-.10,0,700,0,N/A,0,0,0</t>
  </si>
  <si>
    <t>JUN-15,0,0,0,0,44.10,-.10,0,728,0,N/A,0,0,0</t>
  </si>
  <si>
    <t>JUL-15,0,0,0,0,57.40,-.10,0,780,0,N/A,0,0,0</t>
  </si>
  <si>
    <t>AUG-15,0,0,0,0,57.40,-.10,0,780,0,N/A,0,0,0</t>
  </si>
  <si>
    <t>SEP-15,0,0,0,0,57.40,-.10,0,750,0,N/A,0,0,0</t>
  </si>
  <si>
    <t>OCT-15,0,0,0,0,50.55,-.10,0,702,0,N/A,0,0,0</t>
  </si>
  <si>
    <t>NOV-15,0,0,0,0,50.55,-.10,0,624,0,N/A,0,0,0</t>
  </si>
  <si>
    <t>DEC-15,0,0,0,0,50.55,-.10,0,676,0,N/A,0,0,0</t>
  </si>
  <si>
    <t>JAN-16,0,0,0,0,50.50,.00,0,350,0,N/A,0,0,0</t>
  </si>
  <si>
    <t>FEB-16,0,0,0,0,50.50,.00,0,350,0,N/A,0,0,0</t>
  </si>
  <si>
    <t>MAR-16,0,0,0,0,50.50,.00,0,378,0,N/A,0,0,0</t>
  </si>
  <si>
    <t>APR-16,0,0,0,0,46.25,.00,0,390,0,N/A,0,0,0</t>
  </si>
  <si>
    <t>MAY-16,0,0,0,0,46.25,.00,0,375,0,N/A,0,0,0</t>
  </si>
  <si>
    <t>JUN-16,0,0,0,0,46.25,.00,0,390,0,N/A,0,0,0</t>
  </si>
  <si>
    <t>JUL-16,0,0,0,0,59.65,.00,0,350,0,N/A,0,0,0</t>
  </si>
  <si>
    <t>AUG-16,0,0,0,0,59.65,.00,0,378,0,N/A,0,0,0</t>
  </si>
  <si>
    <t>SEP-16,0,0,0,0,59.65,.00,0,350,0,N/A,0,0,0</t>
  </si>
  <si>
    <t>OCT-16,0,0,0,0,52.75,.00,0,364,0,N/A,0,0,0</t>
  </si>
  <si>
    <t>NOV-16,0,0,0,0,52.75,.00,0,350,0,N/A,0,0,0</t>
  </si>
  <si>
    <t>DEC-16,0,0,0,0,52.75,.00,0,364,0,N/A,0,0,0</t>
  </si>
  <si>
    <t>JAN-17,0,0,0,0,53.50,.00,0,200,0,N/A,0,0,0</t>
  </si>
  <si>
    <t>FEB-17,0,0,0,0,53.50,.00,0,192,0,N/A,0,0,0</t>
  </si>
  <si>
    <t>MAR-17,0,0,0,0,53.50,.00,0,216,0,N/A,0,0,0</t>
  </si>
  <si>
    <t>APR-17,0,0,0,0,49.05,.00,0,200,0,N/A,0,0,0</t>
  </si>
  <si>
    <t>MAY-17,0,0,0,0,49.05,.00,0,208,0,N/A,0,0,0</t>
  </si>
  <si>
    <t>JUN-17,0,0,0,0,49.05,.00,0,208,0,N/A,0,0,0</t>
  </si>
  <si>
    <t>JUL-17,0,0,0,0,62.80,.00,0,200,0,N/A,0,0,0</t>
  </si>
  <si>
    <t>AUG-17,0,0,0,0,62.80,.00,0,216,0,N/A,0,0,0</t>
  </si>
  <si>
    <t>SEP-17,0,0,0,0,62.80,.00,0,200,0,N/A,0,0,0</t>
  </si>
  <si>
    <t>OCT-17,0,0,0,0,55.65,.00,0,208,0,N/A,0,0,0</t>
  </si>
  <si>
    <t>NOV-17,0,0,0,0,55.65,.00,0,200,0,N/A,0,0,0</t>
  </si>
  <si>
    <t>DEC-17,0,0,0,0,55.65,.00,0,200,0,N/A,0,0,0</t>
  </si>
  <si>
    <t>JAN-18,0,0,0,0,57.70,.00,0,26,0,N/A,0,0,0</t>
  </si>
  <si>
    <t>FEB-18,0,0,0,0,57.70,.00,0,24,0,N/A,0,0,0</t>
  </si>
  <si>
    <t>MAR-18,0,0,0,0,57.70,.00,0,27,0,N/A,0,0,0</t>
  </si>
  <si>
    <t>APR-18,0,0,0,0,53.10,.00,0,25,0,N/A,0,0,0</t>
  </si>
  <si>
    <t>MAY-18,0,0,0,0,53.10,.00,0,26,0,N/A,0,0,0</t>
  </si>
  <si>
    <t>JUN-18,0,0,0,0,53.10,.00,0,26,0,N/A,0,0,0</t>
  </si>
  <si>
    <t>JUL-18,0,0,0,0,67.75,.00,0,25,0,N/A,0,0,0</t>
  </si>
  <si>
    <t>AUG-18,0,0,0,0,67.75,.00,0,27,0,N/A,0,0,0</t>
  </si>
  <si>
    <t>SEP-18,0,0,0,0,67.75,.00,0,24,0,N/A,0,0,0</t>
  </si>
  <si>
    <t>OCT-18,0,0,0,0,60.10,.00,0,27,0,N/A,0,0,0</t>
  </si>
  <si>
    <t>NOV-18,0,0,0,0,60.10,.00,0,25,0,N/A,0,0,0</t>
  </si>
  <si>
    <t>DEC-18,0,0,0,0,60.10,.00,0,25,0,N/A,0,0,0</t>
  </si>
  <si>
    <t>JAN-19,0,0,0,0,60.80,.00,0,0,0,N/A,0,0,0</t>
  </si>
  <si>
    <t>FEB-19,0,0,0,0,60.80,.00,0,0,0,N/A,0,0,0</t>
  </si>
  <si>
    <t>MAR-19,0,0,0,0,60.80,.00,0,0,0,N/A,0,0,0</t>
  </si>
  <si>
    <t>APR-19,0,0,0,0,55.75,.00,0,0,0,N/A,0,0,0</t>
  </si>
  <si>
    <t>MAY-19,0,0,0,0,55.75,.00,0,0,0,N/A,0,0,0</t>
  </si>
  <si>
    <t>JUN-19,0,0,0,0,55.75,.00,0,0,0,N/A,0,0,0</t>
  </si>
  <si>
    <t>APR-16,0,0,0,0,30.10,.15,0,2432,0,N/A,0,0,0</t>
  </si>
  <si>
    <t>MAY-16,0,0,0,0,30.10,.15,0,2752,0,N/A,0,0,0</t>
  </si>
  <si>
    <t>JUN-16,0,0,0,0,30.10,.15,0,2432,0,N/A,0,0,0</t>
  </si>
  <si>
    <t>JUL-16,0,0,0,0,38.85,.20,0,2752,0,N/A,0,0,0</t>
  </si>
  <si>
    <t>AUG-16,0,0,0,0,38.85,.20,0,2496,0,N/A,0,0,0</t>
  </si>
  <si>
    <t>SEP-16,0,0,0,0,38.85,.20,0,2560,0,N/A,0,0,0</t>
  </si>
  <si>
    <t>OCT-16,0,0,0,0,39.85,.20,0,2624,0,N/A,0,0,0</t>
  </si>
  <si>
    <t>NOV-16,0,0,0,0,39.85,.20,0,2568,0,N/A,0,0,0</t>
  </si>
  <si>
    <t>DEC-16,0,0,0,0,39.85,.20,0,2624,0,N/A,0,0,0</t>
  </si>
  <si>
    <t>JAN-17,0,0,0,0,40.45,.20,0,1720,0,N/A,0,0,0</t>
  </si>
  <si>
    <t>FEB-17,0,0,0,0,40.45,.20,0,1440,0,N/A,0,0,0</t>
  </si>
  <si>
    <t>MAR-17,0,0,0,0,40.45,.20,0,1555,0,N/A,0,0,0</t>
  </si>
  <si>
    <t>APR-17,0,0,0,0,31.90,.15,0,1600,0,N/A,0,0,0</t>
  </si>
  <si>
    <t>MAY-17,0,0,0,0,31.90,.15,0,1640,0,N/A,0,0,0</t>
  </si>
  <si>
    <t>JUN-17,0,0,0,0,31.90,.15,0,1520,0,N/A,0,0,0</t>
  </si>
  <si>
    <t>JUL-17,0,0,0,0,42.40,.20,0,1720,0,N/A,0,0,0</t>
  </si>
  <si>
    <t>AUG-17,0,0,0,0,42.40,.20,0,1560,0,N/A,0,0,0</t>
  </si>
  <si>
    <t>SEP-17,0,0,0,0,42.40,.20,0,1600,0,N/A,0,0,0</t>
  </si>
  <si>
    <t>OCT-17,0,0,0,0,42.00,.20,0,1640,0,N/A,0,0,0</t>
  </si>
  <si>
    <t>NOV-17,0,0,0,0,42.00,.20,0,1605,0,N/A,0,0,0</t>
  </si>
  <si>
    <t>DEC-17,0,0,0,0,42.00,.20,0,1720,0,N/A,0,0,0</t>
  </si>
  <si>
    <t>JAN-18,0,0,0,0,45.55,.20,0,328,0,N/A,0,0,0</t>
  </si>
  <si>
    <t>FEB-18,0,0,0,0,45.55,.20,0,288,0,N/A,0,0,0</t>
  </si>
  <si>
    <t>MAR-18,0,0,0,0,45.55,.20,0,311,0,N/A,0,0,0</t>
  </si>
  <si>
    <t>APR-18,0,0,0,0,34.15,.15,0,320,0,N/A,0,0,0</t>
  </si>
  <si>
    <t>MAY-18,0,0,0,0,34.15,.15,0,328,0,N/A,0,0,0</t>
  </si>
  <si>
    <t>JUN-18,0,0,0,0,34.15,.15,0,304,0,N/A,0,0,0</t>
  </si>
  <si>
    <t>JUL-18,0,0,0,0,44.65,.20,0,344,0,N/A,0,0,0</t>
  </si>
  <si>
    <t>AUG-18,0,0,0,0,44.65,.20,0,312,0,N/A,0,0,0</t>
  </si>
  <si>
    <t>SEP-18,0,0,0,0,44.65,.20,0,336,0,N/A,0,0,0</t>
  </si>
  <si>
    <t>OCT-18,0,0,0,0,45.85,.20,0,312,0,N/A,0,0,0</t>
  </si>
  <si>
    <t>NOV-18,0,0,0,0,45.85,.20,0,321,0,N/A,0,0,0</t>
  </si>
  <si>
    <t>DEC-18,0,0,0,0,45.85,.20,0,344,0,N/A,0,0,0</t>
  </si>
  <si>
    <t>JAN-19,0,0,0,0,46.50,.20,0,0,0,N/A,0,0,0</t>
  </si>
  <si>
    <t>FEB-19,0,0,0,0,46.50,.20,0,0,0,N/A,0,0,0</t>
  </si>
  <si>
    <t>MAR-19,0,0,0,0,46.50,.20,0,0,0,N/A,0,0,0</t>
  </si>
  <si>
    <t>APR-19,0,0,0,0,36.05,.15,0,0,0,N/A,0,0,0</t>
  </si>
  <si>
    <t>MAY-19,0,0,0,0,36.05,.15,0,0,0,N/A,0,0,0</t>
  </si>
  <si>
    <t>JUN-19,0,0,0,0,36.05,.15,0,0,0,N/A,0,0,0</t>
  </si>
  <si>
    <t>JUL-19,0,0,0,0,47.45,.20,0,0,0,N/A,0,0,0</t>
  </si>
  <si>
    <t>AUG-19,0,0,0,0,47.45,.20,0,0,0,N/A,0,0,0</t>
  </si>
  <si>
    <t>SEP-19,0,0,0,0,47.45,.20,0,0,0,N/A,0,0,0</t>
  </si>
  <si>
    <t>OCT-19,0,0,0,0,49.00,.20,0,0,0,N/A,0,0,0</t>
  </si>
  <si>
    <t>NOV-19,0,0,0,0,49.00,.20,0,0,0,N/A,0,0,0</t>
  </si>
  <si>
    <t>DEC-19,0,0,0,0,49.00,.20,0,0,0,N/A,0,0,0</t>
  </si>
  <si>
    <t>NOV-12,0,0,0,0,30.36,-.90,0,2575,0,N/A,0,0,0</t>
  </si>
  <si>
    <t>DEC-12,35.25,35.50,34.75,35.00,35.00,-1.00,525,4550,250,N/A,0,0,150</t>
  </si>
  <si>
    <t>JAN-13,34.50,34.50,34.50,34.50,34.75,-.35,494,2912,-52,N/A,0,0,286</t>
  </si>
  <si>
    <t>FEB-13,33.75,33.75,33.75,33.75,33.95,-.15,144,2544,48,N/A,0,0,72</t>
  </si>
  <si>
    <t>MAR-13,29.50,29.50,29.00,29.25,29.20,-.40,598,2626,-260,N/A,0,0,208</t>
  </si>
  <si>
    <t>APR-13,26.50,26.75,26.50,26.75,27.00,-.50,260,2600,52,N/A,0,0,52</t>
  </si>
  <si>
    <t>MAY-13,22.50,22.50,22.50,22.50,22.55,-.50,130,2366,-26,N/A,0,0,52</t>
  </si>
  <si>
    <t>JUN-13,18.00,18.00,18.00,18.00,18.00,-.20,275,2450,50,N/A,0,0,150</t>
  </si>
  <si>
    <t>JUL-13,0,0,0,0,33.75,-.65,78,1534,52,N/A,0,0,52</t>
  </si>
  <si>
    <t>AUG-13,0,0,0,0,40.50,-.95,81,1620,27,N/A,0,0,54</t>
  </si>
  <si>
    <t>SEP-13,0,0,0,0,38.15,.20,72,1488,24,N/A,0,0,48</t>
  </si>
  <si>
    <t>OCT-13,0,0,0,0,35.90,.20,216,2106,0,N/A,0,0,54</t>
  </si>
  <si>
    <t>NOV-13,0,0,0,0,37.80,.15,200,1875,25,N/A,0,0,50</t>
  </si>
  <si>
    <t>DEC-13,0,0,0,0,41.34,.19,200,2025,0,N/A,0,0,50</t>
  </si>
  <si>
    <t>JAN-14,0,0,0,0,40.60,.55,26,988,26,N/A,0,0,26</t>
  </si>
  <si>
    <t>FEB-14,0,0,0,0,40.35,.55,24,960,24,N/A,0,0,24</t>
  </si>
  <si>
    <t>MAR-14,0,0,0,0,37.35,.55,26,1040,26,N/A,0,0,26</t>
  </si>
  <si>
    <t>APR-14,0,0,0,0,28.30,.20,26,988,26,N/A,0,0,26</t>
  </si>
  <si>
    <t>MAY-14,0,0,0,0,28.30,.20,26,988,26,N/A,0,0,26</t>
  </si>
  <si>
    <t>JUN-14,0,0,0,0,28.30,.20,25,950,25,N/A,0,0,25</t>
  </si>
  <si>
    <t>JUL-14,0,0,0,0,41.95,-.40,26,1040,26,N/A,0,0,26</t>
  </si>
  <si>
    <t>AUG-14,0,0,0,0,41.95,-.40,26,1040,26,N/A,0,0,26</t>
  </si>
  <si>
    <t>SEP-14,0,0,0,0,41.95,-.40,25,1000,25,N/A,0,0,25</t>
  </si>
  <si>
    <t>OCT-14,0,0,0,0,42.85,.80,27,999,27,N/A,0,0,27</t>
  </si>
  <si>
    <t>NOV-14,0,0,0,0,42.85,.80,24,888,24,N/A,0,0,24</t>
  </si>
  <si>
    <t>DEC-14,0,0,0,0,42.85,.80,26,962,26,N/A,0,0,26</t>
  </si>
  <si>
    <t>JAN-15,0,0,0,0,42.65,.25,0,624,0,N/A,0,0,0</t>
  </si>
  <si>
    <t>FEB-15,0,0,0,0,42.65,.25,0,576,0,N/A,0,0,0</t>
  </si>
  <si>
    <t>MAR-15,0,0,0,0,42.65,.25,0,624,0,N/A,0,0,0</t>
  </si>
  <si>
    <t>APR-15,0,0,0,0,29.70,.20,0,676,0,N/A,0,0,0</t>
  </si>
  <si>
    <t>MAY-15,0,0,0,0,29.70,.20,0,650,0,N/A,0,0,0</t>
  </si>
  <si>
    <t>JUN-15,0,0,0,0,29.70,.20,0,676,0,N/A,0,0,0</t>
  </si>
  <si>
    <t>JUL-15,0,0,0,0,45.75,.30,0,624,0,N/A,0,0,0</t>
  </si>
  <si>
    <t>AUG-15,0,0,0,0,45.75,.30,0,624,0,N/A,0,0,0</t>
  </si>
  <si>
    <t>SEP-15,0,0,0,0,45.75,.30,0,600,0,N/A,0,0,0</t>
  </si>
  <si>
    <t>OCT-15,0,0,0,0,44.90,.25,0,648,0,N/A,0,0,0</t>
  </si>
  <si>
    <t>NOV-15,0,0,0,0,44.90,.25,0,576,0,N/A,0,0,0</t>
  </si>
  <si>
    <t>DEC-15,0,0,0,0,44.90,.25,0,624,0,N/A,0,0,0</t>
  </si>
  <si>
    <t>JAN-16,0,0,0,0,44.85,.15,0,325,0,N/A,0,0,0</t>
  </si>
  <si>
    <t>FEB-16,0,0,0,0,44.85,.15,0,325,0,N/A,0,0,0</t>
  </si>
  <si>
    <t>MAR-16,0,0,0,0,44.85,.15,0,351,0,N/A,0,0,0</t>
  </si>
  <si>
    <t>APR-16,0,0,0,0,31.20,.10,0,338,0,N/A,0,0,0</t>
  </si>
  <si>
    <t>MAY-16,0,0,0,0,31.20,.10,0,325,0,N/A,0,0,0</t>
  </si>
  <si>
    <t>JUN-16,0,0,0,0,31.20,.10,0,338,0,N/A,0,0,0</t>
  </si>
  <si>
    <t>JUL-16,0,0,0,0,48.70,.15,0,325,0,N/A,0,0,0</t>
  </si>
  <si>
    <t>AUG-16,0,0,0,0,48.70,.15,0,351,0,N/A,0,0,0</t>
  </si>
  <si>
    <t>SEP-16,0,0,0,0,48.70,.15,0,325,0,N/A,0,0,0</t>
  </si>
  <si>
    <t>OCT-16,0,0,0,0,47.75,.15,0,338,0,N/A,0,0,0</t>
  </si>
  <si>
    <t>NOV-16,0,0,0,0,47.75,.15,0,325,0,N/A,0,0,0</t>
  </si>
  <si>
    <t>DEC-16,0,0,0,0,47.75,.15,0,338,0,N/A,0,0,0</t>
  </si>
  <si>
    <t>JAN-17,0,0,0,0,46.90,.15,0,125,0,N/A,0,0,0</t>
  </si>
  <si>
    <t>FEB-17,0,0,0,0,46.90,.15,0,120,0,N/A,0,0,0</t>
  </si>
  <si>
    <t>MAR-17,0,0,0,0,46.90,.15,0,135,0,N/A,0,0,0</t>
  </si>
  <si>
    <t>APR-17,0,0,0,0,33.50,.10,0,125,0,N/A,0,0,0</t>
  </si>
  <si>
    <t>MAY-17,0,0,0,0,33.50,.10,0,130,0,N/A,0,0,0</t>
  </si>
  <si>
    <t>JUN-17,0,0,0,0,33.50,.10,0,130,0,N/A,0,0,0</t>
  </si>
  <si>
    <t>JUL-17,0,0,0,0,52.20,.15,0,125,0,N/A,0,0,0</t>
  </si>
  <si>
    <t>AUG-17,0,0,0,0,52.20,.15,0,135,0,N/A,0,0,0</t>
  </si>
  <si>
    <t>SEP-17,0,0,0,0,52.20,.15,0,125,0,N/A,0,0,0</t>
  </si>
  <si>
    <t>OCT-17,0,0,0,0,50.05,.15,0,130,0,N/A,0,0,0</t>
  </si>
  <si>
    <t>NOV-17,0,0,0,0,50.05,.15,0,125,0,N/A,0,0,0</t>
  </si>
  <si>
    <t>DEC-17,0,0,0,0,50.05,.15,0,125,0,N/A,0,0,0</t>
  </si>
  <si>
    <t>JAN-18,0,0,0,0,50.70,.15,0,130,0,N/A,0,0,0</t>
  </si>
  <si>
    <t>FEB-18,0,0,0,0,50.70,.15,0,120,0,N/A,0,0,0</t>
  </si>
  <si>
    <t>MAR-18,0,0,0,0,50.70,.15,0,135,0,N/A,0,0,0</t>
  </si>
  <si>
    <t>APR-18,0,0,0,0,36.25,.10,0,125,0,N/A,0,0,0</t>
  </si>
  <si>
    <t>MAY-18,0,0,0,0,36.25,.10,0,130,0,N/A,0,0,0</t>
  </si>
  <si>
    <t>JUN-18,0,0,0,0,36.25,.10,0,130,0,N/A,0,0,0</t>
  </si>
  <si>
    <t>JUL-18,0,0,0,0,55.80,.20,0,125,0,N/A,0,0,0</t>
  </si>
  <si>
    <t>AUG-18,0,0,0,0,55.80,.20,0,135,0,N/A,0,0,0</t>
  </si>
  <si>
    <t>SEP-18,0,0,0,0,55.80,.20,0,120,0,N/A,0,0,0</t>
  </si>
  <si>
    <t>OCT-18,0,0,0,0,54.45,.15,0,135,0,N/A,0,0,0</t>
  </si>
  <si>
    <t>NOV-18,0,0,0,0,54.45,.15,0,125,0,N/A,0,0,0</t>
  </si>
  <si>
    <t>DEC-18,0,0,0,0,54.45,.15,0,125,0,N/A,0,0,0</t>
  </si>
  <si>
    <t>JAN-19,0,0,0,0,52.60,.15,0,0,0,N/A,0,0,0</t>
  </si>
  <si>
    <t>FEB-19,0,0,0,0,52.60,.15,0,0,0,N/A,0,0,0</t>
  </si>
  <si>
    <t>MAR-19,0,0,0,0,52.60,.15,0,0,0,N/A,0,0,0</t>
  </si>
  <si>
    <t>APR-19,0,0,0,0,39.25,.10,0,0,0,N/A,0,0,0</t>
  </si>
  <si>
    <t>MAY-19,0,0,0,0,39.25,.10,0,0,0,N/A,0,0,0</t>
  </si>
  <si>
    <t>JUN-19,0,0,0,0,39.25,.10,0,0,0,N/A,0,0,0</t>
  </si>
  <si>
    <t>JUL-19,0,0,0,0,59.75,.20,0,0,0,N/A,0,0,0</t>
  </si>
  <si>
    <t>AUG-19,0,0,0,0,59.75,.20,0,0,0,N/A,0,0,0</t>
  </si>
  <si>
    <t>SEP-19,0,0,0,0,59.75,.20,0,0,0,N/A,0,0,0</t>
  </si>
  <si>
    <t>OCT-19,0,0,0,0,56.80,.15,0,0,0,N/A,0,0,0</t>
  </si>
  <si>
    <t>NOV-19,0,0,0,0,56.80,.15,0,0,0,N/A,0,0,0</t>
  </si>
  <si>
    <t>DEC-19,0,0,0,0,56.80,.15,0,0,0,N/A,0,0,0</t>
  </si>
  <si>
    <t>JAN-20,0,0,0,0,55.65,.15,0,0,0,N/A,0,0,0</t>
  </si>
  <si>
    <t>FEB-20,0,0,0,0,55.65,.15,0,0,0,N/A,0,0,0</t>
  </si>
  <si>
    <t>MAR-20,0,0,0,0,55.65,.15,0,0,0,N/A,0,0,0</t>
  </si>
  <si>
    <t>APR-20,0,0,0,0,43.40,.10,0,0,0,N/A,0,0,0</t>
  </si>
  <si>
    <t>MAY-20,0,0,0,0,43.40,.10,0,0,0,N/A,0,0,0</t>
  </si>
  <si>
    <t>JUN-20,0,0,0,0,43.40,.10,0,0,0,N/A,0,0,0</t>
  </si>
  <si>
    <t>JUL-20,0,0,0,0,63.45,.15,0,0,0,N/A,0,0,0</t>
  </si>
  <si>
    <t>AUG-20,0,0,0,0,63.45,.15,0,0,0,N/A,0,0,0</t>
  </si>
  <si>
    <t>SEP-20,0,0,0,0,63.45,.15,0,0,0,N/A,0,0,0</t>
  </si>
  <si>
    <t>OCT-20,0,0,0,0,60.25,.15,0,0,0,N/A,0,0,0</t>
  </si>
  <si>
    <t>NOV-20,0,0,0,0,60.25,.15,0,0,0,N/A,0,0,0</t>
  </si>
  <si>
    <t>DEC-20,0,0,0,0,60.25,.15,0,0,0,N/A,0,0,0</t>
  </si>
  <si>
    <t>NOV-12,0,0,0,0,25.63,-1.67,0,27927,0,N/A,0,0,0</t>
  </si>
  <si>
    <t>DEC-12,30.00,30.25,30.00,30.00,30.25,-1.00,3440,34400,688,N/A,0,0,344</t>
  </si>
  <si>
    <t>JAN-13,0,0,0,0,29.50,-.60,1968,20336,328,N/A,0,0,656</t>
  </si>
  <si>
    <t>FEB-13,0,0,0,0,28.65,-.15,864,18720,576,N/A,0,0,576</t>
  </si>
  <si>
    <t>MAR-13,0,0,0,0,23.65,-.40,981,22890,654,N/A,0,0,654</t>
  </si>
  <si>
    <t>APR-13,0,0,0,0,16.80,-.50,0,13984,0,N/A,0,0,0</t>
  </si>
  <si>
    <t>MAY-13,0,0,0,0,8.30,-.50,0,14432,0,N/A,0,0,0</t>
  </si>
  <si>
    <t>JUN-13,0,0,0,0,2.60,.00,0,14080,0,N/A,0,0,0</t>
  </si>
  <si>
    <t>JUL-13,0,0,0,0,18.35,-.65,328,17384,328,N/A,0,0,328</t>
  </si>
  <si>
    <t>AUG-13,0,0,0,0,27.75,-.95,312,14352,312,N/A,0,0,312</t>
  </si>
  <si>
    <t>SEP-13,0,0,0,0,30.65,.20,336,15120,336,N/A,0,0,336</t>
  </si>
  <si>
    <t>OCT-13,0,0,0,0,30.45,-.15,1560,13728,0,N/A,0,0,312</t>
  </si>
  <si>
    <t>NOV-13,0,0,0,0,31.85,-.40,1605,13803,0,N/A,0,0,321</t>
  </si>
  <si>
    <t>DEC-13,0,0,0,0,34.94,.44,2064,16168,0,N/A,0,0,688</t>
  </si>
  <si>
    <t>JAN-14,0,0,0,0,33.00,-.10,656,10496,328,N/A,0,0,656</t>
  </si>
  <si>
    <t>FEB-14,0,0,0,0,33.00,-.10,576,9216,288,N/A,0,0,576</t>
  </si>
  <si>
    <t>MAR-14,0,0,0,0,33.00,-.10,654,10464,327,N/A,0,0,654</t>
  </si>
  <si>
    <t>APR-14,0,0,0,0,14.00,.20,304,9120,-304,N/A,0,0,304</t>
  </si>
  <si>
    <t>MAY-14,0,0,0,0,14.00,.20,328,9840,-328,N/A,0,0,328</t>
  </si>
  <si>
    <t>JUN-14,0,0,0,0,14.00,.20,320,9600,-320,N/A,0,0,320</t>
  </si>
  <si>
    <t>JUL-14,0,0,0,0,30.75,.85,656,9184,328,N/A,0,0,656</t>
  </si>
  <si>
    <t>AUG-14,0,0,0,0,30.75,.85,656,9184,328,N/A,0,0,656</t>
  </si>
  <si>
    <t>SEP-14,0,0,0,0,30.75,.85,640,8960,320,N/A,0,0,640</t>
  </si>
  <si>
    <t>OCT-14,0,0,0,0,37.95,.75,312,8424,0,N/A,0,0,312</t>
  </si>
  <si>
    <t>NOV-14,0,0,0,0,37.95,.75,337,9099,0,N/A,0,0,337</t>
  </si>
  <si>
    <t>DEC-14,0,0,0,0,37.95,.75,328,8856,0,N/A,0,0,328</t>
  </si>
  <si>
    <t>JAN-15,0,0,0,0,35.65,.30,0,5248,0,N/A,0,0,0</t>
  </si>
  <si>
    <t>FEB-15,0,0,0,0,35.65,.30,0,4608,0,N/A,0,0,0</t>
  </si>
  <si>
    <t>MAR-15,0,0,0,0,35.65,.30,0,5232,0,N/A,0,0,0</t>
  </si>
  <si>
    <t>APR-15,0,0,0,0,17.70,.15,0,4560,0,N/A,0,0,0</t>
  </si>
  <si>
    <t>MAY-15,0,0,0,0,17.70,.15,0,5160,0,N/A,0,0,0</t>
  </si>
  <si>
    <t>JUN-15,0,0,0,0,17.70,.15,0,4560,0,N/A,0,0,0</t>
  </si>
  <si>
    <t>JUL-15,0,0,0,0,31.90,.25,0,4920,0,N/A,0,0,0</t>
  </si>
  <si>
    <t>AUG-15,0,0,0,0,31.90,.25,0,4920,0,N/A,0,0,0</t>
  </si>
  <si>
    <t>SEP-15,0,0,0,0,31.90,.25,0,4800,0,N/A,0,0,0</t>
  </si>
  <si>
    <t>OCT-15,0,0,0,0,39.35,.30,0,4368,0,N/A,0,0,0</t>
  </si>
  <si>
    <t>NOV-15,0,0,0,0,39.35,.30,0,4718,0,N/A,0,0,0</t>
  </si>
  <si>
    <t>DEC-15,0,0,0,0,39.35,.30,0,4592,0,N/A,0,0,0</t>
  </si>
  <si>
    <t>JAN-16,0,0,0,0,36.85,.15,0,3784,0,N/A,0,0,0</t>
  </si>
  <si>
    <t>FEB-16,0,0,0,0,36.85,.15,0,3256,0,N/A,0,0,0</t>
  </si>
  <si>
    <t>MAR-16,0,0,0,0,36.85,.15,0,3421,0,N/A,0,0,0</t>
  </si>
  <si>
    <t>APR-16,0,0,0,0,16.45,.05,0,3344,0,N/A,0,0,0</t>
  </si>
  <si>
    <t>MAY-16,0,0,0,0,16.45,.05,0,3784,0,N/A,0,0,0</t>
  </si>
  <si>
    <t>JUN-16,0,0,0,0,16.45,.05,0,3344,0,N/A,0,0,0</t>
  </si>
  <si>
    <t>JUL-16,0,0,0,0,34.10,.15,0,3784,0,N/A,0,0,0</t>
  </si>
  <si>
    <t>AUG-16,0,0,0,0,34.10,.15,0,3432,0,N/A,0,0,0</t>
  </si>
  <si>
    <t>SEP-16,0,0,0,0,34.10,.15,0,3520,0,N/A,0,0,0</t>
  </si>
  <si>
    <t>OCT-16,0,0,0,0,41.20,.15,0,3608,0,N/A,0,0,0</t>
  </si>
  <si>
    <t>NOV-16,0,0,0,0,41.20,.15,0,3531,0,N/A,0,0,0</t>
  </si>
  <si>
    <t>DEC-16,0,0,0,0,41.20,.15,0,3608,0,N/A,0,0,0</t>
  </si>
  <si>
    <t>JAN-17,0,0,0,0,38.95,.15,0,1376,0,N/A,0,0,0</t>
  </si>
  <si>
    <t>FEB-17,0,0,0,0,38.95,.15,0,1152,0,N/A,0,0,0</t>
  </si>
  <si>
    <t>MAR-17,0,0,0,0,38.95,.15,0,1244,0,N/A,0,0,0</t>
  </si>
  <si>
    <t>APR-17,0,0,0,0,18.80,.10,0,1280,0,N/A,0,0,0</t>
  </si>
  <si>
    <t>MAY-17,0,0,0,0,18.80,.10,0,1312,0,N/A,0,0,0</t>
  </si>
  <si>
    <t>JUN-17,0,0,0,0,18.80,.10,0,1216,0,N/A,0,0,0</t>
  </si>
  <si>
    <t>JUL-17,0,0,0,0,35.90,.15,0,1376,0,N/A,0,0,0</t>
  </si>
  <si>
    <t>AUG-17,0,0,0,0,35.90,.15,0,1248,0,N/A,0,0,0</t>
  </si>
  <si>
    <t>SEP-17,0,0,0,0,35.90,.15,0,1280,0,N/A,0,0,0</t>
  </si>
  <si>
    <t>OCT-17,0,0,0,0,43.15,.15,0,1312,0,N/A,0,0,0</t>
  </si>
  <si>
    <t>NOV-17,0,0,0,0,43.15,.15,0,1284,0,N/A,0,0,0</t>
  </si>
  <si>
    <t>DEC-17,0,0,0,0,43.15,.15,0,1376,0,N/A,0,0,0</t>
  </si>
  <si>
    <t>JAN-18,0,0,0,0,41.90,.15,0,0,0,N/A,0,0,0</t>
  </si>
  <si>
    <t>FEB-18,0,0,0,0,41.90,.15,0,0,0,N/A,0,0,0</t>
  </si>
  <si>
    <t>MAR-18,0,0,0,0,41.90,.15,0,0,0,N/A,0,0,0</t>
  </si>
  <si>
    <t>APR-18,0,0,0,0,20.55,.10,0,0,0,N/A,0,0,0</t>
  </si>
  <si>
    <t>MAY-18,0,0,0,0,20.55,.10,0,0,0,N/A,0,0,0</t>
  </si>
  <si>
    <t>JUN-18,0,0,0,0,20.55,.10,0,0,0,N/A,0,0,0</t>
  </si>
  <si>
    <t>JUL-18,0,0,0,0,39.00,.15,0,0,0,N/A,0,0,0</t>
  </si>
  <si>
    <t>AUG-18,0,0,0,0,39.00,.15,0,0,0,N/A,0,0,0</t>
  </si>
  <si>
    <t>SEP-18,0,0,0,0,39.00,.15,0,0,0,N/A,0,0,0</t>
  </si>
  <si>
    <t>OCT-18,0,0,0,0,46.90,.20,0,0,0,N/A,0,0,0</t>
  </si>
  <si>
    <t>NOV-18,0,0,0,0,46.90,.20,0,0,0,N/A,0,0,0</t>
  </si>
  <si>
    <t>DEC-18,0,0,0,0,46.90,.20,0,0,0,N/A,0,0,0</t>
  </si>
  <si>
    <t>JAN-19,0,0,0,0,44.15,.15,0,0,0,N/A,0,0,0</t>
  </si>
  <si>
    <t>FEB-19,0,0,0,0,44.15,.15,0,0,0,N/A,0,0,0</t>
  </si>
  <si>
    <t>MAR-19,0,0,0,0,44.15,.15,0,0,0,N/A,0,0,0</t>
  </si>
  <si>
    <t>APR-19,0,0,0,0,22.20,.10,0,0,0,N/A,0,0,0</t>
  </si>
  <si>
    <t>MAY-19,0,0,0,0,22.20,.10,0,0,0,N/A,0,0,0</t>
  </si>
  <si>
    <t>JUN-19,0,0,0,0,22.20,.10,0,0,0,N/A,0,0,0</t>
  </si>
  <si>
    <t>JUL-19,0,0,0,0,40.30,.15,0,0,0,N/A,0,0,0</t>
  </si>
  <si>
    <t>AUG-19,0,0,0,0,40.30,.15,0,0,0,N/A,0,0,0</t>
  </si>
  <si>
    <t>SEP-19,0,0,0,0,40.30,.15,0,0,0,N/A,0,0,0</t>
  </si>
  <si>
    <t>OCT-19,0,0,0,0,46.20,.20,0,0,0,N/A,0,0,0</t>
  </si>
  <si>
    <t>NOV-19,0,0,0,0,46.20,.20,0,0,0,N/A,0,0,0</t>
  </si>
  <si>
    <t>DEC-19,0,0,0,0,46.20,.20,0,0,0,N/A,0,0,0</t>
  </si>
  <si>
    <t>JAN-20,0,0,0,0,45.90,.15,0,0,0,N/A,0,0,0</t>
  </si>
  <si>
    <t>FEB-20,0,0,0,0,45.90,.15,0,0,0,N/A,0,0,0</t>
  </si>
  <si>
    <t>MAR-20,0,0,0,0,45.90,.15,0,0,0,N/A,0,0,0</t>
  </si>
  <si>
    <t>JUL-17,0,0,0,0,-.4125,.0050,0,620,0,N/A,0,0,0</t>
  </si>
  <si>
    <t>AUG-17,0,0,0,0,-.4250,.0050,0,620,0,N/A,0,0,0</t>
  </si>
  <si>
    <t>SEP-17,0,0,0,0,-.4025,.0050,0,600,0,N/A,0,0,0</t>
  </si>
  <si>
    <t>OCT-17,0,0,0,0,-.3925,.0050,0,620,0,N/A,0,0,0</t>
  </si>
  <si>
    <t>NOV-17,0,0,0,0,-.3100,.0050,0,510,0,N/A,0,0,0</t>
  </si>
  <si>
    <t>DEC-17,0,0,0,0,-.3350,.0050,0,527,0,N/A,0,0,0</t>
  </si>
  <si>
    <t>JAN-18,0,0,0,0,-.3150,.0050,0,403,0,N/A,0,0,0</t>
  </si>
  <si>
    <t>FEB-18,0,0,0,0,-.3050,.0050,0,364,0,N/A,0,0,0</t>
  </si>
  <si>
    <t>MAR-18,0,0,0,0,-.2850,.0050,0,403,0,N/A,0,0,0</t>
  </si>
  <si>
    <t>APR-18,0,0,0,0,-.1900,.0050,0,510,0,N/A,0,0,0</t>
  </si>
  <si>
    <t>MAY-18,0,0,0,0,-.2300,.0050,0,527,0,N/A,0,0,0</t>
  </si>
  <si>
    <t>JUN-18,0,0,0,0,-.2625,.0050,0,510,0,N/A,0,0,0</t>
  </si>
  <si>
    <t>JUL-18,0,0,0,0,-.2825,.0050,0,527,0,N/A,0,0,0</t>
  </si>
  <si>
    <t>AUG-18,0,0,0,0,-.2925,.0050,0,527,0,N/A,0,0,0</t>
  </si>
  <si>
    <t>SEP-18,0,0,0,0,-.2625,.0050,0,510,0,N/A,0,0,0</t>
  </si>
  <si>
    <t>OCT-18,0,0,0,0,-.2625,.0050,0,527,0,N/A,0,0,0</t>
  </si>
  <si>
    <t>NOV-18,0,0,0,0,-.1500,.0050,0,390,0,N/A,0,0,0</t>
  </si>
  <si>
    <t>DEC-18,0,0,0,0,-.2000,.0050,0,403,0,N/A,0,0,0</t>
  </si>
  <si>
    <t>JAN-19,0,0,0,0,-.1900,.0050,0,310,0,N/A,0,0,0</t>
  </si>
  <si>
    <t>FEB-19,0,0,0,0,-.1825,.0050,0,280,0,N/A,0,0,0</t>
  </si>
  <si>
    <t>MAR-19,0,0,0,0,-.1625,.0050,0,310,0,N/A,0,0,0</t>
  </si>
  <si>
    <t>APR-19,0,0,0,0,-.0850,.0050,0,300,0,N/A,0,0,0</t>
  </si>
  <si>
    <t>MAY-19,0,0,0,0,-.1325,.0050,0,310,0,N/A,0,0,0</t>
  </si>
  <si>
    <t>JUN-19,0,0,0,0,-.1625,.0050,0,300,0,N/A,0,0,0</t>
  </si>
  <si>
    <t>JUL-19,0,0,0,0,-.1925,.0050,0,310,0,N/A,0,0,0</t>
  </si>
  <si>
    <t>AUG-19,0,0,0,0,-.2025,.0050,0,310,0,N/A,0,0,0</t>
  </si>
  <si>
    <t>SEP-19,0,0,0,0,-.1725,.0050,0,300,0,N/A,0,0,0</t>
  </si>
  <si>
    <t>OCT-19,0,0,0,0,-.1750,.0050,0,310,0,N/A,0,0,0</t>
  </si>
  <si>
    <t>NOV-19,0,0,0,0,-.1100,.0050,0,300,0,N/A,0,0,0</t>
  </si>
  <si>
    <t>DEC-19,0,0,0,0,-.1250,.0050,0,310,0,N/A,0,0,0</t>
  </si>
  <si>
    <t>Month</t>
  </si>
  <si>
    <t>Open</t>
  </si>
  <si>
    <t>High</t>
  </si>
  <si>
    <t>Low</t>
  </si>
  <si>
    <t>Close</t>
  </si>
  <si>
    <t>Change</t>
  </si>
  <si>
    <t>MAY-18</t>
  </si>
  <si>
    <t>JUN-18</t>
  </si>
  <si>
    <t>JUL-18</t>
  </si>
  <si>
    <t>AUG-18</t>
  </si>
  <si>
    <t>SEP-18</t>
  </si>
  <si>
    <t>OCT-18</t>
  </si>
  <si>
    <t>NOV-18</t>
  </si>
  <si>
    <t>DEC-18</t>
  </si>
  <si>
    <t>JAN-19</t>
  </si>
  <si>
    <t>FEB-19</t>
  </si>
  <si>
    <t>MAR-19</t>
  </si>
  <si>
    <t>APR-19</t>
  </si>
  <si>
    <t>MAY-19</t>
  </si>
  <si>
    <t>JUN-19</t>
  </si>
  <si>
    <t>JUL-19</t>
  </si>
  <si>
    <t>AUG-19</t>
  </si>
  <si>
    <t>SEP-19</t>
  </si>
  <si>
    <t>OCT-19</t>
  </si>
  <si>
    <t>NOV-19</t>
  </si>
  <si>
    <t>DEC-19</t>
  </si>
  <si>
    <t>JAN-20</t>
  </si>
  <si>
    <t>FEB-20</t>
  </si>
  <si>
    <t>MAR-20</t>
  </si>
  <si>
    <t>APR-20</t>
  </si>
  <si>
    <t>MAY-20</t>
  </si>
  <si>
    <t>JUN-20</t>
  </si>
  <si>
    <t>JUL-20</t>
  </si>
  <si>
    <t>AUG-20</t>
  </si>
  <si>
    <t>SEP-20</t>
  </si>
  <si>
    <t>OCT-20</t>
  </si>
  <si>
    <t>NOV-20</t>
  </si>
  <si>
    <t>DEC-20</t>
  </si>
  <si>
    <t>Contract</t>
  </si>
  <si>
    <t>ICE</t>
  </si>
  <si>
    <t>Key</t>
  </si>
  <si>
    <t>JAN-21</t>
  </si>
  <si>
    <t>FEB-21</t>
  </si>
  <si>
    <t>MAR-21</t>
  </si>
  <si>
    <t>APR-21</t>
  </si>
  <si>
    <t>MAY-21</t>
  </si>
  <si>
    <t>JUN-21</t>
  </si>
  <si>
    <t>JUL-21</t>
  </si>
  <si>
    <t>AUG-21</t>
  </si>
  <si>
    <t>SEP-21</t>
  </si>
  <si>
    <t>OCT-21</t>
  </si>
  <si>
    <t>NOV-21</t>
  </si>
  <si>
    <t>DEC-21</t>
  </si>
  <si>
    <t>11</t>
  </si>
  <si>
    <t>12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</si>
  <si>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</si>
  <si>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</si>
  <si>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</si>
  <si>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</si>
  <si>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</si>
  <si>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</si>
  <si>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</si>
  <si>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</si>
  <si>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</si>
  <si>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</si>
  <si>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2021</t>
  </si>
  <si>
    <t>NOV-19,0,0,0,0,63.00,.00,0,0,0,N/A,0,0,0</t>
  </si>
  <si>
    <t>DEC-19,0,0,0,0,63.00,.00,0,0,0,N/A,0,0,0</t>
  </si>
  <si>
    <t>JAN-20,0,0,0,0,64.50,.00,0,0,0,N/A,0,0,0</t>
  </si>
  <si>
    <t>FEB-20,0,0,0,0,64.50,.00,0,0,0,N/A,0,0,0</t>
  </si>
  <si>
    <t>MAR-20,0,0,0,0,64.50,.00,0,0,0,N/A,0,0,0</t>
  </si>
  <si>
    <t>APR-20,0,0,0,0,59.10,.00,0,0,0,N/A,0,0,0</t>
  </si>
  <si>
    <t>MAY-20,0,0,0,0,59.10,.00,0,0,0,N/A,0,0,0</t>
  </si>
  <si>
    <t>JUN-20,0,0,0,0,59.10,.00,0,0,0,N/A,0,0,0</t>
  </si>
  <si>
    <t>JUL-20,0,0,0,0,74.85,.00,0,0,0,N/A,0,0,0</t>
  </si>
  <si>
    <t>AUG-20,0,0,0,0,74.85,.00,0,0,0,N/A,0,0,0</t>
  </si>
  <si>
    <t>SEP-20,0,0,0,0,74.85,.00,0,0,0,N/A,0,0,0</t>
  </si>
  <si>
    <t>OCT-20,0,0,0,0,66.65,.00,0,0,0,N/A,0,0,0</t>
  </si>
  <si>
    <t>NOV-20,0,0,0,0,66.65,.00,0,0,0,N/A,0,0,0</t>
  </si>
  <si>
    <t>DEC-20,0,0,0,0,66.65,.00,0,0,0,N/A,0,0,0</t>
  </si>
  <si>
    <t>EFP</t>
  </si>
  <si>
    <t>EFS</t>
  </si>
  <si>
    <t>N/A</t>
  </si>
  <si>
    <t>OCT-12,0,0,0,0,30.69,.00,0,27768,0,N/A,0,0,0</t>
  </si>
  <si>
    <t>NOV-12,0,0,0,0,26.42,-1.55,0,25359,0,N/A,0,0,0</t>
  </si>
  <si>
    <t>DEC-12,0,0,0,0,29.20,.00,0,27176,0,N/A,0,0,0</t>
  </si>
  <si>
    <t>JAN-13,0,0,0,0,31.50,-.45,656,20336,-328,N/A,0,0,656</t>
  </si>
  <si>
    <t>FEB-13,0,0,0,0,31.70,.00,576,17856,-288,N/A,0,0,576</t>
  </si>
  <si>
    <t>MAR-13,0,0,0,0,31.20,.00,654,20274,-327,N/A,0,0,654</t>
  </si>
  <si>
    <t>APR-13,0,0,0,0,26.35,.35,0,14288,0,N/A,0,0,0</t>
  </si>
  <si>
    <t>MAY-13,0,0,0,0,27.55,.35,0,15416,0,N/A,0,0,0</t>
  </si>
  <si>
    <t>JUN-13,0,0,0,0,28.45,.35,0,15040,0,N/A,0,0,0</t>
  </si>
  <si>
    <t>JUL-13,0,0,0,0,32.60,-.80,0,14760,0,N/A,0,0,0</t>
  </si>
  <si>
    <t>AUG-13,0,0,0,0,35.50,.70,0,14040,0,N/A,0,0,0</t>
  </si>
  <si>
    <t>SEP-13,0,0,0,0,33.60,.05,0,15120,0,N/A,0,0,0</t>
  </si>
  <si>
    <t>OCT-13,0,0,0,0,34.45,.35,0,14976,0,N/A,0,0,0</t>
  </si>
  <si>
    <t>NOV-13,0,0,0,0,33.55,.30,0,15408,0,N/A,0,0,0</t>
  </si>
  <si>
    <t>DEC-13,0,0,0,0,33.09,.34,0,16512,0,N/A,0,0,0</t>
  </si>
  <si>
    <t>JAN-14,0,0,0,0,34.30,.30,328,5248,328,N/A,0,0,328</t>
  </si>
  <si>
    <t>FEB-14,0,0,0,0,34.30,.30,288,4608,288,N/A,0,0,288</t>
  </si>
  <si>
    <t>MAR-14,0,0,0,0,34.30,.30,327,5232,327,N/A,0,0,327</t>
  </si>
  <si>
    <t>APR-14,0,0,0,0,28.30,.25,304,5776,304,N/A,0,0,304</t>
  </si>
  <si>
    <t>MAY-14,0,0,0,0,28.30,.25,328,6232,328,N/A,0,0,328</t>
  </si>
  <si>
    <t>JUN-14,0,0,0,0,28.30,.25,320,6080,320,N/A,0,0,320</t>
  </si>
  <si>
    <t>JUL-14,0,0,0,0,36.45,.30,328,6232,328,N/A,0,0,328</t>
  </si>
  <si>
    <t>AUG-14,0,0,0,0,36.45,.30,328,6232,328,N/A,0,0,328</t>
  </si>
  <si>
    <t>SEP-14,0,0,0,0,36.45,.30,320,6080,320,N/A,0,0,320</t>
  </si>
  <si>
    <t>OCT-14,0,0,0,0,36.65,.30,312,6864,0,N/A,0,0,312</t>
  </si>
  <si>
    <t>NOV-14,0,0,0,0,36.65,.30,337,7414,0,N/A,0,0,337</t>
  </si>
  <si>
    <t>DEC-14,0,0,0,0,36.65,.30,328,7216,0,N/A,0,0,328</t>
  </si>
  <si>
    <t>JAN-15,0,0,0,0,36.85,.20,0,4920,0,N/A,0,0,0</t>
  </si>
  <si>
    <t>FEB-15,0,0,0,0,36.85,.20,0,4320,0,N/A,0,0,0</t>
  </si>
  <si>
    <t>SEP-17,0,0,0,0,.0375,.0000,0,0,0,N/A,0,0,0</t>
  </si>
  <si>
    <t>OCT-17,0,0,0,0,.0375,.0000,0,0,0,N/A,0,0,0</t>
  </si>
  <si>
    <t>NOV-17,0,0,0,0,.0750,.0000,0,0,0,N/A,0,0,0</t>
  </si>
  <si>
    <t>DEC-17,0,0,0,0,.0750,.0000,0,0,0,N/A,0,0,0</t>
  </si>
  <si>
    <t>JAN-18,0,0,0,0,.0750,.0000,0,0,0,N/A,0,0,0</t>
  </si>
  <si>
    <t>FEB-18,0,0,0,0,.0750,.0000,0,0,0,N/A,0,0,0</t>
  </si>
  <si>
    <t>MAR-18,0,0,0,0,.0750,.0000,0,0,0,N/A,0,0,0</t>
  </si>
  <si>
    <t>APR-18,0,0,0,0,.0375,.0000,0,0,0,N/A,0,0,0</t>
  </si>
  <si>
    <t>MAY-18,0,0,0,0,.0375,.0000,0,0,0,N/A,0,0,0</t>
  </si>
  <si>
    <t>JAN-22</t>
  </si>
  <si>
    <t>FEB-22</t>
  </si>
  <si>
    <t>MAR-22</t>
  </si>
  <si>
    <t>APR-22</t>
  </si>
  <si>
    <t>MAY-22</t>
  </si>
  <si>
    <t>JUN-22</t>
  </si>
  <si>
    <t>JUL-22</t>
  </si>
  <si>
    <t>AUG-22</t>
  </si>
  <si>
    <t>SEP-22</t>
  </si>
  <si>
    <t>OCT-22</t>
  </si>
  <si>
    <t>NOV-22</t>
  </si>
  <si>
    <t>DEC-22</t>
  </si>
  <si>
    <t>Palo Verde Peak</t>
  </si>
  <si>
    <t>Palo Verde Off Peak</t>
  </si>
  <si>
    <t xml:space="preserve">NP-15 Peak (NPM) </t>
  </si>
  <si>
    <t xml:space="preserve">NP-15 Off Peak (ONP) </t>
  </si>
  <si>
    <t>West Electricity  Summary Statistics</t>
  </si>
  <si>
    <t>SPM</t>
  </si>
  <si>
    <t>OFP</t>
  </si>
  <si>
    <t>MDC</t>
  </si>
  <si>
    <t>OMC</t>
  </si>
  <si>
    <t>PVM</t>
  </si>
  <si>
    <t>OVP</t>
  </si>
  <si>
    <t>ONP</t>
  </si>
  <si>
    <t>NPM</t>
  </si>
  <si>
    <t>Spread Vol</t>
  </si>
  <si>
    <t>JAN-23</t>
  </si>
  <si>
    <t>FEB-23</t>
  </si>
  <si>
    <t>MAR-23</t>
  </si>
  <si>
    <t>APR-23</t>
  </si>
  <si>
    <t>MAY-23</t>
  </si>
  <si>
    <t>JUN-23</t>
  </si>
  <si>
    <t>JUL-23</t>
  </si>
  <si>
    <t>AUG-23</t>
  </si>
  <si>
    <t>SEP-23</t>
  </si>
  <si>
    <t>OCT-23</t>
  </si>
  <si>
    <t>NOV-23</t>
  </si>
  <si>
    <t>DEC-23</t>
  </si>
  <si>
    <t>JAN-24</t>
  </si>
  <si>
    <t>FEB-24</t>
  </si>
  <si>
    <t>MAR-24</t>
  </si>
  <si>
    <t>APR-24</t>
  </si>
  <si>
    <t>MAY-24</t>
  </si>
  <si>
    <t>JUN-24</t>
  </si>
  <si>
    <t>JUL-24</t>
  </si>
  <si>
    <t>AUG-24</t>
  </si>
  <si>
    <t>SEP-24</t>
  </si>
  <si>
    <t>OCT-24</t>
  </si>
  <si>
    <t>NOV-24</t>
  </si>
  <si>
    <t>DEC-24</t>
  </si>
  <si>
    <t>2022</t>
  </si>
  <si>
    <t>2023</t>
  </si>
  <si>
    <t>2024</t>
  </si>
  <si>
    <t>JAN-25</t>
  </si>
  <si>
    <t>FEB-25</t>
  </si>
  <si>
    <t>MAR-25</t>
  </si>
  <si>
    <t>APR-25</t>
  </si>
  <si>
    <t>MAY-25</t>
  </si>
  <si>
    <t>JUN-25</t>
  </si>
  <si>
    <t>JUL-25</t>
  </si>
  <si>
    <t>AUG-25</t>
  </si>
  <si>
    <t>SEP-25</t>
  </si>
  <si>
    <t>OCT-25</t>
  </si>
  <si>
    <t>NOV-25</t>
  </si>
  <si>
    <t>DEC-25</t>
  </si>
  <si>
    <t>JAN-26</t>
  </si>
  <si>
    <t>FEB-26</t>
  </si>
  <si>
    <t>MAR-26</t>
  </si>
  <si>
    <t>APR-26</t>
  </si>
  <si>
    <t>MAY-26</t>
  </si>
  <si>
    <t>JUN-26</t>
  </si>
  <si>
    <t>JUL-26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</si>
  <si>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</si>
  <si>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</si>
  <si>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</si>
  <si>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</si>
  <si>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</si>
  <si>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</si>
  <si>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</si>
  <si>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</si>
  <si>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APR-27</t>
  </si>
  <si>
    <t>MAY-27</t>
  </si>
  <si>
    <t>JUN-27</t>
  </si>
  <si>
    <t>JUL-27</t>
  </si>
  <si>
    <t>AUG-27</t>
  </si>
  <si>
    <t>SEP-27</t>
  </si>
  <si>
    <t>OCT-27</t>
  </si>
  <si>
    <t>NOV-27</t>
  </si>
  <si>
    <t>DEC-27</t>
  </si>
  <si>
    <t>JAN-28</t>
  </si>
  <si>
    <t>FEB-28</t>
  </si>
  <si>
    <t>MAR-28</t>
  </si>
  <si>
    <t>APR-28</t>
  </si>
  <si>
    <t>MAY-28</t>
  </si>
  <si>
    <t>JUN-28</t>
  </si>
  <si>
    <t>JUL-28</t>
  </si>
  <si>
    <t>AUG-28</t>
  </si>
  <si>
    <t>SEP-28</t>
  </si>
  <si>
    <t>OCT-28</t>
  </si>
  <si>
    <t>NOV-28</t>
  </si>
  <si>
    <t>DEC-28</t>
  </si>
  <si>
    <t>JAN-29</t>
  </si>
  <si>
    <t>FEB-29</t>
  </si>
  <si>
    <t>MAR-29</t>
  </si>
  <si>
    <t>APR-29</t>
  </si>
  <si>
    <t>MAY-29</t>
  </si>
  <si>
    <t>JUN-29</t>
  </si>
  <si>
    <t>JUL-29</t>
  </si>
  <si>
    <t>AUG-29</t>
  </si>
  <si>
    <t>SEP-29</t>
  </si>
  <si>
    <t>OCT-29</t>
  </si>
  <si>
    <t>NOV-29</t>
  </si>
  <si>
    <t>DEC-29</t>
  </si>
  <si>
    <t>2025</t>
  </si>
  <si>
    <t>2026</t>
  </si>
  <si>
    <t>2027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</si>
</sst>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11" x14ac:knownFonts="1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u/>
      <sz val="10"/>
      <name val="Arial"/>
    </font>
    <font>
      <i/>
      <sz val="8"/>
      <color indexed="12"/>
      <name val="Arial"/>
      <family val="2"/>
    </font>
    <font>
      <b/>
      <sz val="11"/>
      <name val="Arial"/>
      <family val="2"/>
    </font>
    <font>
      <i/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0">
    <xf numFmtId="0" fontId="0" fillId="0" borderId="0" xfId="0"/>
    <xf numFmtId="0" fontId="3" fillId="0" borderId="0" xfId="0" applyFont="1"/>
    <xf numFmtId="0" fontId="0" fillId="0" borderId="0" xfId="0" applyAlignment="1">
      <alignment horizontal="center"/>
    </xf>
    <xf numFmtId="15" fontId="0" fillId="0" borderId="0" xfId="0" applyNumberFormat="1"/>
    <xf numFmtId="0" fontId="5" fillId="0" borderId="1" xfId="0" applyFont="1" applyBorder="1"/>
    <xf numFmtId="0" fontId="5" fillId="0" borderId="2" xfId="0" applyFont="1" applyBorder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15" fontId="0" fillId="0" borderId="0" xfId="0" quotePrefix="1" applyNumberFormat="1" applyAlignment="1">
      <alignment horizontal="center"/>
    </xf>
    <xf numFmtId="49" fontId="3" fillId="0" borderId="0" xfId="0" applyNumberFormat="1" applyFont="1" applyAlignment="1">
      <alignment horizontal="center"/>
    </xf>
    <xf numFmtId="49" fontId="3" fillId="0" borderId="2" xfId="0" applyNumberFormat="1" applyFont="1" applyBorder="1" applyAlignment="1">
      <alignment horizontal="center"/>
    </xf>
    <xf numFmtId="0" fontId="5" fillId="0" borderId="3" xfId="0" applyFont="1" applyBorder="1"/>
    <xf numFmtId="0" fontId="5" fillId="0" borderId="3" xfId="0" applyFont="1" applyBorder="1" applyAlignment="1">
      <alignment horizontal="center"/>
    </xf>
    <xf numFmtId="49" fontId="3" fillId="0" borderId="0" xfId="0" applyNumberFormat="1" applyFont="1" applyBorder="1" applyAlignment="1">
      <alignment horizontal="center"/>
    </xf>
    <xf numFmtId="15" fontId="6" fillId="0" borderId="4" xfId="0" applyNumberFormat="1" applyFont="1" applyBorder="1"/>
    <xf numFmtId="0" fontId="6" fillId="0" borderId="5" xfId="0" applyFont="1" applyBorder="1" applyAlignment="1">
      <alignment horizontal="center"/>
    </xf>
    <xf numFmtId="164" fontId="0" fillId="0" borderId="0" xfId="1" applyNumberFormat="1" applyFont="1" applyBorder="1"/>
    <xf numFmtId="164" fontId="0" fillId="0" borderId="6" xfId="1" applyNumberFormat="1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7" fillId="0" borderId="0" xfId="0" applyFont="1"/>
    <xf numFmtId="49" fontId="3" fillId="0" borderId="1" xfId="0" applyNumberFormat="1" applyFont="1" applyBorder="1" applyAlignment="1">
      <alignment horizontal="center"/>
    </xf>
    <xf numFmtId="0" fontId="0" fillId="0" borderId="10" xfId="0" applyBorder="1" applyAlignment="1">
      <alignment horizontal="center"/>
    </xf>
    <xf numFmtId="49" fontId="8" fillId="0" borderId="0" xfId="0" applyNumberFormat="1" applyFont="1" applyAlignment="1">
      <alignment horizontal="center"/>
    </xf>
    <xf numFmtId="0" fontId="9" fillId="0" borderId="8" xfId="0" applyFont="1" applyBorder="1" applyAlignment="1">
      <alignment horizontal="left"/>
    </xf>
    <xf numFmtId="164" fontId="0" fillId="0" borderId="10" xfId="1" applyNumberFormat="1" applyFont="1" applyBorder="1"/>
    <xf numFmtId="0" fontId="9" fillId="0" borderId="9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49" fontId="3" fillId="0" borderId="3" xfId="0" applyNumberFormat="1" applyFont="1" applyBorder="1" applyAlignment="1">
      <alignment horizontal="center"/>
    </xf>
    <xf numFmtId="49" fontId="3" fillId="0" borderId="8" xfId="0" applyNumberFormat="1" applyFont="1" applyBorder="1" applyAlignment="1">
      <alignment horizontal="center"/>
    </xf>
    <xf numFmtId="0" fontId="0" fillId="0" borderId="0" xfId="0" applyBorder="1"/>
    <xf numFmtId="0" fontId="5" fillId="0" borderId="8" xfId="0" applyFont="1" applyBorder="1" applyAlignment="1">
      <alignment horizontal="center"/>
    </xf>
    <xf numFmtId="164" fontId="0" fillId="0" borderId="11" xfId="1" applyNumberFormat="1" applyFont="1" applyBorder="1"/>
    <xf numFmtId="164" fontId="0" fillId="0" borderId="8" xfId="1" applyNumberFormat="1" applyFont="1" applyBorder="1"/>
    <xf numFmtId="15" fontId="6" fillId="0" borderId="7" xfId="0" applyNumberFormat="1" applyFont="1" applyBorder="1"/>
    <xf numFmtId="0" fontId="0" fillId="0" borderId="0" xfId="0" applyAlignment="1"/>
    <xf numFmtId="0" fontId="0" fillId="0" borderId="0" xfId="0" applyNumberFormat="1"/>
    <xf numFmtId="0" fontId="0" fillId="0" borderId="0" xfId="0" applyNumberFormat="1" applyAlignment="1">
      <alignment horizontal="center"/>
    </xf>
    <xf numFmtId="0" fontId="0" fillId="0" borderId="0" xfId="0" applyBorder="1" applyAlignment="1"/>
    <xf numFmtId="0" fontId="5" fillId="0" borderId="10" xfId="0" applyFont="1" applyBorder="1" applyAlignment="1">
      <alignment horizontal="center"/>
    </xf>
    <xf numFmtId="15" fontId="3" fillId="0" borderId="0" xfId="0" applyNumberFormat="1" applyFont="1"/>
    <xf numFmtId="0" fontId="6" fillId="0" borderId="0" xfId="0" applyFont="1" applyBorder="1" applyAlignment="1">
      <alignment horizontal="center"/>
    </xf>
    <xf numFmtId="164" fontId="0" fillId="0" borderId="9" xfId="1" applyNumberFormat="1" applyFont="1" applyBorder="1"/>
    <xf numFmtId="15" fontId="0" fillId="0" borderId="0" xfId="0" applyNumberFormat="1" applyAlignment="1">
      <alignment horizontal="center"/>
    </xf>
    <xf numFmtId="15" fontId="8" fillId="0" borderId="0" xfId="0" applyNumberFormat="1" applyFont="1" applyAlignment="1">
      <alignment horizontal="center"/>
    </xf>
    <xf numFmtId="49" fontId="3" fillId="0" borderId="0" xfId="0" applyNumberFormat="1" applyFont="1"/>
    <xf numFmtId="49" fontId="0" fillId="0" borderId="0" xfId="0" applyNumberFormat="1"/>
    <xf numFmtId="15" fontId="6" fillId="0" borderId="0" xfId="0" applyNumberFormat="1" applyFont="1" applyBorder="1"/>
    <xf numFmtId="164" fontId="0" fillId="0" borderId="7" xfId="1" applyNumberFormat="1" applyFont="1" applyBorder="1"/>
    <xf numFmtId="0" fontId="10" fillId="0" borderId="1" xfId="0" applyFont="1" applyBorder="1" applyAlignment="1">
      <alignment horizontal="center"/>
    </xf>
    <xf numFmtId="0" fontId="10" fillId="0" borderId="13" xfId="0" applyFont="1" applyBorder="1"/>
    <xf numFmtId="0" fontId="10" fillId="0" borderId="10" xfId="0" applyFont="1" applyBorder="1"/>
    <xf numFmtId="0" fontId="10" fillId="0" borderId="11" xfId="0" applyFont="1" applyBorder="1"/>
    <xf numFmtId="0" fontId="0" fillId="0" borderId="13" xfId="0" applyBorder="1"/>
    <xf numFmtId="15" fontId="10" fillId="0" borderId="1" xfId="0" applyNumberFormat="1" applyFont="1" applyBorder="1"/>
    <xf numFmtId="0" fontId="3" fillId="0" borderId="3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 applyAlignment="1"/>
    <xf numFmtId="0" fontId="3" fillId="0" borderId="0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7" fillId="0" borderId="0" xfId="0" applyFont="1" applyAlignment="1"/>
    <xf numFmtId="0" fontId="0" fillId="0" borderId="0" xfId="0" applyAlignme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JM"/>
  <dimension ref="A1:M138"/>
  <sheetViews>
    <sheetView workbookViewId="0">
      <selection activeCell="B1" sqref="A1:M90"/>
    </sheetView>
  </sheetViews>
  <sheetFormatPr defaultRowHeight="12.75" x14ac:dyDescent="0.2"/>
  <cols>
    <col min="1" max="1" width="13.85546875" customWidth="1"/>
    <col min="2" max="2" width="10.140625" customWidth="1"/>
    <col min="3" max="3" width="9.42578125" customWidth="1"/>
    <col min="4" max="4" width="9.5703125" customWidth="1"/>
    <col min="5" max="6" width="9.42578125" customWidth="1"/>
    <col min="7" max="7" width="10.5703125" bestFit="1" customWidth="1"/>
    <col min="8" max="8" width="2.42578125" customWidth="1"/>
    <col min="9" max="9" width="10.7109375" customWidth="1"/>
    <col min="10" max="11" width="9.5703125" customWidth="1"/>
    <col min="13" max="13" width="10.5703125" bestFit="1" customWidth="1"/>
  </cols>
  <sheetData>
    <row r="1" spans="1:13" x14ac:dyDescent="0.2">
      <c r="A1" t="s">
        <v>973</v>
      </c>
      <c r="B1" s="3">
        <v>43236</v>
      </c>
      <c r="C1" s="2"/>
      <c r="D1" s="2"/>
      <c r="E1" s="2"/>
      <c r="F1" s="2"/>
      <c r="G1" s="2"/>
      <c r="I1" s="2"/>
      <c r="J1" s="2"/>
      <c r="K1" s="2"/>
    </row>
    <row r="2" spans="1:13" ht="13.5" thickBot="1" x14ac:dyDescent="0.25">
      <c r="B2" s="3"/>
      <c r="C2" s="2"/>
      <c r="D2" s="2"/>
      <c r="E2" s="2"/>
      <c r="F2" s="2"/>
      <c r="G2" s="2"/>
      <c r="I2" s="2"/>
      <c r="J2" s="2"/>
      <c r="K2" s="2"/>
    </row>
    <row r="3" spans="1:13" ht="13.5" thickBot="1" x14ac:dyDescent="0.25">
      <c r="A3" s="60" t="s">
        <v>986</v>
      </c>
      <c r="B3" s="61"/>
      <c r="C3" s="62"/>
      <c r="D3" s="2"/>
      <c r="E3" s="2"/>
      <c r="F3" s="2"/>
      <c r="G3" s="2"/>
      <c r="I3" s="2"/>
      <c r="J3" s="2"/>
      <c r="K3" s="2"/>
    </row>
    <row r="4" spans="1:13" x14ac:dyDescent="0.2">
      <c r="A4" s="21" t="s">
        <v>989</v>
      </c>
      <c r="B4" s="17" t="s">
        <v>987</v>
      </c>
      <c r="C4" s="18" t="s">
        <v>988</v>
      </c>
      <c r="D4" s="2" t="s">
        <v>989</v>
      </c>
      <c r="E4" s="2"/>
      <c r="F4" s="2"/>
      <c r="G4" s="2"/>
      <c r="I4" s="2"/>
      <c r="J4" s="2"/>
      <c r="K4" s="2"/>
    </row>
    <row r="5" spans="1:13" x14ac:dyDescent="0.2">
      <c r="A5" s="22" t="s">
        <v>990</v>
      </c>
      <c r="B5" s="19">
        <f>SUM('PJM On Peak'!fields.Volume)</f>
        <v>0</v>
      </c>
      <c r="C5" s="19">
        <f>SUM('PJM Off Peak'!fields.Volume)</f>
        <v>6190</v>
      </c>
      <c r="D5" s="26"/>
      <c r="E5" s="2"/>
      <c r="F5" s="2"/>
      <c r="G5" s="2"/>
      <c r="I5" s="2"/>
      <c r="J5" s="2"/>
      <c r="K5" s="2"/>
    </row>
    <row r="6" spans="1:13" ht="13.5" thickBot="1" x14ac:dyDescent="0.25">
      <c r="A6" s="23" t="s">
        <v>991</v>
      </c>
      <c r="B6" s="20">
        <f>SUM('PJM On Peak'!fields.Block.Vol)</f>
        <v>0</v>
      </c>
      <c r="C6" s="20">
        <f>SUM('PJM Off Peak'!fields.Block.Vol)</f>
        <v>5990</v>
      </c>
      <c r="D6" s="26"/>
      <c r="E6" s="2"/>
      <c r="F6" s="2"/>
      <c r="G6" s="2"/>
      <c r="I6" s="2"/>
      <c r="J6" s="2"/>
      <c r="K6" s="2"/>
    </row>
    <row r="7" spans="1:13" x14ac:dyDescent="0.2">
      <c r="A7" s="24" t="s">
        <v>972</v>
      </c>
      <c r="B7" s="3"/>
      <c r="C7" s="2"/>
      <c r="D7" s="2"/>
      <c r="E7" s="2"/>
      <c r="F7" s="2"/>
      <c r="G7" s="2"/>
      <c r="I7" s="2"/>
      <c r="J7" s="2"/>
      <c r="K7" s="2"/>
    </row>
    <row r="8" spans="1:13" x14ac:dyDescent="0.2">
      <c r="B8" s="3"/>
      <c r="C8" s="2"/>
      <c r="D8" s="2"/>
      <c r="E8" s="2"/>
      <c r="F8" s="2"/>
      <c r="G8" s="2"/>
      <c r="I8" s="2"/>
      <c r="J8" s="2"/>
      <c r="K8" s="2"/>
    </row>
    <row r="9" spans="1:13" ht="16.5" thickBot="1" x14ac:dyDescent="0.3">
      <c r="A9" s="7"/>
      <c r="B9" s="12"/>
      <c r="C9" s="63" t="s">
        <v>984</v>
      </c>
      <c r="D9" s="64"/>
      <c r="E9" s="64"/>
      <c r="F9" s="64"/>
      <c r="G9" s="64"/>
      <c r="I9" s="63" t="s">
        <v>985</v>
      </c>
      <c r="J9" s="65"/>
      <c r="K9" s="65"/>
      <c r="L9" s="65"/>
      <c r="M9" s="65"/>
    </row>
    <row r="10" spans="1:13" ht="13.5" thickBot="1" x14ac:dyDescent="0.25">
      <c r="A10" s="25" t="s">
        <v>974</v>
      </c>
      <c r="B10" s="13" t="s">
        <v>980</v>
      </c>
      <c r="C10" s="8" t="s">
        <v>978</v>
      </c>
      <c r="D10" s="8" t="s">
        <v>975</v>
      </c>
      <c r="E10" s="9" t="s">
        <v>976</v>
      </c>
      <c r="F10" s="9" t="s">
        <v>979</v>
      </c>
      <c r="G10" s="8" t="s">
        <v>969</v>
      </c>
      <c r="H10" s="22"/>
      <c r="I10" s="15" t="s">
        <v>978</v>
      </c>
      <c r="J10" s="8" t="s">
        <v>975</v>
      </c>
      <c r="K10" s="9" t="s">
        <v>976</v>
      </c>
      <c r="L10" s="9" t="s">
        <v>979</v>
      </c>
      <c r="M10" s="8" t="s">
        <v>969</v>
      </c>
    </row>
    <row r="11" spans="1:13" x14ac:dyDescent="0.2">
      <c r="A11" t="s">
        <v>1010</v>
      </c>
      <c r="B11" t="s">
        <v>970</v>
      </c>
      <c r="C11">
        <v>41.02</v>
      </c>
      <c r="D11">
        <v>0</v>
      </c>
      <c r="E11">
        <v>0</v>
      </c>
      <c r="F11">
        <v>3674</v>
      </c>
      <c r="G11">
        <v>0</v>
      </c>
      <c r="I11">
        <v>26.28</v>
      </c>
      <c r="J11">
        <v>0</v>
      </c>
      <c r="K11">
        <v>0</v>
      </c>
      <c r="L11">
        <v>6112</v>
      </c>
      <c r="M11">
        <v>0</v>
      </c>
    </row>
    <row r="12" spans="1:13" x14ac:dyDescent="0.2">
      <c r="A12" t="s">
        <v>1011</v>
      </c>
      <c r="B12" t="s">
        <v>970</v>
      </c>
      <c r="C12">
        <v>34.549999999999997</v>
      </c>
      <c r="D12">
        <v>0</v>
      </c>
      <c r="E12">
        <v>0</v>
      </c>
      <c r="F12">
        <v>2940</v>
      </c>
      <c r="G12">
        <v>0</v>
      </c>
      <c r="I12">
        <v>24.1</v>
      </c>
      <c r="J12">
        <v>310</v>
      </c>
      <c r="K12">
        <v>110</v>
      </c>
      <c r="L12">
        <v>7807</v>
      </c>
      <c r="M12">
        <v>35</v>
      </c>
    </row>
    <row r="13" spans="1:13" x14ac:dyDescent="0.2">
      <c r="A13" t="s">
        <v>1012</v>
      </c>
      <c r="B13" t="s">
        <v>970</v>
      </c>
      <c r="C13">
        <v>39.1</v>
      </c>
      <c r="D13">
        <v>0</v>
      </c>
      <c r="E13">
        <v>0</v>
      </c>
      <c r="F13">
        <v>3003</v>
      </c>
      <c r="G13">
        <v>0</v>
      </c>
      <c r="I13">
        <v>26.55</v>
      </c>
      <c r="J13">
        <v>100</v>
      </c>
      <c r="K13">
        <v>100</v>
      </c>
      <c r="L13">
        <v>6883</v>
      </c>
      <c r="M13">
        <v>-75</v>
      </c>
    </row>
    <row r="14" spans="1:13" x14ac:dyDescent="0.2">
      <c r="A14" t="s">
        <v>1013</v>
      </c>
      <c r="B14" t="s">
        <v>970</v>
      </c>
      <c r="C14">
        <v>36.75</v>
      </c>
      <c r="D14">
        <v>0</v>
      </c>
      <c r="E14">
        <v>0</v>
      </c>
      <c r="F14">
        <v>3312</v>
      </c>
      <c r="G14">
        <v>0</v>
      </c>
      <c r="I14">
        <v>24.65</v>
      </c>
      <c r="J14">
        <v>100</v>
      </c>
      <c r="K14">
        <v>100</v>
      </c>
      <c r="L14">
        <v>6863</v>
      </c>
      <c r="M14">
        <v>-75</v>
      </c>
    </row>
    <row r="15" spans="1:13" x14ac:dyDescent="0.2">
      <c r="A15" t="s">
        <v>1014</v>
      </c>
      <c r="B15" t="s">
        <v>970</v>
      </c>
      <c r="C15">
        <v>34.65</v>
      </c>
      <c r="D15">
        <v>0</v>
      </c>
      <c r="E15">
        <v>0</v>
      </c>
      <c r="F15">
        <v>2527</v>
      </c>
      <c r="G15">
        <v>0</v>
      </c>
      <c r="I15">
        <v>24.1</v>
      </c>
      <c r="J15">
        <v>525</v>
      </c>
      <c r="K15">
        <v>525</v>
      </c>
      <c r="L15">
        <v>5679</v>
      </c>
      <c r="M15">
        <v>264</v>
      </c>
    </row>
    <row r="16" spans="1:13" x14ac:dyDescent="0.2">
      <c r="A16" t="s">
        <v>1015</v>
      </c>
      <c r="B16" t="s">
        <v>970</v>
      </c>
      <c r="C16">
        <v>33.799999999999997</v>
      </c>
      <c r="D16">
        <v>0</v>
      </c>
      <c r="E16">
        <v>0</v>
      </c>
      <c r="F16">
        <v>4025</v>
      </c>
      <c r="G16">
        <v>0</v>
      </c>
      <c r="I16">
        <v>24.75</v>
      </c>
      <c r="J16">
        <v>525</v>
      </c>
      <c r="K16">
        <v>525</v>
      </c>
      <c r="L16">
        <v>5408</v>
      </c>
      <c r="M16">
        <v>-149</v>
      </c>
    </row>
    <row r="17" spans="1:13" x14ac:dyDescent="0.2">
      <c r="A17" t="s">
        <v>1016</v>
      </c>
      <c r="B17" t="s">
        <v>970</v>
      </c>
      <c r="C17">
        <v>33.6</v>
      </c>
      <c r="D17">
        <v>0</v>
      </c>
      <c r="E17">
        <v>0</v>
      </c>
      <c r="F17">
        <v>3213</v>
      </c>
      <c r="G17">
        <v>0</v>
      </c>
      <c r="I17">
        <v>24.8</v>
      </c>
      <c r="J17">
        <v>525</v>
      </c>
      <c r="K17">
        <v>525</v>
      </c>
      <c r="L17">
        <v>5187</v>
      </c>
      <c r="M17">
        <v>-35</v>
      </c>
    </row>
    <row r="18" spans="1:13" x14ac:dyDescent="0.2">
      <c r="A18" t="s">
        <v>1017</v>
      </c>
      <c r="B18" t="s">
        <v>970</v>
      </c>
      <c r="C18">
        <v>36.700000000000003</v>
      </c>
      <c r="D18">
        <v>0</v>
      </c>
      <c r="E18">
        <v>0</v>
      </c>
      <c r="F18">
        <v>3280</v>
      </c>
      <c r="G18">
        <v>0</v>
      </c>
      <c r="I18">
        <v>28.65</v>
      </c>
      <c r="J18">
        <v>625</v>
      </c>
      <c r="K18">
        <v>625</v>
      </c>
      <c r="L18">
        <v>5262</v>
      </c>
      <c r="M18">
        <v>-135</v>
      </c>
    </row>
    <row r="19" spans="1:13" x14ac:dyDescent="0.2">
      <c r="A19" t="s">
        <v>1006</v>
      </c>
      <c r="B19" t="s">
        <v>971</v>
      </c>
      <c r="C19">
        <v>49.85</v>
      </c>
      <c r="D19">
        <v>0</v>
      </c>
      <c r="E19">
        <v>0</v>
      </c>
      <c r="F19">
        <v>1188</v>
      </c>
      <c r="G19">
        <v>0</v>
      </c>
      <c r="I19">
        <v>42.2</v>
      </c>
      <c r="J19">
        <v>290</v>
      </c>
      <c r="K19">
        <v>290</v>
      </c>
      <c r="L19">
        <v>8071</v>
      </c>
      <c r="M19">
        <v>32</v>
      </c>
    </row>
    <row r="20" spans="1:13" x14ac:dyDescent="0.2">
      <c r="A20" t="s">
        <v>1007</v>
      </c>
      <c r="B20" t="s">
        <v>971</v>
      </c>
      <c r="C20">
        <v>45.95</v>
      </c>
      <c r="D20">
        <v>0</v>
      </c>
      <c r="E20">
        <v>0</v>
      </c>
      <c r="F20">
        <v>1080</v>
      </c>
      <c r="G20">
        <v>0</v>
      </c>
      <c r="I20">
        <v>39.4</v>
      </c>
      <c r="J20">
        <v>290</v>
      </c>
      <c r="K20">
        <v>290</v>
      </c>
      <c r="L20">
        <v>8071</v>
      </c>
      <c r="M20">
        <v>32</v>
      </c>
    </row>
    <row r="21" spans="1:13" x14ac:dyDescent="0.2">
      <c r="A21" t="s">
        <v>1008</v>
      </c>
      <c r="B21" t="s">
        <v>971</v>
      </c>
      <c r="C21">
        <v>37.200000000000003</v>
      </c>
      <c r="D21">
        <v>0</v>
      </c>
      <c r="E21">
        <v>0</v>
      </c>
      <c r="F21">
        <v>798</v>
      </c>
      <c r="G21">
        <v>0</v>
      </c>
      <c r="I21">
        <v>30.05</v>
      </c>
      <c r="J21">
        <v>290</v>
      </c>
      <c r="K21">
        <v>290</v>
      </c>
      <c r="L21">
        <v>4639</v>
      </c>
      <c r="M21">
        <v>-113</v>
      </c>
    </row>
    <row r="22" spans="1:13" x14ac:dyDescent="0.2">
      <c r="A22" t="s">
        <v>1009</v>
      </c>
      <c r="B22" t="s">
        <v>971</v>
      </c>
      <c r="C22">
        <v>32.5</v>
      </c>
      <c r="D22">
        <v>0</v>
      </c>
      <c r="E22">
        <v>0</v>
      </c>
      <c r="F22">
        <v>814</v>
      </c>
      <c r="G22">
        <v>0</v>
      </c>
      <c r="I22">
        <v>24.9</v>
      </c>
      <c r="J22">
        <v>290</v>
      </c>
      <c r="K22">
        <v>290</v>
      </c>
      <c r="L22">
        <v>4659</v>
      </c>
      <c r="M22">
        <v>-113</v>
      </c>
    </row>
    <row r="23" spans="1:13" x14ac:dyDescent="0.2">
      <c r="A23" t="s">
        <v>1010</v>
      </c>
      <c r="B23" t="s">
        <v>971</v>
      </c>
      <c r="C23">
        <v>32.25</v>
      </c>
      <c r="D23">
        <v>0</v>
      </c>
      <c r="E23">
        <v>0</v>
      </c>
      <c r="F23">
        <v>792</v>
      </c>
      <c r="G23">
        <v>0</v>
      </c>
      <c r="I23">
        <v>22.05</v>
      </c>
      <c r="J23">
        <v>290</v>
      </c>
      <c r="K23">
        <v>290</v>
      </c>
      <c r="L23">
        <v>4476</v>
      </c>
      <c r="M23">
        <v>-113</v>
      </c>
    </row>
    <row r="24" spans="1:13" x14ac:dyDescent="0.2">
      <c r="A24" t="s">
        <v>1011</v>
      </c>
      <c r="B24" t="s">
        <v>971</v>
      </c>
      <c r="C24">
        <v>32.049999999999997</v>
      </c>
      <c r="D24">
        <v>0</v>
      </c>
      <c r="E24">
        <v>0</v>
      </c>
      <c r="F24">
        <v>720</v>
      </c>
      <c r="G24">
        <v>0</v>
      </c>
      <c r="I24">
        <v>22.05</v>
      </c>
      <c r="J24">
        <v>290</v>
      </c>
      <c r="K24">
        <v>290</v>
      </c>
      <c r="L24">
        <v>4442</v>
      </c>
      <c r="M24">
        <v>-138</v>
      </c>
    </row>
    <row r="25" spans="1:13" x14ac:dyDescent="0.2">
      <c r="A25" t="s">
        <v>1012</v>
      </c>
      <c r="B25" t="s">
        <v>971</v>
      </c>
      <c r="C25">
        <v>38.049999999999997</v>
      </c>
      <c r="D25">
        <v>0</v>
      </c>
      <c r="E25">
        <v>0</v>
      </c>
      <c r="F25">
        <v>836</v>
      </c>
      <c r="G25">
        <v>0</v>
      </c>
      <c r="I25">
        <v>25.1</v>
      </c>
      <c r="J25">
        <v>290</v>
      </c>
      <c r="K25">
        <v>290</v>
      </c>
      <c r="L25">
        <v>4785</v>
      </c>
      <c r="M25">
        <v>-145</v>
      </c>
    </row>
    <row r="26" spans="1:13" x14ac:dyDescent="0.2">
      <c r="A26" t="s">
        <v>1013</v>
      </c>
      <c r="B26" t="s">
        <v>971</v>
      </c>
      <c r="C26">
        <v>35.049999999999997</v>
      </c>
      <c r="D26">
        <v>0</v>
      </c>
      <c r="E26">
        <v>0</v>
      </c>
      <c r="F26">
        <v>836</v>
      </c>
      <c r="G26">
        <v>0</v>
      </c>
      <c r="I26">
        <v>22.85</v>
      </c>
      <c r="J26">
        <v>290</v>
      </c>
      <c r="K26">
        <v>290</v>
      </c>
      <c r="L26">
        <v>4785</v>
      </c>
      <c r="M26">
        <v>-145</v>
      </c>
    </row>
    <row r="27" spans="1:13" x14ac:dyDescent="0.2">
      <c r="A27" t="s">
        <v>1014</v>
      </c>
      <c r="B27" t="s">
        <v>971</v>
      </c>
      <c r="C27">
        <v>32.1</v>
      </c>
      <c r="D27">
        <v>0</v>
      </c>
      <c r="E27">
        <v>0</v>
      </c>
      <c r="F27">
        <v>720</v>
      </c>
      <c r="G27">
        <v>0</v>
      </c>
      <c r="I27">
        <v>21.95</v>
      </c>
      <c r="J27">
        <v>290</v>
      </c>
      <c r="K27">
        <v>290</v>
      </c>
      <c r="L27">
        <v>4453</v>
      </c>
      <c r="M27">
        <v>-140</v>
      </c>
    </row>
    <row r="28" spans="1:13" x14ac:dyDescent="0.2">
      <c r="A28" t="s">
        <v>1015</v>
      </c>
      <c r="B28" t="s">
        <v>971</v>
      </c>
      <c r="C28">
        <v>31.5</v>
      </c>
      <c r="D28">
        <v>0</v>
      </c>
      <c r="E28">
        <v>0</v>
      </c>
      <c r="F28">
        <v>987</v>
      </c>
      <c r="G28">
        <v>0</v>
      </c>
      <c r="I28">
        <v>22.1</v>
      </c>
      <c r="J28">
        <v>290</v>
      </c>
      <c r="K28">
        <v>290</v>
      </c>
      <c r="L28">
        <v>5317</v>
      </c>
      <c r="M28">
        <v>-140</v>
      </c>
    </row>
    <row r="29" spans="1:13" x14ac:dyDescent="0.2">
      <c r="A29" t="s">
        <v>1016</v>
      </c>
      <c r="B29" t="s">
        <v>971</v>
      </c>
      <c r="C29">
        <v>31.05</v>
      </c>
      <c r="D29">
        <v>0</v>
      </c>
      <c r="E29">
        <v>0</v>
      </c>
      <c r="F29">
        <v>858</v>
      </c>
      <c r="G29">
        <v>0</v>
      </c>
      <c r="I29">
        <v>23.05</v>
      </c>
      <c r="J29">
        <v>290</v>
      </c>
      <c r="K29">
        <v>290</v>
      </c>
      <c r="L29">
        <v>5152</v>
      </c>
      <c r="M29">
        <v>-140</v>
      </c>
    </row>
    <row r="30" spans="1:13" x14ac:dyDescent="0.2">
      <c r="A30" t="s">
        <v>1017</v>
      </c>
      <c r="B30" t="s">
        <v>971</v>
      </c>
      <c r="C30">
        <v>33.85</v>
      </c>
      <c r="D30">
        <v>0</v>
      </c>
      <c r="E30">
        <v>0</v>
      </c>
      <c r="F30">
        <v>901</v>
      </c>
      <c r="G30">
        <v>0</v>
      </c>
      <c r="I30">
        <v>26.55</v>
      </c>
      <c r="J30">
        <v>290</v>
      </c>
      <c r="K30">
        <v>290</v>
      </c>
      <c r="L30">
        <v>5117</v>
      </c>
      <c r="M30">
        <v>-140</v>
      </c>
    </row>
    <row r="31" spans="1:13" x14ac:dyDescent="0.2">
      <c r="A31" t="s">
        <v>1006</v>
      </c>
      <c r="B31" t="s">
        <v>1018</v>
      </c>
      <c r="C31">
        <v>47.5</v>
      </c>
      <c r="D31">
        <v>0</v>
      </c>
      <c r="E31">
        <v>0</v>
      </c>
      <c r="F31">
        <v>792</v>
      </c>
      <c r="G31">
        <v>0</v>
      </c>
      <c r="I31">
        <v>39.700000000000003</v>
      </c>
      <c r="J31">
        <v>0</v>
      </c>
      <c r="K31">
        <v>0</v>
      </c>
      <c r="L31">
        <v>3491</v>
      </c>
      <c r="M31">
        <v>0</v>
      </c>
    </row>
    <row r="32" spans="1:13" x14ac:dyDescent="0.2">
      <c r="A32" t="s">
        <v>1007</v>
      </c>
      <c r="B32" t="s">
        <v>1018</v>
      </c>
      <c r="C32">
        <v>44.65</v>
      </c>
      <c r="D32">
        <v>0</v>
      </c>
      <c r="E32">
        <v>0</v>
      </c>
      <c r="F32">
        <v>720</v>
      </c>
      <c r="G32">
        <v>0</v>
      </c>
      <c r="I32">
        <v>36.950000000000003</v>
      </c>
      <c r="J32">
        <v>0</v>
      </c>
      <c r="K32">
        <v>0</v>
      </c>
      <c r="L32">
        <v>3491</v>
      </c>
      <c r="M32">
        <v>0</v>
      </c>
    </row>
    <row r="33" spans="1:13" x14ac:dyDescent="0.2">
      <c r="A33" t="s">
        <v>1008</v>
      </c>
      <c r="B33" t="s">
        <v>1018</v>
      </c>
      <c r="C33">
        <v>36.15</v>
      </c>
      <c r="D33">
        <v>0</v>
      </c>
      <c r="E33">
        <v>0</v>
      </c>
      <c r="F33">
        <v>748</v>
      </c>
      <c r="G33">
        <v>0</v>
      </c>
      <c r="I33">
        <v>29</v>
      </c>
      <c r="J33">
        <v>0</v>
      </c>
      <c r="K33">
        <v>0</v>
      </c>
      <c r="L33">
        <v>3570</v>
      </c>
      <c r="M33">
        <v>0</v>
      </c>
    </row>
    <row r="34" spans="1:13" x14ac:dyDescent="0.2">
      <c r="A34" t="s">
        <v>1009</v>
      </c>
      <c r="B34" t="s">
        <v>1018</v>
      </c>
      <c r="C34">
        <v>31.35</v>
      </c>
      <c r="D34">
        <v>0</v>
      </c>
      <c r="E34">
        <v>0</v>
      </c>
      <c r="F34">
        <v>748</v>
      </c>
      <c r="G34">
        <v>0</v>
      </c>
      <c r="I34">
        <v>24.55</v>
      </c>
      <c r="J34">
        <v>0</v>
      </c>
      <c r="K34">
        <v>0</v>
      </c>
      <c r="L34">
        <v>3575</v>
      </c>
      <c r="M34">
        <v>0</v>
      </c>
    </row>
    <row r="35" spans="1:13" x14ac:dyDescent="0.2">
      <c r="A35" t="s">
        <v>1010</v>
      </c>
      <c r="B35" t="s">
        <v>1018</v>
      </c>
      <c r="C35">
        <v>31.05</v>
      </c>
      <c r="D35">
        <v>0</v>
      </c>
      <c r="E35">
        <v>0</v>
      </c>
      <c r="F35">
        <v>680</v>
      </c>
      <c r="G35">
        <v>0</v>
      </c>
      <c r="I35">
        <v>21.55</v>
      </c>
      <c r="J35">
        <v>0</v>
      </c>
      <c r="K35">
        <v>0</v>
      </c>
      <c r="L35">
        <v>3575</v>
      </c>
      <c r="M35">
        <v>0</v>
      </c>
    </row>
    <row r="36" spans="1:13" x14ac:dyDescent="0.2">
      <c r="A36" t="s">
        <v>1011</v>
      </c>
      <c r="B36" t="s">
        <v>1018</v>
      </c>
      <c r="C36">
        <v>31.4</v>
      </c>
      <c r="D36">
        <v>0</v>
      </c>
      <c r="E36">
        <v>0</v>
      </c>
      <c r="F36">
        <v>682</v>
      </c>
      <c r="G36">
        <v>0</v>
      </c>
      <c r="I36">
        <v>21.7</v>
      </c>
      <c r="J36">
        <v>0</v>
      </c>
      <c r="K36">
        <v>0</v>
      </c>
      <c r="L36">
        <v>3600</v>
      </c>
      <c r="M36">
        <v>0</v>
      </c>
    </row>
    <row r="37" spans="1:13" x14ac:dyDescent="0.2">
      <c r="A37" t="s">
        <v>1012</v>
      </c>
      <c r="B37" t="s">
        <v>1018</v>
      </c>
      <c r="C37">
        <v>37.75</v>
      </c>
      <c r="D37">
        <v>0</v>
      </c>
      <c r="E37">
        <v>0</v>
      </c>
      <c r="F37">
        <v>690</v>
      </c>
      <c r="G37">
        <v>0</v>
      </c>
      <c r="I37">
        <v>24.6</v>
      </c>
      <c r="J37">
        <v>0</v>
      </c>
      <c r="K37">
        <v>0</v>
      </c>
      <c r="L37">
        <v>3440</v>
      </c>
      <c r="M37">
        <v>0</v>
      </c>
    </row>
    <row r="38" spans="1:13" x14ac:dyDescent="0.2">
      <c r="A38" t="s">
        <v>1013</v>
      </c>
      <c r="B38" t="s">
        <v>1018</v>
      </c>
      <c r="C38">
        <v>34.5</v>
      </c>
      <c r="D38">
        <v>0</v>
      </c>
      <c r="E38">
        <v>0</v>
      </c>
      <c r="F38">
        <v>630</v>
      </c>
      <c r="G38">
        <v>0</v>
      </c>
      <c r="I38">
        <v>22.5</v>
      </c>
      <c r="J38">
        <v>0</v>
      </c>
      <c r="K38">
        <v>0</v>
      </c>
      <c r="L38">
        <v>3440</v>
      </c>
      <c r="M38">
        <v>0</v>
      </c>
    </row>
    <row r="39" spans="1:13" x14ac:dyDescent="0.2">
      <c r="A39" t="s">
        <v>1014</v>
      </c>
      <c r="B39" t="s">
        <v>1018</v>
      </c>
      <c r="C39">
        <v>30.9</v>
      </c>
      <c r="D39">
        <v>0</v>
      </c>
      <c r="E39">
        <v>0</v>
      </c>
      <c r="F39">
        <v>651</v>
      </c>
      <c r="G39">
        <v>0</v>
      </c>
      <c r="I39">
        <v>21.6</v>
      </c>
      <c r="J39">
        <v>0</v>
      </c>
      <c r="K39">
        <v>0</v>
      </c>
      <c r="L39">
        <v>3410</v>
      </c>
      <c r="M39">
        <v>0</v>
      </c>
    </row>
    <row r="40" spans="1:13" x14ac:dyDescent="0.2">
      <c r="A40" t="s">
        <v>1015</v>
      </c>
      <c r="B40" t="s">
        <v>1018</v>
      </c>
      <c r="C40">
        <v>30.2</v>
      </c>
      <c r="D40">
        <v>0</v>
      </c>
      <c r="E40">
        <v>0</v>
      </c>
      <c r="F40">
        <v>682</v>
      </c>
      <c r="G40">
        <v>0</v>
      </c>
      <c r="I40">
        <v>21.7</v>
      </c>
      <c r="J40">
        <v>0</v>
      </c>
      <c r="K40">
        <v>0</v>
      </c>
      <c r="L40">
        <v>3405</v>
      </c>
      <c r="M40">
        <v>0</v>
      </c>
    </row>
    <row r="41" spans="1:13" x14ac:dyDescent="0.2">
      <c r="A41" t="s">
        <v>1016</v>
      </c>
      <c r="B41" t="s">
        <v>1018</v>
      </c>
      <c r="C41">
        <v>30.2</v>
      </c>
      <c r="D41">
        <v>0</v>
      </c>
      <c r="E41">
        <v>0</v>
      </c>
      <c r="F41">
        <v>620</v>
      </c>
      <c r="G41">
        <v>0</v>
      </c>
      <c r="I41">
        <v>22.25</v>
      </c>
      <c r="J41">
        <v>0</v>
      </c>
      <c r="K41">
        <v>0</v>
      </c>
      <c r="L41">
        <v>3405</v>
      </c>
      <c r="M41">
        <v>0</v>
      </c>
    </row>
    <row r="42" spans="1:13" x14ac:dyDescent="0.2">
      <c r="A42" t="s">
        <v>1017</v>
      </c>
      <c r="B42" t="s">
        <v>1018</v>
      </c>
      <c r="C42">
        <v>33.549999999999997</v>
      </c>
      <c r="D42">
        <v>0</v>
      </c>
      <c r="E42">
        <v>0</v>
      </c>
      <c r="F42">
        <v>682</v>
      </c>
      <c r="G42">
        <v>0</v>
      </c>
      <c r="I42">
        <v>25.65</v>
      </c>
      <c r="J42">
        <v>0</v>
      </c>
      <c r="K42">
        <v>0</v>
      </c>
      <c r="L42">
        <v>3410</v>
      </c>
      <c r="M42">
        <v>0</v>
      </c>
    </row>
    <row r="43" spans="1:13" x14ac:dyDescent="0.2">
      <c r="A43" t="s">
        <v>1006</v>
      </c>
      <c r="B43" t="s">
        <v>1429</v>
      </c>
      <c r="C43">
        <v>46.3</v>
      </c>
      <c r="D43">
        <v>0</v>
      </c>
      <c r="E43">
        <v>0</v>
      </c>
      <c r="F43">
        <v>160</v>
      </c>
      <c r="G43">
        <v>0</v>
      </c>
      <c r="I43">
        <v>37.65</v>
      </c>
      <c r="J43">
        <v>0</v>
      </c>
      <c r="K43">
        <v>0</v>
      </c>
      <c r="L43">
        <v>757</v>
      </c>
      <c r="M43">
        <v>0</v>
      </c>
    </row>
    <row r="44" spans="1:13" x14ac:dyDescent="0.2">
      <c r="A44" t="s">
        <v>1007</v>
      </c>
      <c r="B44" t="s">
        <v>1429</v>
      </c>
      <c r="C44">
        <v>43.5</v>
      </c>
      <c r="D44">
        <v>0</v>
      </c>
      <c r="E44">
        <v>0</v>
      </c>
      <c r="F44">
        <v>160</v>
      </c>
      <c r="G44">
        <v>0</v>
      </c>
      <c r="I44">
        <v>34.950000000000003</v>
      </c>
      <c r="J44">
        <v>0</v>
      </c>
      <c r="K44">
        <v>0</v>
      </c>
      <c r="L44">
        <v>757</v>
      </c>
      <c r="M44">
        <v>0</v>
      </c>
    </row>
    <row r="45" spans="1:13" x14ac:dyDescent="0.2">
      <c r="A45" t="s">
        <v>1008</v>
      </c>
      <c r="B45" t="s">
        <v>1429</v>
      </c>
      <c r="C45">
        <v>35.5</v>
      </c>
      <c r="D45">
        <v>0</v>
      </c>
      <c r="E45">
        <v>0</v>
      </c>
      <c r="F45">
        <v>207</v>
      </c>
      <c r="G45">
        <v>0</v>
      </c>
      <c r="I45">
        <v>28.3</v>
      </c>
      <c r="J45">
        <v>0</v>
      </c>
      <c r="K45">
        <v>0</v>
      </c>
      <c r="L45">
        <v>737</v>
      </c>
      <c r="M45">
        <v>0</v>
      </c>
    </row>
    <row r="46" spans="1:13" x14ac:dyDescent="0.2">
      <c r="A46" t="s">
        <v>1009</v>
      </c>
      <c r="B46" t="s">
        <v>1429</v>
      </c>
      <c r="C46">
        <v>30.85</v>
      </c>
      <c r="D46">
        <v>0</v>
      </c>
      <c r="E46">
        <v>0</v>
      </c>
      <c r="F46">
        <v>198</v>
      </c>
      <c r="G46">
        <v>0</v>
      </c>
      <c r="I46">
        <v>23.8</v>
      </c>
      <c r="J46">
        <v>0</v>
      </c>
      <c r="K46">
        <v>0</v>
      </c>
      <c r="L46">
        <v>732</v>
      </c>
      <c r="M46">
        <v>0</v>
      </c>
    </row>
    <row r="47" spans="1:13" x14ac:dyDescent="0.2">
      <c r="A47" t="s">
        <v>1010</v>
      </c>
      <c r="B47" t="s">
        <v>1429</v>
      </c>
      <c r="C47">
        <v>30.75</v>
      </c>
      <c r="D47">
        <v>0</v>
      </c>
      <c r="E47">
        <v>0</v>
      </c>
      <c r="F47">
        <v>180</v>
      </c>
      <c r="G47">
        <v>0</v>
      </c>
      <c r="I47">
        <v>21</v>
      </c>
      <c r="J47">
        <v>0</v>
      </c>
      <c r="K47">
        <v>0</v>
      </c>
      <c r="L47">
        <v>737</v>
      </c>
      <c r="M47">
        <v>0</v>
      </c>
    </row>
    <row r="48" spans="1:13" x14ac:dyDescent="0.2">
      <c r="A48" t="s">
        <v>1011</v>
      </c>
      <c r="B48" t="s">
        <v>1429</v>
      </c>
      <c r="C48">
        <v>30.95</v>
      </c>
      <c r="D48">
        <v>0</v>
      </c>
      <c r="E48">
        <v>0</v>
      </c>
      <c r="F48">
        <v>198</v>
      </c>
      <c r="G48">
        <v>0</v>
      </c>
      <c r="I48">
        <v>21.2</v>
      </c>
      <c r="J48">
        <v>0</v>
      </c>
      <c r="K48">
        <v>0</v>
      </c>
      <c r="L48">
        <v>717</v>
      </c>
      <c r="M48">
        <v>0</v>
      </c>
    </row>
    <row r="49" spans="1:13" x14ac:dyDescent="0.2">
      <c r="A49" t="s">
        <v>1012</v>
      </c>
      <c r="B49" t="s">
        <v>1429</v>
      </c>
      <c r="C49">
        <v>36.85</v>
      </c>
      <c r="D49">
        <v>0</v>
      </c>
      <c r="E49">
        <v>0</v>
      </c>
      <c r="F49">
        <v>210</v>
      </c>
      <c r="G49">
        <v>0</v>
      </c>
      <c r="I49">
        <v>23.9</v>
      </c>
      <c r="J49">
        <v>0</v>
      </c>
      <c r="K49">
        <v>0</v>
      </c>
      <c r="L49">
        <v>717</v>
      </c>
      <c r="M49">
        <v>0</v>
      </c>
    </row>
    <row r="50" spans="1:13" x14ac:dyDescent="0.2">
      <c r="A50" t="s">
        <v>1013</v>
      </c>
      <c r="B50" t="s">
        <v>1429</v>
      </c>
      <c r="C50">
        <v>33.65</v>
      </c>
      <c r="D50">
        <v>0</v>
      </c>
      <c r="E50">
        <v>0</v>
      </c>
      <c r="F50">
        <v>220</v>
      </c>
      <c r="G50">
        <v>0</v>
      </c>
      <c r="I50">
        <v>21.8</v>
      </c>
      <c r="J50">
        <v>0</v>
      </c>
      <c r="K50">
        <v>0</v>
      </c>
      <c r="L50">
        <v>717</v>
      </c>
      <c r="M50">
        <v>0</v>
      </c>
    </row>
    <row r="51" spans="1:13" x14ac:dyDescent="0.2">
      <c r="A51" t="s">
        <v>1014</v>
      </c>
      <c r="B51" t="s">
        <v>1429</v>
      </c>
      <c r="C51">
        <v>30.55</v>
      </c>
      <c r="D51">
        <v>0</v>
      </c>
      <c r="E51">
        <v>0</v>
      </c>
      <c r="F51">
        <v>189</v>
      </c>
      <c r="G51">
        <v>0</v>
      </c>
      <c r="I51">
        <v>21.3</v>
      </c>
      <c r="J51">
        <v>0</v>
      </c>
      <c r="K51">
        <v>0</v>
      </c>
      <c r="L51">
        <v>717</v>
      </c>
      <c r="M51">
        <v>0</v>
      </c>
    </row>
    <row r="52" spans="1:13" x14ac:dyDescent="0.2">
      <c r="A52" t="s">
        <v>1015</v>
      </c>
      <c r="B52" t="s">
        <v>1429</v>
      </c>
      <c r="C52">
        <v>29.1</v>
      </c>
      <c r="D52">
        <v>0</v>
      </c>
      <c r="E52">
        <v>0</v>
      </c>
      <c r="F52">
        <v>189</v>
      </c>
      <c r="G52">
        <v>0</v>
      </c>
      <c r="I52">
        <v>21.35</v>
      </c>
      <c r="J52">
        <v>0</v>
      </c>
      <c r="K52">
        <v>0</v>
      </c>
      <c r="L52">
        <v>742</v>
      </c>
      <c r="M52">
        <v>0</v>
      </c>
    </row>
    <row r="53" spans="1:13" x14ac:dyDescent="0.2">
      <c r="A53" t="s">
        <v>1016</v>
      </c>
      <c r="B53" t="s">
        <v>1429</v>
      </c>
      <c r="C53">
        <v>29.1</v>
      </c>
      <c r="D53">
        <v>0</v>
      </c>
      <c r="E53">
        <v>0</v>
      </c>
      <c r="F53">
        <v>189</v>
      </c>
      <c r="G53">
        <v>0</v>
      </c>
      <c r="I53">
        <v>21.6</v>
      </c>
      <c r="J53">
        <v>0</v>
      </c>
      <c r="K53">
        <v>0</v>
      </c>
      <c r="L53">
        <v>742</v>
      </c>
      <c r="M53">
        <v>0</v>
      </c>
    </row>
    <row r="54" spans="1:13" x14ac:dyDescent="0.2">
      <c r="A54" t="s">
        <v>1017</v>
      </c>
      <c r="B54" t="s">
        <v>1429</v>
      </c>
      <c r="C54">
        <v>32.4</v>
      </c>
      <c r="D54">
        <v>0</v>
      </c>
      <c r="E54">
        <v>0</v>
      </c>
      <c r="F54">
        <v>207</v>
      </c>
      <c r="G54">
        <v>0</v>
      </c>
      <c r="I54">
        <v>24.9</v>
      </c>
      <c r="J54">
        <v>0</v>
      </c>
      <c r="K54">
        <v>0</v>
      </c>
      <c r="L54">
        <v>742</v>
      </c>
      <c r="M54">
        <v>0</v>
      </c>
    </row>
    <row r="55" spans="1:13" x14ac:dyDescent="0.2">
      <c r="A55" t="s">
        <v>1006</v>
      </c>
      <c r="B55" t="s">
        <v>1535</v>
      </c>
      <c r="C55">
        <v>47.65</v>
      </c>
      <c r="D55">
        <v>0</v>
      </c>
      <c r="E55">
        <v>0</v>
      </c>
      <c r="F55">
        <v>42</v>
      </c>
      <c r="G55">
        <v>0</v>
      </c>
      <c r="I55">
        <v>37.6</v>
      </c>
      <c r="J55">
        <v>0</v>
      </c>
      <c r="K55">
        <v>0</v>
      </c>
      <c r="L55">
        <v>710</v>
      </c>
      <c r="M55">
        <v>0</v>
      </c>
    </row>
    <row r="56" spans="1:13" x14ac:dyDescent="0.2">
      <c r="A56" t="s">
        <v>1007</v>
      </c>
      <c r="B56" t="s">
        <v>1535</v>
      </c>
      <c r="C56">
        <v>44.5</v>
      </c>
      <c r="D56">
        <v>0</v>
      </c>
      <c r="E56">
        <v>0</v>
      </c>
      <c r="F56">
        <v>40</v>
      </c>
      <c r="G56">
        <v>0</v>
      </c>
      <c r="I56">
        <v>34.9</v>
      </c>
      <c r="J56">
        <v>0</v>
      </c>
      <c r="K56">
        <v>0</v>
      </c>
      <c r="L56">
        <v>710</v>
      </c>
      <c r="M56">
        <v>0</v>
      </c>
    </row>
    <row r="57" spans="1:13" x14ac:dyDescent="0.2">
      <c r="A57" t="s">
        <v>1008</v>
      </c>
      <c r="B57" t="s">
        <v>1535</v>
      </c>
      <c r="C57">
        <v>34.85</v>
      </c>
      <c r="D57">
        <v>0</v>
      </c>
      <c r="E57">
        <v>0</v>
      </c>
      <c r="F57">
        <v>46</v>
      </c>
      <c r="G57">
        <v>0</v>
      </c>
      <c r="I57">
        <v>28.15</v>
      </c>
      <c r="J57">
        <v>0</v>
      </c>
      <c r="K57">
        <v>0</v>
      </c>
      <c r="L57">
        <v>710</v>
      </c>
      <c r="M57">
        <v>0</v>
      </c>
    </row>
    <row r="58" spans="1:13" x14ac:dyDescent="0.2">
      <c r="A58" t="s">
        <v>1009</v>
      </c>
      <c r="B58" t="s">
        <v>1535</v>
      </c>
      <c r="C58">
        <v>30.55</v>
      </c>
      <c r="D58">
        <v>0</v>
      </c>
      <c r="E58">
        <v>0</v>
      </c>
      <c r="F58">
        <v>42</v>
      </c>
      <c r="G58">
        <v>0</v>
      </c>
      <c r="I58">
        <v>23.7</v>
      </c>
      <c r="J58">
        <v>0</v>
      </c>
      <c r="K58">
        <v>0</v>
      </c>
      <c r="L58">
        <v>710</v>
      </c>
      <c r="M58">
        <v>0</v>
      </c>
    </row>
    <row r="59" spans="1:13" x14ac:dyDescent="0.2">
      <c r="A59" t="s">
        <v>1010</v>
      </c>
      <c r="B59" t="s">
        <v>1535</v>
      </c>
      <c r="C59">
        <v>29.75</v>
      </c>
      <c r="D59">
        <v>0</v>
      </c>
      <c r="E59">
        <v>0</v>
      </c>
      <c r="F59">
        <v>42</v>
      </c>
      <c r="G59">
        <v>0</v>
      </c>
      <c r="I59">
        <v>20.85</v>
      </c>
      <c r="J59">
        <v>0</v>
      </c>
      <c r="K59">
        <v>0</v>
      </c>
      <c r="L59">
        <v>710</v>
      </c>
      <c r="M59">
        <v>0</v>
      </c>
    </row>
    <row r="60" spans="1:13" x14ac:dyDescent="0.2">
      <c r="A60" t="s">
        <v>1011</v>
      </c>
      <c r="B60" t="s">
        <v>1535</v>
      </c>
      <c r="C60">
        <v>30.45</v>
      </c>
      <c r="D60">
        <v>0</v>
      </c>
      <c r="E60">
        <v>0</v>
      </c>
      <c r="F60">
        <v>44</v>
      </c>
      <c r="G60">
        <v>0</v>
      </c>
      <c r="I60">
        <v>20.85</v>
      </c>
      <c r="J60">
        <v>0</v>
      </c>
      <c r="K60">
        <v>0</v>
      </c>
      <c r="L60">
        <v>735</v>
      </c>
      <c r="M60">
        <v>0</v>
      </c>
    </row>
    <row r="61" spans="1:13" x14ac:dyDescent="0.2">
      <c r="A61" t="s">
        <v>1012</v>
      </c>
      <c r="B61" t="s">
        <v>1535</v>
      </c>
      <c r="C61">
        <v>36.4</v>
      </c>
      <c r="D61">
        <v>0</v>
      </c>
      <c r="E61">
        <v>0</v>
      </c>
      <c r="F61">
        <v>40</v>
      </c>
      <c r="G61">
        <v>0</v>
      </c>
      <c r="I61">
        <v>23.75</v>
      </c>
      <c r="J61">
        <v>0</v>
      </c>
      <c r="K61">
        <v>0</v>
      </c>
      <c r="L61">
        <v>735</v>
      </c>
      <c r="M61">
        <v>0</v>
      </c>
    </row>
    <row r="62" spans="1:13" x14ac:dyDescent="0.2">
      <c r="A62" t="s">
        <v>1013</v>
      </c>
      <c r="B62" t="s">
        <v>1535</v>
      </c>
      <c r="C62">
        <v>33.15</v>
      </c>
      <c r="D62">
        <v>0</v>
      </c>
      <c r="E62">
        <v>0</v>
      </c>
      <c r="F62">
        <v>46</v>
      </c>
      <c r="G62">
        <v>0</v>
      </c>
      <c r="I62">
        <v>21.7</v>
      </c>
      <c r="J62">
        <v>0</v>
      </c>
      <c r="K62">
        <v>0</v>
      </c>
      <c r="L62">
        <v>735</v>
      </c>
      <c r="M62">
        <v>0</v>
      </c>
    </row>
    <row r="63" spans="1:13" x14ac:dyDescent="0.2">
      <c r="A63" t="s">
        <v>1014</v>
      </c>
      <c r="B63" t="s">
        <v>1535</v>
      </c>
      <c r="C63">
        <v>30.2</v>
      </c>
      <c r="D63">
        <v>0</v>
      </c>
      <c r="E63">
        <v>0</v>
      </c>
      <c r="F63">
        <v>42</v>
      </c>
      <c r="G63">
        <v>0</v>
      </c>
      <c r="I63">
        <v>21.15</v>
      </c>
      <c r="J63">
        <v>0</v>
      </c>
      <c r="K63">
        <v>0</v>
      </c>
      <c r="L63">
        <v>685</v>
      </c>
      <c r="M63">
        <v>0</v>
      </c>
    </row>
    <row r="64" spans="1:13" x14ac:dyDescent="0.2">
      <c r="A64" t="s">
        <v>1015</v>
      </c>
      <c r="B64" t="s">
        <v>1535</v>
      </c>
      <c r="C64">
        <v>28.8</v>
      </c>
      <c r="D64">
        <v>0</v>
      </c>
      <c r="E64">
        <v>0</v>
      </c>
      <c r="F64">
        <v>42</v>
      </c>
      <c r="G64">
        <v>0</v>
      </c>
      <c r="I64">
        <v>21.25</v>
      </c>
      <c r="J64">
        <v>0</v>
      </c>
      <c r="K64">
        <v>0</v>
      </c>
      <c r="L64">
        <v>685</v>
      </c>
      <c r="M64">
        <v>0</v>
      </c>
    </row>
    <row r="65" spans="1:13" x14ac:dyDescent="0.2">
      <c r="A65" t="s">
        <v>1016</v>
      </c>
      <c r="B65" t="s">
        <v>1535</v>
      </c>
      <c r="C65">
        <v>28.85</v>
      </c>
      <c r="D65">
        <v>0</v>
      </c>
      <c r="E65">
        <v>0</v>
      </c>
      <c r="F65">
        <v>42</v>
      </c>
      <c r="G65">
        <v>0</v>
      </c>
      <c r="I65">
        <v>21.5</v>
      </c>
      <c r="J65">
        <v>0</v>
      </c>
      <c r="K65">
        <v>0</v>
      </c>
      <c r="L65">
        <v>685</v>
      </c>
      <c r="M65">
        <v>0</v>
      </c>
    </row>
    <row r="66" spans="1:13" x14ac:dyDescent="0.2">
      <c r="A66" t="s">
        <v>1017</v>
      </c>
      <c r="B66" t="s">
        <v>1535</v>
      </c>
      <c r="C66">
        <v>32.049999999999997</v>
      </c>
      <c r="D66">
        <v>0</v>
      </c>
      <c r="E66">
        <v>0</v>
      </c>
      <c r="F66">
        <v>42</v>
      </c>
      <c r="G66">
        <v>0</v>
      </c>
      <c r="I66">
        <v>24.8</v>
      </c>
      <c r="J66">
        <v>0</v>
      </c>
      <c r="K66">
        <v>0</v>
      </c>
      <c r="L66">
        <v>685</v>
      </c>
      <c r="M66">
        <v>0</v>
      </c>
    </row>
    <row r="67" spans="1:13" x14ac:dyDescent="0.2">
      <c r="A67" t="s">
        <v>1006</v>
      </c>
      <c r="B67" t="s">
        <v>1536</v>
      </c>
      <c r="C67">
        <v>47.55</v>
      </c>
      <c r="D67">
        <v>0</v>
      </c>
      <c r="E67">
        <v>0</v>
      </c>
      <c r="F67">
        <v>0</v>
      </c>
      <c r="G67">
        <v>0</v>
      </c>
      <c r="I67">
        <v>37.65</v>
      </c>
      <c r="J67">
        <v>0</v>
      </c>
      <c r="K67">
        <v>0</v>
      </c>
      <c r="L67">
        <v>35</v>
      </c>
      <c r="M67">
        <v>0</v>
      </c>
    </row>
    <row r="68" spans="1:13" x14ac:dyDescent="0.2">
      <c r="A68" t="s">
        <v>1007</v>
      </c>
      <c r="B68" t="s">
        <v>1536</v>
      </c>
      <c r="C68">
        <v>44.2</v>
      </c>
      <c r="D68">
        <v>0</v>
      </c>
      <c r="E68">
        <v>0</v>
      </c>
      <c r="F68">
        <v>0</v>
      </c>
      <c r="G68">
        <v>0</v>
      </c>
      <c r="I68">
        <v>34.950000000000003</v>
      </c>
      <c r="J68">
        <v>0</v>
      </c>
      <c r="K68">
        <v>0</v>
      </c>
      <c r="L68">
        <v>35</v>
      </c>
      <c r="M68">
        <v>0</v>
      </c>
    </row>
    <row r="69" spans="1:13" x14ac:dyDescent="0.2">
      <c r="A69" t="s">
        <v>1008</v>
      </c>
      <c r="B69" t="s">
        <v>1536</v>
      </c>
      <c r="C69">
        <v>35</v>
      </c>
      <c r="D69">
        <v>0</v>
      </c>
      <c r="E69">
        <v>0</v>
      </c>
      <c r="F69">
        <v>0</v>
      </c>
      <c r="G69">
        <v>0</v>
      </c>
      <c r="I69">
        <v>28.25</v>
      </c>
      <c r="J69">
        <v>0</v>
      </c>
      <c r="K69">
        <v>0</v>
      </c>
      <c r="L69">
        <v>35</v>
      </c>
      <c r="M69">
        <v>0</v>
      </c>
    </row>
    <row r="70" spans="1:13" x14ac:dyDescent="0.2">
      <c r="A70" t="s">
        <v>1009</v>
      </c>
      <c r="B70" t="s">
        <v>1536</v>
      </c>
      <c r="C70">
        <v>30.6</v>
      </c>
      <c r="D70">
        <v>0</v>
      </c>
      <c r="E70">
        <v>0</v>
      </c>
      <c r="F70">
        <v>0</v>
      </c>
      <c r="G70">
        <v>0</v>
      </c>
      <c r="I70">
        <v>23.8</v>
      </c>
      <c r="J70">
        <v>0</v>
      </c>
      <c r="K70">
        <v>0</v>
      </c>
      <c r="L70">
        <v>35</v>
      </c>
      <c r="M70">
        <v>0</v>
      </c>
    </row>
    <row r="71" spans="1:13" x14ac:dyDescent="0.2">
      <c r="A71" t="s">
        <v>1010</v>
      </c>
      <c r="B71" t="s">
        <v>1536</v>
      </c>
      <c r="C71">
        <v>30.2</v>
      </c>
      <c r="D71">
        <v>0</v>
      </c>
      <c r="E71">
        <v>0</v>
      </c>
      <c r="F71">
        <v>0</v>
      </c>
      <c r="G71">
        <v>0</v>
      </c>
      <c r="I71">
        <v>20.65</v>
      </c>
      <c r="J71">
        <v>0</v>
      </c>
      <c r="K71">
        <v>0</v>
      </c>
      <c r="L71">
        <v>35</v>
      </c>
      <c r="M71">
        <v>0</v>
      </c>
    </row>
    <row r="72" spans="1:13" x14ac:dyDescent="0.2">
      <c r="A72" t="s">
        <v>1011</v>
      </c>
      <c r="B72" t="s">
        <v>1536</v>
      </c>
      <c r="C72">
        <v>30.85</v>
      </c>
      <c r="D72">
        <v>0</v>
      </c>
      <c r="E72">
        <v>0</v>
      </c>
      <c r="F72">
        <v>0</v>
      </c>
      <c r="G72">
        <v>0</v>
      </c>
      <c r="I72">
        <v>21.35</v>
      </c>
      <c r="J72">
        <v>0</v>
      </c>
      <c r="K72">
        <v>0</v>
      </c>
      <c r="L72">
        <v>35</v>
      </c>
      <c r="M72">
        <v>0</v>
      </c>
    </row>
    <row r="73" spans="1:13" x14ac:dyDescent="0.2">
      <c r="A73" t="s">
        <v>1012</v>
      </c>
      <c r="B73" t="s">
        <v>1536</v>
      </c>
      <c r="C73">
        <v>36.450000000000003</v>
      </c>
      <c r="D73">
        <v>0</v>
      </c>
      <c r="E73">
        <v>0</v>
      </c>
      <c r="F73">
        <v>0</v>
      </c>
      <c r="G73">
        <v>0</v>
      </c>
      <c r="I73">
        <v>23.9</v>
      </c>
      <c r="J73">
        <v>0</v>
      </c>
      <c r="K73">
        <v>0</v>
      </c>
      <c r="L73">
        <v>35</v>
      </c>
      <c r="M73">
        <v>0</v>
      </c>
    </row>
    <row r="74" spans="1:13" x14ac:dyDescent="0.2">
      <c r="A74" t="s">
        <v>1013</v>
      </c>
      <c r="B74" t="s">
        <v>1536</v>
      </c>
      <c r="C74">
        <v>33.1</v>
      </c>
      <c r="D74">
        <v>0</v>
      </c>
      <c r="E74">
        <v>0</v>
      </c>
      <c r="F74">
        <v>0</v>
      </c>
      <c r="G74">
        <v>0</v>
      </c>
      <c r="I74">
        <v>21.75</v>
      </c>
      <c r="J74">
        <v>0</v>
      </c>
      <c r="K74">
        <v>0</v>
      </c>
      <c r="L74">
        <v>35</v>
      </c>
      <c r="M74">
        <v>0</v>
      </c>
    </row>
    <row r="75" spans="1:13" x14ac:dyDescent="0.2">
      <c r="A75" t="s">
        <v>1014</v>
      </c>
      <c r="B75" t="s">
        <v>1536</v>
      </c>
      <c r="C75">
        <v>30.2</v>
      </c>
      <c r="D75">
        <v>0</v>
      </c>
      <c r="E75">
        <v>0</v>
      </c>
      <c r="F75">
        <v>0</v>
      </c>
      <c r="G75">
        <v>0</v>
      </c>
      <c r="I75">
        <v>21.1</v>
      </c>
      <c r="J75">
        <v>0</v>
      </c>
      <c r="K75">
        <v>0</v>
      </c>
      <c r="L75">
        <v>35</v>
      </c>
      <c r="M75">
        <v>0</v>
      </c>
    </row>
    <row r="76" spans="1:13" x14ac:dyDescent="0.2">
      <c r="A76" t="s">
        <v>1015</v>
      </c>
      <c r="B76" t="s">
        <v>1536</v>
      </c>
      <c r="C76">
        <v>28.8</v>
      </c>
      <c r="D76">
        <v>0</v>
      </c>
      <c r="E76">
        <v>0</v>
      </c>
      <c r="F76">
        <v>0</v>
      </c>
      <c r="G76">
        <v>0</v>
      </c>
      <c r="I76">
        <v>21.3</v>
      </c>
      <c r="J76">
        <v>0</v>
      </c>
      <c r="K76">
        <v>0</v>
      </c>
      <c r="L76">
        <v>35</v>
      </c>
      <c r="M76">
        <v>0</v>
      </c>
    </row>
    <row r="77" spans="1:13" x14ac:dyDescent="0.2">
      <c r="A77" t="s">
        <v>1016</v>
      </c>
      <c r="B77" t="s">
        <v>1536</v>
      </c>
      <c r="C77">
        <v>28.85</v>
      </c>
      <c r="D77">
        <v>0</v>
      </c>
      <c r="E77">
        <v>0</v>
      </c>
      <c r="F77">
        <v>0</v>
      </c>
      <c r="G77">
        <v>0</v>
      </c>
      <c r="I77">
        <v>21.55</v>
      </c>
      <c r="J77">
        <v>0</v>
      </c>
      <c r="K77">
        <v>0</v>
      </c>
      <c r="L77">
        <v>35</v>
      </c>
      <c r="M77">
        <v>0</v>
      </c>
    </row>
    <row r="78" spans="1:13" x14ac:dyDescent="0.2">
      <c r="A78" t="s">
        <v>1017</v>
      </c>
      <c r="B78" t="s">
        <v>1536</v>
      </c>
      <c r="C78">
        <v>32.15</v>
      </c>
      <c r="D78">
        <v>0</v>
      </c>
      <c r="E78">
        <v>0</v>
      </c>
      <c r="F78">
        <v>0</v>
      </c>
      <c r="G78">
        <v>0</v>
      </c>
      <c r="I78">
        <v>24.85</v>
      </c>
      <c r="J78">
        <v>0</v>
      </c>
      <c r="K78">
        <v>0</v>
      </c>
      <c r="L78">
        <v>35</v>
      </c>
      <c r="M78">
        <v>0</v>
      </c>
    </row>
    <row r="79" spans="1:13" x14ac:dyDescent="0.2">
      <c r="A79" t="s">
        <v>1006</v>
      </c>
      <c r="B79" t="s">
        <v>1537</v>
      </c>
      <c r="C79">
        <v>48.15</v>
      </c>
      <c r="D79">
        <v>0</v>
      </c>
      <c r="E79">
        <v>0</v>
      </c>
      <c r="F79">
        <v>22</v>
      </c>
      <c r="G79">
        <v>0</v>
      </c>
      <c r="I79">
        <v>38.299999999999997</v>
      </c>
      <c r="J79">
        <v>0</v>
      </c>
      <c r="K79">
        <v>0</v>
      </c>
      <c r="L79">
        <v>146</v>
      </c>
      <c r="M79">
        <v>0</v>
      </c>
    </row>
    <row r="80" spans="1:13" x14ac:dyDescent="0.2">
      <c r="A80" t="s">
        <v>1007</v>
      </c>
      <c r="B80" t="s">
        <v>1537</v>
      </c>
      <c r="C80">
        <v>44.8</v>
      </c>
      <c r="D80">
        <v>0</v>
      </c>
      <c r="E80">
        <v>0</v>
      </c>
      <c r="F80">
        <v>21</v>
      </c>
      <c r="G80">
        <v>0</v>
      </c>
      <c r="I80">
        <v>35.450000000000003</v>
      </c>
      <c r="J80">
        <v>0</v>
      </c>
      <c r="K80">
        <v>0</v>
      </c>
      <c r="L80">
        <v>146</v>
      </c>
      <c r="M80">
        <v>0</v>
      </c>
    </row>
    <row r="81" spans="1:13" x14ac:dyDescent="0.2">
      <c r="A81" t="s">
        <v>1008</v>
      </c>
      <c r="B81" t="s">
        <v>1537</v>
      </c>
      <c r="C81">
        <v>35.549999999999997</v>
      </c>
      <c r="D81">
        <v>0</v>
      </c>
      <c r="E81">
        <v>0</v>
      </c>
      <c r="F81">
        <v>21</v>
      </c>
      <c r="G81">
        <v>0</v>
      </c>
      <c r="I81">
        <v>28.7</v>
      </c>
      <c r="J81">
        <v>0</v>
      </c>
      <c r="K81">
        <v>0</v>
      </c>
      <c r="L81">
        <v>146</v>
      </c>
      <c r="M81">
        <v>0</v>
      </c>
    </row>
    <row r="82" spans="1:13" x14ac:dyDescent="0.2">
      <c r="A82" t="s">
        <v>1009</v>
      </c>
      <c r="B82" t="s">
        <v>1537</v>
      </c>
      <c r="C82">
        <v>31.1</v>
      </c>
      <c r="D82">
        <v>0</v>
      </c>
      <c r="E82">
        <v>0</v>
      </c>
      <c r="F82">
        <v>22</v>
      </c>
      <c r="G82">
        <v>0</v>
      </c>
      <c r="I82">
        <v>24.15</v>
      </c>
      <c r="J82">
        <v>0</v>
      </c>
      <c r="K82">
        <v>0</v>
      </c>
      <c r="L82">
        <v>146</v>
      </c>
      <c r="M82">
        <v>0</v>
      </c>
    </row>
    <row r="83" spans="1:13" x14ac:dyDescent="0.2">
      <c r="A83" t="s">
        <v>1010</v>
      </c>
      <c r="B83" t="s">
        <v>1537</v>
      </c>
      <c r="C83">
        <v>30.65</v>
      </c>
      <c r="D83">
        <v>0</v>
      </c>
      <c r="E83">
        <v>0</v>
      </c>
      <c r="F83">
        <v>22</v>
      </c>
      <c r="G83">
        <v>0</v>
      </c>
      <c r="I83">
        <v>21.15</v>
      </c>
      <c r="J83">
        <v>0</v>
      </c>
      <c r="K83">
        <v>0</v>
      </c>
      <c r="L83">
        <v>146</v>
      </c>
      <c r="M83">
        <v>0</v>
      </c>
    </row>
    <row r="84" spans="1:13" x14ac:dyDescent="0.2">
      <c r="A84" t="s">
        <v>1011</v>
      </c>
      <c r="B84" t="s">
        <v>1537</v>
      </c>
      <c r="C84">
        <v>31.4</v>
      </c>
      <c r="D84">
        <v>0</v>
      </c>
      <c r="E84">
        <v>0</v>
      </c>
      <c r="F84">
        <v>20</v>
      </c>
      <c r="G84">
        <v>0</v>
      </c>
      <c r="I84">
        <v>21.45</v>
      </c>
      <c r="J84">
        <v>0</v>
      </c>
      <c r="K84">
        <v>0</v>
      </c>
      <c r="L84">
        <v>146</v>
      </c>
      <c r="M84">
        <v>0</v>
      </c>
    </row>
    <row r="85" spans="1:13" x14ac:dyDescent="0.2">
      <c r="A85" t="s">
        <v>1012</v>
      </c>
      <c r="B85" t="s">
        <v>1537</v>
      </c>
      <c r="C85">
        <v>36.450000000000003</v>
      </c>
      <c r="D85">
        <v>0</v>
      </c>
      <c r="E85">
        <v>0</v>
      </c>
      <c r="F85">
        <v>22</v>
      </c>
      <c r="G85">
        <v>0</v>
      </c>
      <c r="I85">
        <v>24.25</v>
      </c>
      <c r="J85">
        <v>0</v>
      </c>
      <c r="K85">
        <v>0</v>
      </c>
      <c r="L85">
        <v>146</v>
      </c>
      <c r="M85">
        <v>0</v>
      </c>
    </row>
    <row r="86" spans="1:13" x14ac:dyDescent="0.2">
      <c r="A86" t="s">
        <v>1013</v>
      </c>
      <c r="B86" t="s">
        <v>1537</v>
      </c>
      <c r="C86">
        <v>33.75</v>
      </c>
      <c r="D86">
        <v>0</v>
      </c>
      <c r="E86">
        <v>0</v>
      </c>
      <c r="F86">
        <v>22</v>
      </c>
      <c r="G86">
        <v>0</v>
      </c>
      <c r="I86">
        <v>22.15</v>
      </c>
      <c r="J86">
        <v>0</v>
      </c>
      <c r="K86">
        <v>0</v>
      </c>
      <c r="L86">
        <v>146</v>
      </c>
      <c r="M86">
        <v>0</v>
      </c>
    </row>
    <row r="87" spans="1:13" x14ac:dyDescent="0.2">
      <c r="A87" t="s">
        <v>1014</v>
      </c>
      <c r="B87" t="s">
        <v>1537</v>
      </c>
      <c r="C87">
        <v>30.7</v>
      </c>
      <c r="D87">
        <v>0</v>
      </c>
      <c r="E87">
        <v>0</v>
      </c>
      <c r="F87">
        <v>20</v>
      </c>
      <c r="G87">
        <v>0</v>
      </c>
      <c r="H87" s="40"/>
      <c r="I87">
        <v>21.3</v>
      </c>
      <c r="J87">
        <v>0</v>
      </c>
      <c r="K87">
        <v>0</v>
      </c>
      <c r="L87">
        <v>146</v>
      </c>
      <c r="M87">
        <v>0</v>
      </c>
    </row>
    <row r="88" spans="1:13" x14ac:dyDescent="0.2">
      <c r="A88" t="s">
        <v>1015</v>
      </c>
      <c r="B88" t="s">
        <v>1537</v>
      </c>
      <c r="C88">
        <v>29.45</v>
      </c>
      <c r="D88">
        <v>0</v>
      </c>
      <c r="E88">
        <v>0</v>
      </c>
      <c r="F88">
        <v>23</v>
      </c>
      <c r="G88">
        <v>0</v>
      </c>
      <c r="H88" s="40"/>
      <c r="I88">
        <v>21.7</v>
      </c>
      <c r="J88">
        <v>0</v>
      </c>
      <c r="K88">
        <v>0</v>
      </c>
      <c r="L88">
        <v>146</v>
      </c>
      <c r="M88">
        <v>0</v>
      </c>
    </row>
    <row r="89" spans="1:13" x14ac:dyDescent="0.2">
      <c r="A89" t="s">
        <v>1016</v>
      </c>
      <c r="B89" t="s">
        <v>1537</v>
      </c>
      <c r="C89">
        <v>29.45</v>
      </c>
      <c r="D89">
        <v>0</v>
      </c>
      <c r="E89">
        <v>0</v>
      </c>
      <c r="F89">
        <v>20</v>
      </c>
      <c r="G89">
        <v>0</v>
      </c>
      <c r="H89" s="40"/>
      <c r="I89">
        <v>21.95</v>
      </c>
      <c r="J89">
        <v>0</v>
      </c>
      <c r="K89">
        <v>0</v>
      </c>
      <c r="L89">
        <v>146</v>
      </c>
      <c r="M89">
        <v>0</v>
      </c>
    </row>
    <row r="90" spans="1:13" x14ac:dyDescent="0.2">
      <c r="A90" t="s">
        <v>1017</v>
      </c>
      <c r="B90" t="s">
        <v>1537</v>
      </c>
      <c r="C90">
        <v>32.6</v>
      </c>
      <c r="D90">
        <v>0</v>
      </c>
      <c r="E90">
        <v>0</v>
      </c>
      <c r="F90">
        <v>21</v>
      </c>
      <c r="G90">
        <v>0</v>
      </c>
      <c r="H90" s="40"/>
      <c r="I90">
        <v>25.25</v>
      </c>
      <c r="J90">
        <v>0</v>
      </c>
      <c r="K90">
        <v>0</v>
      </c>
      <c r="L90">
        <v>146</v>
      </c>
      <c r="M90">
        <v>0</v>
      </c>
    </row>
    <row r="91" spans="1:13" x14ac:dyDescent="0.2">
      <c r="H91" s="40"/>
      <c r="I91">
        <v>39.1</v>
      </c>
      <c r="J91">
        <v>0</v>
      </c>
      <c r="K91">
        <v>0</v>
      </c>
      <c r="L91">
        <v>10</v>
      </c>
      <c r="M91">
        <v>0</v>
      </c>
    </row>
    <row r="92" spans="1:13" x14ac:dyDescent="0.2">
      <c r="H92" s="40"/>
      <c r="I92">
        <v>36.299999999999997</v>
      </c>
      <c r="J92">
        <v>0</v>
      </c>
      <c r="K92">
        <v>0</v>
      </c>
      <c r="L92">
        <v>10</v>
      </c>
      <c r="M92">
        <v>0</v>
      </c>
    </row>
    <row r="93" spans="1:13" x14ac:dyDescent="0.2">
      <c r="H93" s="40"/>
      <c r="I93">
        <v>29.35</v>
      </c>
      <c r="J93">
        <v>0</v>
      </c>
      <c r="K93">
        <v>0</v>
      </c>
      <c r="L93">
        <v>10</v>
      </c>
      <c r="M93">
        <v>0</v>
      </c>
    </row>
    <row r="94" spans="1:13" x14ac:dyDescent="0.2">
      <c r="H94" s="40"/>
      <c r="I94">
        <v>24.7</v>
      </c>
      <c r="J94">
        <v>0</v>
      </c>
      <c r="K94">
        <v>0</v>
      </c>
      <c r="L94">
        <v>10</v>
      </c>
      <c r="M94">
        <v>0</v>
      </c>
    </row>
    <row r="95" spans="1:13" x14ac:dyDescent="0.2">
      <c r="H95" s="40"/>
      <c r="I95">
        <v>21.7</v>
      </c>
      <c r="J95">
        <v>0</v>
      </c>
      <c r="K95">
        <v>0</v>
      </c>
      <c r="L95">
        <v>10</v>
      </c>
      <c r="M95">
        <v>0</v>
      </c>
    </row>
    <row r="96" spans="1:13" x14ac:dyDescent="0.2">
      <c r="H96" s="40"/>
      <c r="I96">
        <v>22</v>
      </c>
      <c r="J96">
        <v>0</v>
      </c>
      <c r="K96">
        <v>0</v>
      </c>
      <c r="L96">
        <v>10</v>
      </c>
      <c r="M96">
        <v>0</v>
      </c>
    </row>
    <row r="97" spans="8:13" x14ac:dyDescent="0.2">
      <c r="H97" s="40"/>
      <c r="I97">
        <v>24.8</v>
      </c>
      <c r="J97">
        <v>0</v>
      </c>
      <c r="K97">
        <v>0</v>
      </c>
      <c r="L97">
        <v>10</v>
      </c>
      <c r="M97">
        <v>0</v>
      </c>
    </row>
    <row r="98" spans="8:13" x14ac:dyDescent="0.2">
      <c r="H98" s="40"/>
      <c r="I98">
        <v>22.6</v>
      </c>
      <c r="J98">
        <v>0</v>
      </c>
      <c r="K98">
        <v>0</v>
      </c>
      <c r="L98">
        <v>10</v>
      </c>
      <c r="M98">
        <v>0</v>
      </c>
    </row>
    <row r="99" spans="8:13" x14ac:dyDescent="0.2">
      <c r="H99" s="40"/>
      <c r="I99">
        <v>21.85</v>
      </c>
      <c r="J99">
        <v>0</v>
      </c>
      <c r="K99">
        <v>0</v>
      </c>
      <c r="L99">
        <v>10</v>
      </c>
      <c r="M99">
        <v>0</v>
      </c>
    </row>
    <row r="100" spans="8:13" x14ac:dyDescent="0.2">
      <c r="H100" s="40"/>
      <c r="I100">
        <v>22.1</v>
      </c>
      <c r="J100">
        <v>0</v>
      </c>
      <c r="K100">
        <v>0</v>
      </c>
      <c r="L100">
        <v>10</v>
      </c>
      <c r="M100">
        <v>0</v>
      </c>
    </row>
    <row r="101" spans="8:13" x14ac:dyDescent="0.2">
      <c r="H101" s="40"/>
      <c r="I101">
        <v>22.35</v>
      </c>
      <c r="J101">
        <v>0</v>
      </c>
      <c r="K101">
        <v>0</v>
      </c>
      <c r="L101">
        <v>10</v>
      </c>
      <c r="M101">
        <v>0</v>
      </c>
    </row>
    <row r="102" spans="8:13" x14ac:dyDescent="0.2">
      <c r="H102" s="40"/>
      <c r="I102">
        <v>25.85</v>
      </c>
      <c r="J102">
        <v>0</v>
      </c>
      <c r="K102">
        <v>0</v>
      </c>
      <c r="L102">
        <v>10</v>
      </c>
      <c r="M102">
        <v>0</v>
      </c>
    </row>
    <row r="103" spans="8:13" x14ac:dyDescent="0.2">
      <c r="H103" s="40"/>
      <c r="I103">
        <v>40.1</v>
      </c>
      <c r="J103">
        <v>0</v>
      </c>
      <c r="K103">
        <v>0</v>
      </c>
      <c r="L103">
        <v>0</v>
      </c>
      <c r="M103">
        <v>0</v>
      </c>
    </row>
    <row r="104" spans="8:13" x14ac:dyDescent="0.2">
      <c r="H104" s="40"/>
      <c r="I104">
        <v>37.25</v>
      </c>
      <c r="J104">
        <v>0</v>
      </c>
      <c r="K104">
        <v>0</v>
      </c>
      <c r="L104">
        <v>0</v>
      </c>
      <c r="M104">
        <v>0</v>
      </c>
    </row>
    <row r="105" spans="8:13" x14ac:dyDescent="0.2">
      <c r="H105" s="40"/>
      <c r="I105">
        <v>30.1</v>
      </c>
      <c r="J105">
        <v>0</v>
      </c>
      <c r="K105">
        <v>0</v>
      </c>
      <c r="L105">
        <v>0</v>
      </c>
      <c r="M105">
        <v>0</v>
      </c>
    </row>
    <row r="106" spans="8:13" x14ac:dyDescent="0.2">
      <c r="H106" s="40"/>
      <c r="I106">
        <v>25.35</v>
      </c>
      <c r="J106">
        <v>0</v>
      </c>
      <c r="K106">
        <v>0</v>
      </c>
      <c r="L106">
        <v>0</v>
      </c>
      <c r="M106">
        <v>0</v>
      </c>
    </row>
    <row r="107" spans="8:13" x14ac:dyDescent="0.2">
      <c r="H107" s="40"/>
      <c r="I107">
        <v>22.5</v>
      </c>
      <c r="J107">
        <v>0</v>
      </c>
      <c r="K107">
        <v>0</v>
      </c>
      <c r="L107">
        <v>0</v>
      </c>
      <c r="M107">
        <v>0</v>
      </c>
    </row>
    <row r="108" spans="8:13" x14ac:dyDescent="0.2">
      <c r="H108" s="40"/>
      <c r="I108">
        <v>22.8</v>
      </c>
      <c r="J108">
        <v>0</v>
      </c>
      <c r="K108">
        <v>0</v>
      </c>
      <c r="L108">
        <v>0</v>
      </c>
      <c r="M108">
        <v>0</v>
      </c>
    </row>
    <row r="109" spans="8:13" x14ac:dyDescent="0.2">
      <c r="H109" s="40"/>
      <c r="I109">
        <v>25.45</v>
      </c>
      <c r="J109">
        <v>0</v>
      </c>
      <c r="K109">
        <v>0</v>
      </c>
      <c r="L109">
        <v>0</v>
      </c>
      <c r="M109">
        <v>0</v>
      </c>
    </row>
    <row r="110" spans="8:13" x14ac:dyDescent="0.2">
      <c r="H110" s="40"/>
      <c r="I110">
        <v>23.2</v>
      </c>
      <c r="J110">
        <v>0</v>
      </c>
      <c r="K110">
        <v>0</v>
      </c>
      <c r="L110">
        <v>0</v>
      </c>
      <c r="M110">
        <v>0</v>
      </c>
    </row>
    <row r="111" spans="8:13" x14ac:dyDescent="0.2">
      <c r="H111" s="40"/>
      <c r="I111">
        <v>22.3</v>
      </c>
      <c r="J111">
        <v>0</v>
      </c>
      <c r="K111">
        <v>0</v>
      </c>
      <c r="L111">
        <v>0</v>
      </c>
      <c r="M111">
        <v>0</v>
      </c>
    </row>
    <row r="112" spans="8:13" x14ac:dyDescent="0.2">
      <c r="I112">
        <v>22.7</v>
      </c>
      <c r="J112">
        <v>0</v>
      </c>
      <c r="K112">
        <v>0</v>
      </c>
      <c r="L112">
        <v>0</v>
      </c>
      <c r="M112">
        <v>0</v>
      </c>
    </row>
    <row r="113" spans="9:13" x14ac:dyDescent="0.2">
      <c r="I113">
        <v>23</v>
      </c>
      <c r="J113">
        <v>0</v>
      </c>
      <c r="K113">
        <v>0</v>
      </c>
      <c r="L113">
        <v>0</v>
      </c>
      <c r="M113">
        <v>0</v>
      </c>
    </row>
    <row r="114" spans="9:13" x14ac:dyDescent="0.2">
      <c r="I114">
        <v>26.5</v>
      </c>
      <c r="J114">
        <v>0</v>
      </c>
      <c r="K114">
        <v>0</v>
      </c>
      <c r="L114">
        <v>0</v>
      </c>
      <c r="M114">
        <v>0</v>
      </c>
    </row>
    <row r="115" spans="9:13" x14ac:dyDescent="0.2">
      <c r="I115">
        <v>41.2</v>
      </c>
      <c r="J115">
        <v>0</v>
      </c>
      <c r="K115">
        <v>0</v>
      </c>
      <c r="L115">
        <v>0</v>
      </c>
      <c r="M115">
        <v>0</v>
      </c>
    </row>
    <row r="116" spans="9:13" x14ac:dyDescent="0.2">
      <c r="I116">
        <v>38.25</v>
      </c>
      <c r="J116">
        <v>0</v>
      </c>
      <c r="K116">
        <v>0</v>
      </c>
      <c r="L116">
        <v>0</v>
      </c>
      <c r="M116">
        <v>0</v>
      </c>
    </row>
    <row r="117" spans="9:13" x14ac:dyDescent="0.2">
      <c r="I117">
        <v>30.9</v>
      </c>
      <c r="J117">
        <v>0</v>
      </c>
      <c r="K117">
        <v>0</v>
      </c>
      <c r="L117">
        <v>0</v>
      </c>
      <c r="M117">
        <v>0</v>
      </c>
    </row>
    <row r="118" spans="9:13" x14ac:dyDescent="0.2">
      <c r="I118">
        <v>26</v>
      </c>
      <c r="J118">
        <v>0</v>
      </c>
      <c r="K118">
        <v>0</v>
      </c>
      <c r="L118">
        <v>0</v>
      </c>
      <c r="M118">
        <v>0</v>
      </c>
    </row>
    <row r="119" spans="9:13" x14ac:dyDescent="0.2">
      <c r="I119">
        <v>23</v>
      </c>
      <c r="J119">
        <v>0</v>
      </c>
      <c r="K119">
        <v>0</v>
      </c>
      <c r="L119">
        <v>0</v>
      </c>
      <c r="M119">
        <v>0</v>
      </c>
    </row>
    <row r="120" spans="9:13" x14ac:dyDescent="0.2">
      <c r="I120">
        <v>23.3</v>
      </c>
      <c r="J120">
        <v>0</v>
      </c>
      <c r="K120">
        <v>0</v>
      </c>
      <c r="L120">
        <v>0</v>
      </c>
      <c r="M120">
        <v>0</v>
      </c>
    </row>
    <row r="121" spans="9:13" x14ac:dyDescent="0.2">
      <c r="I121">
        <v>26.15</v>
      </c>
      <c r="J121">
        <v>0</v>
      </c>
      <c r="K121">
        <v>0</v>
      </c>
      <c r="L121">
        <v>0</v>
      </c>
      <c r="M121">
        <v>0</v>
      </c>
    </row>
    <row r="122" spans="9:13" x14ac:dyDescent="0.2">
      <c r="I122">
        <v>23.8</v>
      </c>
      <c r="J122">
        <v>0</v>
      </c>
      <c r="K122">
        <v>0</v>
      </c>
      <c r="L122">
        <v>0</v>
      </c>
      <c r="M122">
        <v>0</v>
      </c>
    </row>
    <row r="123" spans="9:13" x14ac:dyDescent="0.2">
      <c r="I123">
        <v>23.2</v>
      </c>
      <c r="J123">
        <v>0</v>
      </c>
      <c r="K123">
        <v>0</v>
      </c>
      <c r="L123">
        <v>0</v>
      </c>
      <c r="M123">
        <v>0</v>
      </c>
    </row>
    <row r="124" spans="9:13" x14ac:dyDescent="0.2">
      <c r="I124">
        <v>23.35</v>
      </c>
      <c r="J124">
        <v>0</v>
      </c>
      <c r="K124">
        <v>0</v>
      </c>
      <c r="L124">
        <v>0</v>
      </c>
      <c r="M124">
        <v>0</v>
      </c>
    </row>
    <row r="125" spans="9:13" x14ac:dyDescent="0.2">
      <c r="I125">
        <v>23.6</v>
      </c>
      <c r="J125">
        <v>0</v>
      </c>
      <c r="K125">
        <v>0</v>
      </c>
      <c r="L125">
        <v>0</v>
      </c>
      <c r="M125">
        <v>0</v>
      </c>
    </row>
    <row r="126" spans="9:13" x14ac:dyDescent="0.2">
      <c r="I126">
        <v>27.2</v>
      </c>
      <c r="J126">
        <v>0</v>
      </c>
      <c r="K126">
        <v>0</v>
      </c>
      <c r="L126">
        <v>0</v>
      </c>
      <c r="M126">
        <v>0</v>
      </c>
    </row>
    <row r="127" spans="9:13" x14ac:dyDescent="0.2">
      <c r="I127">
        <v>43.5</v>
      </c>
      <c r="J127">
        <v>0</v>
      </c>
      <c r="K127">
        <v>0</v>
      </c>
      <c r="L127">
        <v>0</v>
      </c>
      <c r="M127">
        <v>0</v>
      </c>
    </row>
    <row r="128" spans="9:13" x14ac:dyDescent="0.2">
      <c r="I128">
        <v>40.450000000000003</v>
      </c>
      <c r="J128">
        <v>0</v>
      </c>
      <c r="K128">
        <v>0</v>
      </c>
      <c r="L128">
        <v>0</v>
      </c>
      <c r="M128">
        <v>0</v>
      </c>
    </row>
    <row r="129" spans="9:13" x14ac:dyDescent="0.2">
      <c r="I129">
        <v>32.549999999999997</v>
      </c>
      <c r="J129">
        <v>0</v>
      </c>
      <c r="K129">
        <v>0</v>
      </c>
      <c r="L129">
        <v>0</v>
      </c>
      <c r="M129">
        <v>0</v>
      </c>
    </row>
    <row r="130" spans="9:13" x14ac:dyDescent="0.2">
      <c r="I130">
        <v>27.4</v>
      </c>
      <c r="J130">
        <v>0</v>
      </c>
      <c r="K130">
        <v>0</v>
      </c>
      <c r="L130">
        <v>0</v>
      </c>
      <c r="M130">
        <v>0</v>
      </c>
    </row>
    <row r="131" spans="9:13" x14ac:dyDescent="0.2">
      <c r="I131">
        <v>24.2</v>
      </c>
      <c r="J131">
        <v>0</v>
      </c>
      <c r="K131">
        <v>0</v>
      </c>
      <c r="L131">
        <v>0</v>
      </c>
      <c r="M131">
        <v>0</v>
      </c>
    </row>
    <row r="132" spans="9:13" x14ac:dyDescent="0.2">
      <c r="I132">
        <v>24.55</v>
      </c>
      <c r="J132">
        <v>0</v>
      </c>
      <c r="K132">
        <v>0</v>
      </c>
      <c r="L132">
        <v>0</v>
      </c>
      <c r="M132">
        <v>0</v>
      </c>
    </row>
    <row r="133" spans="9:13" x14ac:dyDescent="0.2">
      <c r="I133">
        <v>27.5</v>
      </c>
      <c r="J133">
        <v>0</v>
      </c>
      <c r="K133">
        <v>0</v>
      </c>
      <c r="L133">
        <v>0</v>
      </c>
      <c r="M133">
        <v>0</v>
      </c>
    </row>
    <row r="134" spans="9:13" x14ac:dyDescent="0.2">
      <c r="I134">
        <v>25.1</v>
      </c>
      <c r="J134">
        <v>0</v>
      </c>
      <c r="K134">
        <v>0</v>
      </c>
      <c r="L134">
        <v>0</v>
      </c>
      <c r="M134">
        <v>0</v>
      </c>
    </row>
    <row r="135" spans="9:13" x14ac:dyDescent="0.2">
      <c r="I135">
        <v>24.4</v>
      </c>
      <c r="J135">
        <v>0</v>
      </c>
      <c r="K135">
        <v>0</v>
      </c>
      <c r="L135">
        <v>0</v>
      </c>
      <c r="M135">
        <v>0</v>
      </c>
    </row>
    <row r="136" spans="9:13" x14ac:dyDescent="0.2">
      <c r="I136">
        <v>24.6</v>
      </c>
      <c r="J136">
        <v>0</v>
      </c>
      <c r="K136">
        <v>0</v>
      </c>
      <c r="L136">
        <v>0</v>
      </c>
      <c r="M136">
        <v>0</v>
      </c>
    </row>
    <row r="137" spans="9:13" x14ac:dyDescent="0.2">
      <c r="I137">
        <v>24.9</v>
      </c>
      <c r="J137">
        <v>0</v>
      </c>
      <c r="K137">
        <v>0</v>
      </c>
      <c r="L137">
        <v>0</v>
      </c>
      <c r="M137">
        <v>0</v>
      </c>
    </row>
    <row r="138" spans="9:13" x14ac:dyDescent="0.2">
      <c r="I138">
        <v>28.7</v>
      </c>
      <c r="J138">
        <v>0</v>
      </c>
      <c r="K138">
        <v>0</v>
      </c>
      <c r="L138">
        <v>0</v>
      </c>
      <c r="M138">
        <v>0</v>
      </c>
    </row>
  </sheetData>
  <mergeCells count="3">
    <mergeCell ref="A3:C3"/>
    <mergeCell ref="C9:G9"/>
    <mergeCell ref="I9:M9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P15MidC"/>
  <dimension ref="A1:AH132"/>
  <sheetViews>
    <sheetView topLeftCell="A2" workbookViewId="0">
      <selection activeCell="B2" sqref="A1:Z16"/>
    </sheetView>
  </sheetViews>
  <sheetFormatPr defaultColWidth="9" defaultRowHeight="12.75" x14ac:dyDescent="0.2"/>
  <cols>
    <col min="1" max="1" width="11.140625" bestFit="1" customWidth="1"/>
    <col min="2" max="2" width="10.42578125" customWidth="1"/>
    <col min="3" max="3" width="1.28515625" style="10" customWidth="1"/>
    <col min="4" max="4" width="13.85546875" bestFit="1" customWidth="1"/>
    <col min="5" max="5" width="11.85546875" bestFit="1" customWidth="1"/>
    <col min="6" max="6" width="12.5703125" bestFit="1" customWidth="1"/>
    <col min="7" max="7" width="1.7109375" customWidth="1"/>
    <col min="8" max="8" width="11.7109375" customWidth="1"/>
    <col min="9" max="9" width="9.5703125" customWidth="1"/>
    <col min="10" max="10" width="10.85546875" customWidth="1"/>
    <col min="11" max="11" width="2" bestFit="1" customWidth="1"/>
    <col min="12" max="12" width="10.85546875" bestFit="1" customWidth="1"/>
    <col min="13" max="13" width="9.42578125" customWidth="1"/>
    <col min="14" max="14" width="9.5703125" bestFit="1" customWidth="1"/>
    <col min="15" max="15" width="1.7109375" customWidth="1"/>
    <col min="16" max="16" width="10.85546875" bestFit="1" customWidth="1"/>
    <col min="17" max="17" width="9.5703125" customWidth="1"/>
    <col min="18" max="18" width="9" customWidth="1"/>
    <col min="19" max="19" width="1.7109375" customWidth="1"/>
    <col min="20" max="20" width="10.85546875" bestFit="1" customWidth="1"/>
    <col min="23" max="23" width="1.7109375" customWidth="1"/>
    <col min="24" max="24" width="10.85546875" bestFit="1" customWidth="1"/>
    <col min="27" max="27" width="1.7109375" customWidth="1"/>
    <col min="28" max="28" width="10.85546875" bestFit="1" customWidth="1"/>
    <col min="31" max="31" width="1.7109375" customWidth="1"/>
    <col min="32" max="32" width="10.85546875" bestFit="1" customWidth="1"/>
  </cols>
  <sheetData>
    <row r="1" spans="1:34" hidden="1" x14ac:dyDescent="0.2">
      <c r="K1">
        <f>MATCH(L16,'MidC On Peak'!1:1, FALSE)</f>
        <v>10</v>
      </c>
      <c r="L1">
        <f>MATCH(M16,'MidC On Peak'!1:1, FALSE)</f>
        <v>12</v>
      </c>
      <c r="M1">
        <f>MATCH(N16,'MidC On Peak'!1:1, FALSE)</f>
        <v>17</v>
      </c>
      <c r="P1">
        <f>MATCH(Q16,'MidC Off Peak'!1:1, FALSE)</f>
        <v>12</v>
      </c>
      <c r="Q1">
        <f>MATCH(R16,'MidC Off Peak'!1:1, FALSE)</f>
        <v>17</v>
      </c>
    </row>
    <row r="2" spans="1:34" x14ac:dyDescent="0.2">
      <c r="A2" s="10" t="s">
        <v>973</v>
      </c>
      <c r="B2" s="48">
        <v>43236</v>
      </c>
      <c r="C2" s="11"/>
      <c r="D2" s="2"/>
      <c r="E2" s="2"/>
      <c r="F2" s="2"/>
      <c r="K2" s="2"/>
      <c r="L2" s="2"/>
      <c r="M2" s="2"/>
      <c r="O2" s="2"/>
      <c r="Q2" s="2"/>
    </row>
    <row r="3" spans="1:34" ht="13.5" thickBot="1" x14ac:dyDescent="0.25">
      <c r="A3" s="10"/>
      <c r="B3" s="11"/>
      <c r="C3" s="11"/>
      <c r="D3" s="2"/>
      <c r="E3" s="2"/>
      <c r="F3" s="2"/>
      <c r="H3" s="35"/>
      <c r="I3" s="35"/>
      <c r="J3" s="35"/>
      <c r="K3" s="2"/>
      <c r="L3" s="2"/>
      <c r="M3" s="2"/>
      <c r="O3" s="2"/>
      <c r="P3" s="2"/>
      <c r="Q3" s="2"/>
    </row>
    <row r="4" spans="1:34" ht="13.5" thickBot="1" x14ac:dyDescent="0.25">
      <c r="A4" s="10"/>
      <c r="B4" s="11"/>
      <c r="C4" s="11"/>
      <c r="D4" s="60" t="s">
        <v>1501</v>
      </c>
      <c r="E4" s="61"/>
      <c r="F4" s="62"/>
      <c r="H4" s="66"/>
      <c r="I4" s="66"/>
      <c r="J4" s="66"/>
      <c r="K4" s="2"/>
      <c r="L4" s="2"/>
      <c r="M4" s="2"/>
      <c r="O4" s="2"/>
      <c r="P4" s="2"/>
      <c r="Q4" s="2"/>
    </row>
    <row r="5" spans="1:34" ht="13.5" thickBot="1" x14ac:dyDescent="0.25">
      <c r="A5" s="10"/>
      <c r="B5" s="11"/>
      <c r="C5" s="11"/>
      <c r="D5" s="58" t="s">
        <v>989</v>
      </c>
      <c r="E5" s="59" t="s">
        <v>990</v>
      </c>
      <c r="F5" s="54" t="s">
        <v>991</v>
      </c>
      <c r="H5" s="35"/>
      <c r="I5" s="52"/>
      <c r="J5" s="46"/>
      <c r="K5" s="2"/>
      <c r="L5" s="2"/>
      <c r="M5" s="2"/>
      <c r="O5" s="2"/>
      <c r="P5" s="2"/>
      <c r="Q5" s="2"/>
    </row>
    <row r="6" spans="1:34" x14ac:dyDescent="0.2">
      <c r="A6" s="10"/>
      <c r="B6" s="11"/>
      <c r="C6" s="11"/>
      <c r="D6" s="55" t="s">
        <v>1502</v>
      </c>
      <c r="E6" s="53">
        <f>SUM('SP-15 On Peak'!fields.Volume)</f>
        <v>4375</v>
      </c>
      <c r="F6" s="53">
        <f>SUM('SP-15 On Peak'!fields.Block.Vol)</f>
        <v>1250</v>
      </c>
      <c r="G6" s="35"/>
      <c r="H6" s="35"/>
      <c r="I6" s="19"/>
      <c r="J6" s="19"/>
      <c r="K6" s="2"/>
      <c r="L6" s="2"/>
      <c r="M6" s="2"/>
      <c r="O6" s="2"/>
      <c r="P6" s="2"/>
      <c r="Q6" s="2"/>
    </row>
    <row r="7" spans="1:34" x14ac:dyDescent="0.2">
      <c r="A7" s="10"/>
      <c r="B7" s="11"/>
      <c r="C7" s="11"/>
      <c r="D7" s="56" t="s">
        <v>1503</v>
      </c>
      <c r="E7" s="38">
        <f>SUM('SP-15 Off Peak'!fields.Volume)</f>
        <v>600</v>
      </c>
      <c r="F7" s="38">
        <f>SUM('SP-15 Off Peak'!fields.Block.Vol)</f>
        <v>600</v>
      </c>
      <c r="G7" s="35"/>
      <c r="H7" s="35"/>
      <c r="I7" s="19"/>
      <c r="J7" s="19"/>
      <c r="K7" s="2"/>
      <c r="L7" s="2"/>
      <c r="M7" s="2"/>
      <c r="O7" s="2"/>
      <c r="P7" s="2"/>
      <c r="Q7" s="2"/>
    </row>
    <row r="8" spans="1:34" x14ac:dyDescent="0.2">
      <c r="A8" s="10"/>
      <c r="B8" s="11"/>
      <c r="C8" s="11"/>
      <c r="D8" s="56" t="s">
        <v>1504</v>
      </c>
      <c r="E8" s="38">
        <f>SUM('MidC On Peak'!fields.Volume)</f>
        <v>600</v>
      </c>
      <c r="F8" s="38">
        <f>SUM('MidC On Peak'!fields.Block.Vol)</f>
        <v>275</v>
      </c>
      <c r="G8" s="35"/>
      <c r="H8" s="35"/>
      <c r="I8" s="19"/>
      <c r="J8" s="19"/>
      <c r="K8" s="2"/>
      <c r="L8" s="2"/>
      <c r="M8" s="2"/>
      <c r="O8" s="2"/>
      <c r="P8" s="2"/>
      <c r="Q8" s="2"/>
    </row>
    <row r="9" spans="1:34" x14ac:dyDescent="0.2">
      <c r="A9" s="10"/>
      <c r="B9" s="11"/>
      <c r="C9" s="11"/>
      <c r="D9" s="56" t="s">
        <v>1505</v>
      </c>
      <c r="E9" s="38">
        <f>SUM('MidC Off Peak'!fields.Volume)</f>
        <v>275</v>
      </c>
      <c r="F9" s="38">
        <f>SUM('MidC Off Peak'!fields.Block.Vol)</f>
        <v>75</v>
      </c>
      <c r="G9" s="35"/>
      <c r="H9" s="35"/>
      <c r="I9" s="19"/>
      <c r="J9" s="19"/>
      <c r="K9" s="2"/>
      <c r="L9" s="2"/>
      <c r="M9" s="2"/>
      <c r="O9" s="2"/>
      <c r="P9" s="2"/>
      <c r="Q9" s="2"/>
    </row>
    <row r="10" spans="1:34" x14ac:dyDescent="0.2">
      <c r="A10" s="10"/>
      <c r="B10" s="11"/>
      <c r="C10" s="11"/>
      <c r="D10" s="56" t="s">
        <v>1506</v>
      </c>
      <c r="E10" s="38">
        <f>SUM(PVM!fields.Volume)</f>
        <v>1</v>
      </c>
      <c r="F10" s="38">
        <f>SUM(PVM!fields.Block.Vol)</f>
        <v>0</v>
      </c>
      <c r="G10" s="35"/>
      <c r="H10" s="35"/>
      <c r="I10" s="19"/>
      <c r="J10" s="19"/>
      <c r="K10" s="2"/>
      <c r="L10" s="2"/>
      <c r="M10" s="2"/>
      <c r="O10" s="2"/>
      <c r="P10" s="2"/>
      <c r="Q10" s="2"/>
    </row>
    <row r="11" spans="1:34" x14ac:dyDescent="0.2">
      <c r="A11" s="10"/>
      <c r="B11" s="11"/>
      <c r="C11" s="11"/>
      <c r="D11" s="56" t="s">
        <v>1507</v>
      </c>
      <c r="E11" s="38">
        <f>SUM(OVP!fields.Volume)</f>
        <v>0</v>
      </c>
      <c r="F11" s="38">
        <f>SUM(OVP!fields.Block.Vol)</f>
        <v>0</v>
      </c>
      <c r="G11" s="35"/>
      <c r="H11" s="35"/>
      <c r="I11" s="19"/>
      <c r="J11" s="19"/>
      <c r="K11" s="2"/>
      <c r="L11" s="2"/>
      <c r="M11" s="2"/>
      <c r="O11" s="2"/>
      <c r="P11" s="2"/>
      <c r="Q11" s="2"/>
    </row>
    <row r="12" spans="1:34" x14ac:dyDescent="0.2">
      <c r="A12" s="10"/>
      <c r="B12" s="11"/>
      <c r="C12" s="11"/>
      <c r="D12" s="56" t="s">
        <v>1509</v>
      </c>
      <c r="E12" s="38">
        <f>SUM(NPM!fields.Volume)</f>
        <v>1050</v>
      </c>
      <c r="F12" s="38">
        <f>SUM(NPM!fields.Block.Vol)</f>
        <v>1050</v>
      </c>
      <c r="G12" s="35"/>
      <c r="H12" s="35"/>
      <c r="I12" s="19"/>
      <c r="J12" s="19"/>
      <c r="K12" s="2"/>
      <c r="L12" s="2"/>
      <c r="M12" s="2"/>
      <c r="O12" s="2"/>
      <c r="P12" s="2"/>
      <c r="Q12" s="2"/>
    </row>
    <row r="13" spans="1:34" ht="13.5" thickBot="1" x14ac:dyDescent="0.25">
      <c r="A13" s="10"/>
      <c r="B13" s="11"/>
      <c r="C13" s="11"/>
      <c r="D13" s="57" t="s">
        <v>1508</v>
      </c>
      <c r="E13" s="47">
        <f>SUM(ONP!fields.Volume)</f>
        <v>0</v>
      </c>
      <c r="F13" s="47">
        <f>SUM(ONP!fields.Block.Vol)</f>
        <v>0</v>
      </c>
      <c r="G13" s="35"/>
      <c r="H13" s="35"/>
      <c r="I13" s="19"/>
      <c r="J13" s="19"/>
      <c r="K13" s="2"/>
      <c r="L13" s="2"/>
      <c r="M13" s="2"/>
      <c r="O13" s="2"/>
      <c r="P13" s="2"/>
      <c r="Q13" s="2"/>
    </row>
    <row r="14" spans="1:34" x14ac:dyDescent="0.2">
      <c r="A14" s="10"/>
      <c r="B14" s="11"/>
      <c r="C14" s="11"/>
      <c r="D14" s="24" t="s">
        <v>972</v>
      </c>
      <c r="E14" s="3"/>
      <c r="F14" s="2"/>
      <c r="K14" s="2"/>
      <c r="L14" s="2"/>
      <c r="M14" s="2"/>
      <c r="O14" s="2"/>
      <c r="P14" s="2"/>
      <c r="Q14" s="2"/>
    </row>
    <row r="15" spans="1:34" ht="16.5" thickBot="1" x14ac:dyDescent="0.3">
      <c r="A15" s="7"/>
      <c r="B15" s="12"/>
      <c r="C15" s="12"/>
      <c r="D15" s="63" t="s">
        <v>977</v>
      </c>
      <c r="E15" s="65"/>
      <c r="F15" s="65"/>
      <c r="H15" s="63" t="s">
        <v>981</v>
      </c>
      <c r="I15" s="63"/>
      <c r="J15" s="63"/>
      <c r="L15" s="63" t="s">
        <v>982</v>
      </c>
      <c r="M15" s="65"/>
      <c r="N15" s="65"/>
      <c r="O15" s="43"/>
      <c r="P15" s="63" t="s">
        <v>983</v>
      </c>
      <c r="Q15" s="65"/>
      <c r="R15" s="65"/>
      <c r="T15" s="63" t="s">
        <v>1497</v>
      </c>
      <c r="U15" s="65"/>
      <c r="V15" s="65"/>
      <c r="X15" s="63" t="s">
        <v>1498</v>
      </c>
      <c r="Y15" s="63"/>
      <c r="Z15" s="63"/>
      <c r="AB15" s="63" t="s">
        <v>1499</v>
      </c>
      <c r="AC15" s="65"/>
      <c r="AD15" s="65"/>
      <c r="AE15" s="43"/>
      <c r="AF15" s="63" t="s">
        <v>1500</v>
      </c>
      <c r="AG15" s="65"/>
      <c r="AH15" s="65"/>
    </row>
    <row r="16" spans="1:34" ht="13.5" thickBot="1" x14ac:dyDescent="0.25">
      <c r="A16" s="25" t="s">
        <v>974</v>
      </c>
      <c r="B16" s="25" t="s">
        <v>980</v>
      </c>
      <c r="C16" s="16"/>
      <c r="D16" s="8" t="s">
        <v>978</v>
      </c>
      <c r="E16" s="8" t="s">
        <v>975</v>
      </c>
      <c r="F16" s="9" t="s">
        <v>976</v>
      </c>
      <c r="H16" s="14" t="s">
        <v>978</v>
      </c>
      <c r="I16" s="4" t="s">
        <v>975</v>
      </c>
      <c r="J16" s="5" t="s">
        <v>976</v>
      </c>
      <c r="K16" s="22"/>
      <c r="L16" s="8" t="s">
        <v>978</v>
      </c>
      <c r="M16" s="8" t="s">
        <v>975</v>
      </c>
      <c r="N16" s="9" t="s">
        <v>976</v>
      </c>
      <c r="O16" s="44"/>
      <c r="P16" s="8" t="s">
        <v>978</v>
      </c>
      <c r="Q16" s="8" t="s">
        <v>975</v>
      </c>
      <c r="R16" s="9" t="s">
        <v>976</v>
      </c>
      <c r="T16" s="8" t="s">
        <v>978</v>
      </c>
      <c r="U16" s="8" t="s">
        <v>975</v>
      </c>
      <c r="V16" s="9" t="s">
        <v>976</v>
      </c>
      <c r="X16" s="14" t="s">
        <v>978</v>
      </c>
      <c r="Y16" s="4" t="s">
        <v>975</v>
      </c>
      <c r="Z16" s="5" t="s">
        <v>976</v>
      </c>
      <c r="AA16" s="22"/>
      <c r="AB16" s="8" t="s">
        <v>978</v>
      </c>
      <c r="AC16" s="8" t="s">
        <v>975</v>
      </c>
      <c r="AD16" s="9" t="s">
        <v>976</v>
      </c>
      <c r="AE16" s="44"/>
      <c r="AF16" s="8" t="s">
        <v>978</v>
      </c>
      <c r="AG16" s="8" t="s">
        <v>975</v>
      </c>
      <c r="AH16" s="9" t="s">
        <v>976</v>
      </c>
    </row>
    <row r="17" spans="1:34" x14ac:dyDescent="0.2">
      <c r="A17" t="s">
        <v>1423</v>
      </c>
      <c r="B17" t="s">
        <v>970</v>
      </c>
      <c r="C17" s="2"/>
      <c r="D17">
        <v>24.74</v>
      </c>
      <c r="E17">
        <v>0</v>
      </c>
      <c r="F17">
        <v>0</v>
      </c>
      <c r="H17">
        <v>18.71</v>
      </c>
      <c r="I17">
        <v>0</v>
      </c>
      <c r="J17">
        <v>0</v>
      </c>
      <c r="L17">
        <v>14.36</v>
      </c>
      <c r="M17">
        <v>0</v>
      </c>
      <c r="N17">
        <v>0</v>
      </c>
      <c r="P17">
        <v>0.3</v>
      </c>
      <c r="Q17">
        <v>0</v>
      </c>
      <c r="R17">
        <v>0</v>
      </c>
      <c r="T17">
        <v>23.39</v>
      </c>
      <c r="U17">
        <v>0</v>
      </c>
      <c r="V17">
        <v>0</v>
      </c>
      <c r="X17">
        <v>17.43</v>
      </c>
      <c r="Y17">
        <v>0</v>
      </c>
      <c r="Z17">
        <v>0</v>
      </c>
      <c r="AB17">
        <v>23.55</v>
      </c>
      <c r="AC17">
        <v>0</v>
      </c>
      <c r="AD17">
        <v>0</v>
      </c>
      <c r="AF17">
        <v>17.649999999999999</v>
      </c>
      <c r="AG17">
        <v>0</v>
      </c>
      <c r="AH17">
        <v>0</v>
      </c>
    </row>
    <row r="18" spans="1:34" x14ac:dyDescent="0.2">
      <c r="A18" t="s">
        <v>1424</v>
      </c>
      <c r="B18" t="s">
        <v>970</v>
      </c>
      <c r="C18" s="2"/>
      <c r="D18">
        <v>34.75</v>
      </c>
      <c r="E18">
        <v>25</v>
      </c>
      <c r="F18">
        <v>0</v>
      </c>
      <c r="H18">
        <v>23.25</v>
      </c>
      <c r="I18">
        <v>0</v>
      </c>
      <c r="J18">
        <v>0</v>
      </c>
      <c r="L18">
        <v>16.399999999999999</v>
      </c>
      <c r="M18">
        <v>350</v>
      </c>
      <c r="N18">
        <v>150</v>
      </c>
      <c r="P18">
        <v>4.25</v>
      </c>
      <c r="Q18">
        <v>75</v>
      </c>
      <c r="R18">
        <v>0</v>
      </c>
      <c r="T18">
        <v>36.35</v>
      </c>
      <c r="U18">
        <v>0</v>
      </c>
      <c r="V18">
        <v>0</v>
      </c>
      <c r="X18">
        <v>20.100000000000001</v>
      </c>
      <c r="Y18">
        <v>0</v>
      </c>
      <c r="Z18">
        <v>0</v>
      </c>
      <c r="AB18">
        <v>32.35</v>
      </c>
      <c r="AC18">
        <v>0</v>
      </c>
      <c r="AD18">
        <v>0</v>
      </c>
      <c r="AF18">
        <v>23.3</v>
      </c>
      <c r="AG18">
        <v>0</v>
      </c>
      <c r="AH18">
        <v>0</v>
      </c>
    </row>
    <row r="19" spans="1:34" x14ac:dyDescent="0.2">
      <c r="A19" t="s">
        <v>1425</v>
      </c>
      <c r="B19" t="s">
        <v>970</v>
      </c>
      <c r="C19" s="2"/>
      <c r="D19">
        <v>50.15</v>
      </c>
      <c r="E19">
        <v>200</v>
      </c>
      <c r="F19">
        <v>150</v>
      </c>
      <c r="H19">
        <v>32.5</v>
      </c>
      <c r="I19">
        <v>0</v>
      </c>
      <c r="J19">
        <v>0</v>
      </c>
      <c r="L19">
        <v>29.7</v>
      </c>
      <c r="M19">
        <v>250</v>
      </c>
      <c r="N19">
        <v>125</v>
      </c>
      <c r="P19">
        <v>16.75</v>
      </c>
      <c r="Q19">
        <v>200</v>
      </c>
      <c r="R19">
        <v>75</v>
      </c>
      <c r="T19">
        <v>47.5</v>
      </c>
      <c r="U19">
        <v>1</v>
      </c>
      <c r="V19">
        <v>0</v>
      </c>
      <c r="X19">
        <v>26.1</v>
      </c>
      <c r="Y19">
        <v>0</v>
      </c>
      <c r="Z19">
        <v>0</v>
      </c>
      <c r="AB19">
        <v>46.8</v>
      </c>
      <c r="AC19">
        <v>0</v>
      </c>
      <c r="AD19">
        <v>0</v>
      </c>
      <c r="AF19">
        <v>31.9</v>
      </c>
      <c r="AG19">
        <v>0</v>
      </c>
      <c r="AH19">
        <v>0</v>
      </c>
    </row>
    <row r="20" spans="1:34" x14ac:dyDescent="0.2">
      <c r="A20" t="s">
        <v>1426</v>
      </c>
      <c r="B20" t="s">
        <v>970</v>
      </c>
      <c r="C20" s="2"/>
      <c r="D20">
        <v>56.75</v>
      </c>
      <c r="E20">
        <v>50</v>
      </c>
      <c r="F20">
        <v>0</v>
      </c>
      <c r="H20">
        <v>34.799999999999997</v>
      </c>
      <c r="I20">
        <v>0</v>
      </c>
      <c r="J20">
        <v>0</v>
      </c>
      <c r="L20">
        <v>36.6</v>
      </c>
      <c r="M20">
        <v>0</v>
      </c>
      <c r="N20">
        <v>0</v>
      </c>
      <c r="P20">
        <v>21.3</v>
      </c>
      <c r="Q20">
        <v>0</v>
      </c>
      <c r="R20">
        <v>0</v>
      </c>
      <c r="T20">
        <v>51.5</v>
      </c>
      <c r="U20">
        <v>0</v>
      </c>
      <c r="V20">
        <v>0</v>
      </c>
      <c r="X20">
        <v>26.8</v>
      </c>
      <c r="Y20">
        <v>0</v>
      </c>
      <c r="Z20">
        <v>0</v>
      </c>
      <c r="AB20">
        <v>53.55</v>
      </c>
      <c r="AC20">
        <v>0</v>
      </c>
      <c r="AD20">
        <v>0</v>
      </c>
      <c r="AF20">
        <v>33.799999999999997</v>
      </c>
      <c r="AG20">
        <v>0</v>
      </c>
      <c r="AH20">
        <v>0</v>
      </c>
    </row>
    <row r="21" spans="1:34" x14ac:dyDescent="0.2">
      <c r="A21" t="s">
        <v>1427</v>
      </c>
      <c r="B21" t="s">
        <v>970</v>
      </c>
      <c r="C21" s="2"/>
      <c r="D21">
        <v>50.25</v>
      </c>
      <c r="E21">
        <v>0</v>
      </c>
      <c r="F21">
        <v>0</v>
      </c>
      <c r="H21">
        <v>33.049999999999997</v>
      </c>
      <c r="I21">
        <v>0</v>
      </c>
      <c r="J21">
        <v>0</v>
      </c>
      <c r="L21">
        <v>27.95</v>
      </c>
      <c r="M21">
        <v>0</v>
      </c>
      <c r="N21">
        <v>0</v>
      </c>
      <c r="P21">
        <v>21.3</v>
      </c>
      <c r="Q21">
        <v>0</v>
      </c>
      <c r="R21">
        <v>0</v>
      </c>
      <c r="T21">
        <v>35.85</v>
      </c>
      <c r="U21">
        <v>0</v>
      </c>
      <c r="V21">
        <v>0</v>
      </c>
      <c r="X21">
        <v>24.95</v>
      </c>
      <c r="Y21">
        <v>0</v>
      </c>
      <c r="Z21">
        <v>0</v>
      </c>
      <c r="AB21">
        <v>47.35</v>
      </c>
      <c r="AC21">
        <v>0</v>
      </c>
      <c r="AD21">
        <v>0</v>
      </c>
      <c r="AF21">
        <v>31.8</v>
      </c>
      <c r="AG21">
        <v>0</v>
      </c>
      <c r="AH21">
        <v>0</v>
      </c>
    </row>
    <row r="22" spans="1:34" x14ac:dyDescent="0.2">
      <c r="A22" t="s">
        <v>1428</v>
      </c>
      <c r="B22" t="s">
        <v>970</v>
      </c>
      <c r="C22" s="2"/>
      <c r="D22">
        <v>43</v>
      </c>
      <c r="E22">
        <v>50</v>
      </c>
      <c r="F22">
        <v>50</v>
      </c>
      <c r="H22">
        <v>31.6</v>
      </c>
      <c r="I22">
        <v>0</v>
      </c>
      <c r="J22">
        <v>0</v>
      </c>
      <c r="L22">
        <v>22.95</v>
      </c>
      <c r="M22">
        <v>0</v>
      </c>
      <c r="N22">
        <v>0</v>
      </c>
      <c r="P22">
        <v>18.7</v>
      </c>
      <c r="Q22">
        <v>0</v>
      </c>
      <c r="R22">
        <v>0</v>
      </c>
      <c r="T22">
        <v>26.25</v>
      </c>
      <c r="U22">
        <v>0</v>
      </c>
      <c r="V22">
        <v>0</v>
      </c>
      <c r="X22">
        <v>20.05</v>
      </c>
      <c r="Y22">
        <v>0</v>
      </c>
      <c r="Z22">
        <v>0</v>
      </c>
      <c r="AB22">
        <v>41.6</v>
      </c>
      <c r="AC22">
        <v>0</v>
      </c>
      <c r="AD22">
        <v>0</v>
      </c>
      <c r="AF22">
        <v>30.4</v>
      </c>
      <c r="AG22">
        <v>0</v>
      </c>
      <c r="AH22">
        <v>0</v>
      </c>
    </row>
    <row r="23" spans="1:34" x14ac:dyDescent="0.2">
      <c r="A23" t="s">
        <v>1417</v>
      </c>
      <c r="B23" t="s">
        <v>970</v>
      </c>
      <c r="C23" s="2"/>
      <c r="D23">
        <v>40.200000000000003</v>
      </c>
      <c r="E23">
        <v>0</v>
      </c>
      <c r="F23">
        <v>0</v>
      </c>
      <c r="H23">
        <v>31.5</v>
      </c>
      <c r="I23">
        <v>0</v>
      </c>
      <c r="J23">
        <v>0</v>
      </c>
      <c r="L23">
        <v>23.55</v>
      </c>
      <c r="M23">
        <v>0</v>
      </c>
      <c r="N23">
        <v>0</v>
      </c>
      <c r="P23">
        <v>19.600000000000001</v>
      </c>
      <c r="Q23">
        <v>0</v>
      </c>
      <c r="R23">
        <v>0</v>
      </c>
      <c r="T23">
        <v>23.95</v>
      </c>
      <c r="U23">
        <v>0</v>
      </c>
      <c r="V23">
        <v>0</v>
      </c>
      <c r="X23">
        <v>20.05</v>
      </c>
      <c r="Y23">
        <v>0</v>
      </c>
      <c r="Z23">
        <v>0</v>
      </c>
      <c r="AB23">
        <v>37.35</v>
      </c>
      <c r="AC23">
        <v>0</v>
      </c>
      <c r="AD23">
        <v>0</v>
      </c>
      <c r="AF23">
        <v>31</v>
      </c>
      <c r="AG23">
        <v>0</v>
      </c>
      <c r="AH23">
        <v>0</v>
      </c>
    </row>
    <row r="24" spans="1:34" x14ac:dyDescent="0.2">
      <c r="A24" t="s">
        <v>1418</v>
      </c>
      <c r="B24" t="s">
        <v>970</v>
      </c>
      <c r="C24" s="2"/>
      <c r="D24">
        <v>48.95</v>
      </c>
      <c r="E24">
        <v>0</v>
      </c>
      <c r="F24">
        <v>0</v>
      </c>
      <c r="H24">
        <v>38.35</v>
      </c>
      <c r="I24">
        <v>0</v>
      </c>
      <c r="J24">
        <v>0</v>
      </c>
      <c r="L24">
        <v>29.4</v>
      </c>
      <c r="M24">
        <v>0</v>
      </c>
      <c r="N24">
        <v>0</v>
      </c>
      <c r="P24">
        <v>22.25</v>
      </c>
      <c r="Q24">
        <v>0</v>
      </c>
      <c r="R24">
        <v>0</v>
      </c>
      <c r="T24">
        <v>30.1</v>
      </c>
      <c r="U24">
        <v>0</v>
      </c>
      <c r="V24">
        <v>0</v>
      </c>
      <c r="X24">
        <v>26</v>
      </c>
      <c r="Y24">
        <v>0</v>
      </c>
      <c r="Z24">
        <v>0</v>
      </c>
      <c r="AB24">
        <v>44.65</v>
      </c>
      <c r="AC24">
        <v>0</v>
      </c>
      <c r="AD24">
        <v>0</v>
      </c>
      <c r="AF24">
        <v>36.799999999999997</v>
      </c>
      <c r="AG24">
        <v>0</v>
      </c>
      <c r="AH24">
        <v>0</v>
      </c>
    </row>
    <row r="25" spans="1:34" x14ac:dyDescent="0.2">
      <c r="A25" t="s">
        <v>1419</v>
      </c>
      <c r="B25" t="s">
        <v>971</v>
      </c>
      <c r="C25" s="2"/>
      <c r="D25">
        <v>44.15</v>
      </c>
      <c r="E25">
        <v>400</v>
      </c>
      <c r="F25">
        <v>150</v>
      </c>
      <c r="H25">
        <v>35.35</v>
      </c>
      <c r="I25">
        <v>0</v>
      </c>
      <c r="J25">
        <v>0</v>
      </c>
      <c r="L25">
        <v>27.85</v>
      </c>
      <c r="M25">
        <v>0</v>
      </c>
      <c r="N25">
        <v>0</v>
      </c>
      <c r="P25">
        <v>21.75</v>
      </c>
      <c r="Q25">
        <v>0</v>
      </c>
      <c r="R25">
        <v>0</v>
      </c>
      <c r="T25">
        <v>28.8</v>
      </c>
      <c r="U25">
        <v>0</v>
      </c>
      <c r="V25">
        <v>0</v>
      </c>
      <c r="X25">
        <v>26</v>
      </c>
      <c r="Y25">
        <v>0</v>
      </c>
      <c r="Z25">
        <v>0</v>
      </c>
      <c r="AB25">
        <v>40.35</v>
      </c>
      <c r="AC25">
        <v>150</v>
      </c>
      <c r="AD25">
        <v>150</v>
      </c>
      <c r="AF25">
        <v>36.15</v>
      </c>
      <c r="AG25">
        <v>0</v>
      </c>
      <c r="AH25">
        <v>0</v>
      </c>
    </row>
    <row r="26" spans="1:34" x14ac:dyDescent="0.2">
      <c r="A26" t="s">
        <v>1420</v>
      </c>
      <c r="B26" t="s">
        <v>971</v>
      </c>
      <c r="C26" s="2"/>
      <c r="D26">
        <v>40.65</v>
      </c>
      <c r="E26">
        <v>400</v>
      </c>
      <c r="F26">
        <v>150</v>
      </c>
      <c r="H26">
        <v>32.6</v>
      </c>
      <c r="I26">
        <v>0</v>
      </c>
      <c r="J26">
        <v>0</v>
      </c>
      <c r="L26">
        <v>25.25</v>
      </c>
      <c r="M26">
        <v>0</v>
      </c>
      <c r="N26">
        <v>0</v>
      </c>
      <c r="P26">
        <v>21.3</v>
      </c>
      <c r="Q26">
        <v>0</v>
      </c>
      <c r="R26">
        <v>0</v>
      </c>
      <c r="T26">
        <v>26.5</v>
      </c>
      <c r="U26">
        <v>0</v>
      </c>
      <c r="V26">
        <v>0</v>
      </c>
      <c r="X26">
        <v>23.05</v>
      </c>
      <c r="Y26">
        <v>0</v>
      </c>
      <c r="Z26">
        <v>0</v>
      </c>
      <c r="AB26">
        <v>37.950000000000003</v>
      </c>
      <c r="AC26">
        <v>150</v>
      </c>
      <c r="AD26">
        <v>150</v>
      </c>
      <c r="AF26">
        <v>31.95</v>
      </c>
      <c r="AG26">
        <v>0</v>
      </c>
      <c r="AH26">
        <v>0</v>
      </c>
    </row>
    <row r="27" spans="1:34" x14ac:dyDescent="0.2">
      <c r="A27" t="s">
        <v>1421</v>
      </c>
      <c r="B27" t="s">
        <v>971</v>
      </c>
      <c r="C27" s="2"/>
      <c r="D27">
        <v>34.200000000000003</v>
      </c>
      <c r="E27">
        <v>400</v>
      </c>
      <c r="F27">
        <v>150</v>
      </c>
      <c r="H27">
        <v>28.05</v>
      </c>
      <c r="I27">
        <v>0</v>
      </c>
      <c r="J27">
        <v>0</v>
      </c>
      <c r="L27">
        <v>20.6</v>
      </c>
      <c r="M27">
        <v>0</v>
      </c>
      <c r="N27">
        <v>0</v>
      </c>
      <c r="P27">
        <v>17.149999999999999</v>
      </c>
      <c r="Q27">
        <v>0</v>
      </c>
      <c r="R27">
        <v>0</v>
      </c>
      <c r="T27">
        <v>22.3</v>
      </c>
      <c r="U27">
        <v>0</v>
      </c>
      <c r="V27">
        <v>0</v>
      </c>
      <c r="X27">
        <v>19.8</v>
      </c>
      <c r="Y27">
        <v>0</v>
      </c>
      <c r="Z27">
        <v>0</v>
      </c>
      <c r="AB27">
        <v>32.799999999999997</v>
      </c>
      <c r="AC27">
        <v>150</v>
      </c>
      <c r="AD27">
        <v>150</v>
      </c>
      <c r="AF27">
        <v>27.6</v>
      </c>
      <c r="AG27">
        <v>0</v>
      </c>
      <c r="AH27">
        <v>0</v>
      </c>
    </row>
    <row r="28" spans="1:34" x14ac:dyDescent="0.2">
      <c r="A28" t="s">
        <v>1422</v>
      </c>
      <c r="B28" t="s">
        <v>971</v>
      </c>
      <c r="C28" s="2"/>
      <c r="D28">
        <v>24.15</v>
      </c>
      <c r="E28">
        <v>250</v>
      </c>
      <c r="F28">
        <v>0</v>
      </c>
      <c r="H28">
        <v>20.5</v>
      </c>
      <c r="I28">
        <v>0</v>
      </c>
      <c r="J28">
        <v>0</v>
      </c>
      <c r="L28">
        <v>13.5</v>
      </c>
      <c r="M28">
        <v>0</v>
      </c>
      <c r="N28">
        <v>0</v>
      </c>
      <c r="P28">
        <v>7.85</v>
      </c>
      <c r="Q28">
        <v>0</v>
      </c>
      <c r="R28">
        <v>0</v>
      </c>
      <c r="T28">
        <v>20.75</v>
      </c>
      <c r="U28">
        <v>0</v>
      </c>
      <c r="V28">
        <v>0</v>
      </c>
      <c r="X28">
        <v>16.350000000000001</v>
      </c>
      <c r="Y28">
        <v>0</v>
      </c>
      <c r="Z28">
        <v>0</v>
      </c>
      <c r="AB28">
        <v>24.9</v>
      </c>
      <c r="AC28">
        <v>0</v>
      </c>
      <c r="AD28">
        <v>0</v>
      </c>
      <c r="AF28">
        <v>20.8</v>
      </c>
      <c r="AG28">
        <v>0</v>
      </c>
      <c r="AH28">
        <v>0</v>
      </c>
    </row>
    <row r="29" spans="1:34" x14ac:dyDescent="0.2">
      <c r="A29" t="s">
        <v>1423</v>
      </c>
      <c r="B29" t="s">
        <v>971</v>
      </c>
      <c r="C29" s="2"/>
      <c r="D29">
        <v>25.7</v>
      </c>
      <c r="E29">
        <v>250</v>
      </c>
      <c r="F29">
        <v>0</v>
      </c>
      <c r="H29">
        <v>22.15</v>
      </c>
      <c r="I29">
        <v>0</v>
      </c>
      <c r="J29">
        <v>0</v>
      </c>
      <c r="L29">
        <v>14.15</v>
      </c>
      <c r="M29">
        <v>0</v>
      </c>
      <c r="N29">
        <v>0</v>
      </c>
      <c r="P29">
        <v>6.25</v>
      </c>
      <c r="Q29">
        <v>0</v>
      </c>
      <c r="R29">
        <v>0</v>
      </c>
      <c r="T29">
        <v>22.9</v>
      </c>
      <c r="U29">
        <v>0</v>
      </c>
      <c r="V29">
        <v>0</v>
      </c>
      <c r="X29">
        <v>18.75</v>
      </c>
      <c r="Y29">
        <v>0</v>
      </c>
      <c r="Z29">
        <v>0</v>
      </c>
      <c r="AB29">
        <v>26.35</v>
      </c>
      <c r="AC29">
        <v>0</v>
      </c>
      <c r="AD29">
        <v>0</v>
      </c>
      <c r="AF29">
        <v>22.05</v>
      </c>
      <c r="AG29">
        <v>0</v>
      </c>
      <c r="AH29">
        <v>0</v>
      </c>
    </row>
    <row r="30" spans="1:34" x14ac:dyDescent="0.2">
      <c r="A30" t="s">
        <v>1424</v>
      </c>
      <c r="B30" t="s">
        <v>971</v>
      </c>
      <c r="C30" s="2"/>
      <c r="D30">
        <v>32.85</v>
      </c>
      <c r="E30">
        <v>250</v>
      </c>
      <c r="F30">
        <v>0</v>
      </c>
      <c r="H30">
        <v>26.25</v>
      </c>
      <c r="I30">
        <v>0</v>
      </c>
      <c r="J30">
        <v>0</v>
      </c>
      <c r="L30">
        <v>17.45</v>
      </c>
      <c r="M30">
        <v>0</v>
      </c>
      <c r="N30">
        <v>0</v>
      </c>
      <c r="P30">
        <v>8.4499999999999993</v>
      </c>
      <c r="Q30">
        <v>0</v>
      </c>
      <c r="R30">
        <v>0</v>
      </c>
      <c r="T30">
        <v>33.5</v>
      </c>
      <c r="U30">
        <v>0</v>
      </c>
      <c r="V30">
        <v>0</v>
      </c>
      <c r="X30">
        <v>23.5</v>
      </c>
      <c r="Y30">
        <v>0</v>
      </c>
      <c r="Z30">
        <v>0</v>
      </c>
      <c r="AB30">
        <v>31.75</v>
      </c>
      <c r="AC30">
        <v>0</v>
      </c>
      <c r="AD30">
        <v>0</v>
      </c>
      <c r="AF30">
        <v>27.05</v>
      </c>
      <c r="AG30">
        <v>0</v>
      </c>
      <c r="AH30">
        <v>0</v>
      </c>
    </row>
    <row r="31" spans="1:34" x14ac:dyDescent="0.2">
      <c r="A31" t="s">
        <v>1425</v>
      </c>
      <c r="B31" t="s">
        <v>971</v>
      </c>
      <c r="C31" s="2"/>
      <c r="D31">
        <v>44.55</v>
      </c>
      <c r="E31">
        <v>250</v>
      </c>
      <c r="F31">
        <v>0</v>
      </c>
      <c r="H31">
        <v>30.85</v>
      </c>
      <c r="I31">
        <v>0</v>
      </c>
      <c r="J31">
        <v>0</v>
      </c>
      <c r="L31">
        <v>28.3</v>
      </c>
      <c r="M31">
        <v>0</v>
      </c>
      <c r="N31">
        <v>0</v>
      </c>
      <c r="P31">
        <v>16.45</v>
      </c>
      <c r="Q31">
        <v>0</v>
      </c>
      <c r="R31">
        <v>0</v>
      </c>
      <c r="T31">
        <v>42</v>
      </c>
      <c r="U31">
        <v>0</v>
      </c>
      <c r="V31">
        <v>0</v>
      </c>
      <c r="X31">
        <v>24.05</v>
      </c>
      <c r="Y31">
        <v>0</v>
      </c>
      <c r="Z31">
        <v>0</v>
      </c>
      <c r="AB31">
        <v>41.5</v>
      </c>
      <c r="AC31">
        <v>0</v>
      </c>
      <c r="AD31">
        <v>0</v>
      </c>
      <c r="AF31">
        <v>30.1</v>
      </c>
      <c r="AG31">
        <v>0</v>
      </c>
      <c r="AH31">
        <v>0</v>
      </c>
    </row>
    <row r="32" spans="1:34" x14ac:dyDescent="0.2">
      <c r="A32" t="s">
        <v>1426</v>
      </c>
      <c r="B32" t="s">
        <v>971</v>
      </c>
      <c r="C32" s="2"/>
      <c r="D32">
        <v>46.95</v>
      </c>
      <c r="E32">
        <v>250</v>
      </c>
      <c r="F32">
        <v>0</v>
      </c>
      <c r="H32">
        <v>33</v>
      </c>
      <c r="I32">
        <v>0</v>
      </c>
      <c r="J32">
        <v>0</v>
      </c>
      <c r="L32">
        <v>31.5</v>
      </c>
      <c r="M32">
        <v>0</v>
      </c>
      <c r="N32">
        <v>0</v>
      </c>
      <c r="P32">
        <v>20.2</v>
      </c>
      <c r="Q32">
        <v>0</v>
      </c>
      <c r="R32">
        <v>0</v>
      </c>
      <c r="T32">
        <v>42.75</v>
      </c>
      <c r="U32">
        <v>0</v>
      </c>
      <c r="V32">
        <v>0</v>
      </c>
      <c r="X32">
        <v>24.75</v>
      </c>
      <c r="Y32">
        <v>0</v>
      </c>
      <c r="Z32">
        <v>0</v>
      </c>
      <c r="AB32">
        <v>44.45</v>
      </c>
      <c r="AC32">
        <v>0</v>
      </c>
      <c r="AD32">
        <v>0</v>
      </c>
      <c r="AF32">
        <v>32.549999999999997</v>
      </c>
      <c r="AG32">
        <v>0</v>
      </c>
      <c r="AH32">
        <v>0</v>
      </c>
    </row>
    <row r="33" spans="1:34" x14ac:dyDescent="0.2">
      <c r="A33" t="s">
        <v>1427</v>
      </c>
      <c r="B33" t="s">
        <v>971</v>
      </c>
      <c r="C33" s="2"/>
      <c r="D33">
        <v>44.1</v>
      </c>
      <c r="E33">
        <v>250</v>
      </c>
      <c r="F33">
        <v>0</v>
      </c>
      <c r="H33">
        <v>31.5</v>
      </c>
      <c r="I33">
        <v>0</v>
      </c>
      <c r="J33">
        <v>0</v>
      </c>
      <c r="L33">
        <v>28.65</v>
      </c>
      <c r="M33">
        <v>0</v>
      </c>
      <c r="N33">
        <v>0</v>
      </c>
      <c r="P33">
        <v>20.3</v>
      </c>
      <c r="Q33">
        <v>0</v>
      </c>
      <c r="R33">
        <v>0</v>
      </c>
      <c r="T33">
        <v>34.299999999999997</v>
      </c>
      <c r="U33">
        <v>0</v>
      </c>
      <c r="V33">
        <v>0</v>
      </c>
      <c r="X33">
        <v>22.5</v>
      </c>
      <c r="Y33">
        <v>0</v>
      </c>
      <c r="Z33">
        <v>0</v>
      </c>
      <c r="AB33">
        <v>41.85</v>
      </c>
      <c r="AC33">
        <v>0</v>
      </c>
      <c r="AD33">
        <v>0</v>
      </c>
      <c r="AF33">
        <v>31.95</v>
      </c>
      <c r="AG33">
        <v>0</v>
      </c>
      <c r="AH33">
        <v>0</v>
      </c>
    </row>
    <row r="34" spans="1:34" x14ac:dyDescent="0.2">
      <c r="A34" t="s">
        <v>1428</v>
      </c>
      <c r="B34" t="s">
        <v>971</v>
      </c>
      <c r="C34" s="2"/>
      <c r="D34">
        <v>37.450000000000003</v>
      </c>
      <c r="E34">
        <v>250</v>
      </c>
      <c r="F34">
        <v>0</v>
      </c>
      <c r="H34">
        <v>30.95</v>
      </c>
      <c r="I34">
        <v>0</v>
      </c>
      <c r="J34">
        <v>0</v>
      </c>
      <c r="L34">
        <v>21.65</v>
      </c>
      <c r="M34">
        <v>0</v>
      </c>
      <c r="N34">
        <v>0</v>
      </c>
      <c r="P34">
        <v>18.05</v>
      </c>
      <c r="Q34">
        <v>0</v>
      </c>
      <c r="R34">
        <v>0</v>
      </c>
      <c r="T34">
        <v>24.5</v>
      </c>
      <c r="U34">
        <v>0</v>
      </c>
      <c r="V34">
        <v>0</v>
      </c>
      <c r="X34">
        <v>22.35</v>
      </c>
      <c r="Y34">
        <v>0</v>
      </c>
      <c r="Z34">
        <v>0</v>
      </c>
      <c r="AB34">
        <v>35.9</v>
      </c>
      <c r="AC34">
        <v>0</v>
      </c>
      <c r="AD34">
        <v>0</v>
      </c>
      <c r="AF34">
        <v>31.6</v>
      </c>
      <c r="AG34">
        <v>0</v>
      </c>
      <c r="AH34">
        <v>0</v>
      </c>
    </row>
    <row r="35" spans="1:34" x14ac:dyDescent="0.2">
      <c r="A35" t="s">
        <v>1417</v>
      </c>
      <c r="B35" t="s">
        <v>971</v>
      </c>
      <c r="C35" s="2"/>
      <c r="D35">
        <v>36.950000000000003</v>
      </c>
      <c r="E35">
        <v>250</v>
      </c>
      <c r="F35">
        <v>0</v>
      </c>
      <c r="H35">
        <v>30.7</v>
      </c>
      <c r="I35">
        <v>0</v>
      </c>
      <c r="J35">
        <v>0</v>
      </c>
      <c r="L35">
        <v>23.45</v>
      </c>
      <c r="M35">
        <v>0</v>
      </c>
      <c r="N35">
        <v>0</v>
      </c>
      <c r="P35">
        <v>20</v>
      </c>
      <c r="Q35">
        <v>0</v>
      </c>
      <c r="R35">
        <v>0</v>
      </c>
      <c r="T35">
        <v>24</v>
      </c>
      <c r="U35">
        <v>0</v>
      </c>
      <c r="V35">
        <v>0</v>
      </c>
      <c r="X35">
        <v>22.05</v>
      </c>
      <c r="Y35">
        <v>0</v>
      </c>
      <c r="Z35">
        <v>0</v>
      </c>
      <c r="AB35">
        <v>35.4</v>
      </c>
      <c r="AC35">
        <v>0</v>
      </c>
      <c r="AD35">
        <v>0</v>
      </c>
      <c r="AF35">
        <v>32.299999999999997</v>
      </c>
      <c r="AG35">
        <v>0</v>
      </c>
      <c r="AH35">
        <v>0</v>
      </c>
    </row>
    <row r="36" spans="1:34" x14ac:dyDescent="0.2">
      <c r="A36" t="s">
        <v>1418</v>
      </c>
      <c r="B36" t="s">
        <v>971</v>
      </c>
      <c r="C36" s="2"/>
      <c r="D36">
        <v>39.1</v>
      </c>
      <c r="E36">
        <v>250</v>
      </c>
      <c r="F36">
        <v>0</v>
      </c>
      <c r="H36">
        <v>32.9</v>
      </c>
      <c r="I36">
        <v>0</v>
      </c>
      <c r="J36">
        <v>0</v>
      </c>
      <c r="L36">
        <v>28.15</v>
      </c>
      <c r="M36">
        <v>0</v>
      </c>
      <c r="N36">
        <v>0</v>
      </c>
      <c r="P36">
        <v>22.5</v>
      </c>
      <c r="Q36">
        <v>0</v>
      </c>
      <c r="R36">
        <v>0</v>
      </c>
      <c r="T36">
        <v>26.75</v>
      </c>
      <c r="U36">
        <v>0</v>
      </c>
      <c r="V36">
        <v>0</v>
      </c>
      <c r="X36">
        <v>23.2</v>
      </c>
      <c r="Y36">
        <v>0</v>
      </c>
      <c r="Z36">
        <v>0</v>
      </c>
      <c r="AB36">
        <v>37.15</v>
      </c>
      <c r="AC36">
        <v>0</v>
      </c>
      <c r="AD36">
        <v>0</v>
      </c>
      <c r="AF36">
        <v>33.75</v>
      </c>
      <c r="AG36">
        <v>0</v>
      </c>
      <c r="AH36">
        <v>0</v>
      </c>
    </row>
    <row r="37" spans="1:34" x14ac:dyDescent="0.2">
      <c r="A37" t="s">
        <v>1419</v>
      </c>
      <c r="B37" t="s">
        <v>1018</v>
      </c>
      <c r="C37" s="2"/>
      <c r="D37">
        <v>41.2</v>
      </c>
      <c r="E37">
        <v>50</v>
      </c>
      <c r="F37">
        <v>50</v>
      </c>
      <c r="H37">
        <v>35.1</v>
      </c>
      <c r="I37">
        <v>50</v>
      </c>
      <c r="J37">
        <v>50</v>
      </c>
      <c r="L37">
        <v>31.45</v>
      </c>
      <c r="M37">
        <v>0</v>
      </c>
      <c r="N37">
        <v>0</v>
      </c>
      <c r="P37">
        <v>24.95</v>
      </c>
      <c r="Q37">
        <v>0</v>
      </c>
      <c r="R37">
        <v>0</v>
      </c>
      <c r="T37">
        <v>26.6</v>
      </c>
      <c r="U37">
        <v>0</v>
      </c>
      <c r="V37">
        <v>0</v>
      </c>
      <c r="X37">
        <v>27.1</v>
      </c>
      <c r="Y37">
        <v>0</v>
      </c>
      <c r="Z37">
        <v>0</v>
      </c>
      <c r="AB37">
        <v>40.9</v>
      </c>
      <c r="AC37">
        <v>50</v>
      </c>
      <c r="AD37">
        <v>50</v>
      </c>
      <c r="AF37">
        <v>36.799999999999997</v>
      </c>
      <c r="AG37">
        <v>0</v>
      </c>
      <c r="AH37">
        <v>0</v>
      </c>
    </row>
    <row r="38" spans="1:34" x14ac:dyDescent="0.2">
      <c r="A38" t="s">
        <v>1420</v>
      </c>
      <c r="B38" t="s">
        <v>1018</v>
      </c>
      <c r="C38" s="2"/>
      <c r="D38">
        <v>39.35</v>
      </c>
      <c r="E38">
        <v>50</v>
      </c>
      <c r="F38">
        <v>50</v>
      </c>
      <c r="H38">
        <v>33.950000000000003</v>
      </c>
      <c r="I38">
        <v>50</v>
      </c>
      <c r="J38">
        <v>50</v>
      </c>
      <c r="L38">
        <v>26.8</v>
      </c>
      <c r="M38">
        <v>0</v>
      </c>
      <c r="N38">
        <v>0</v>
      </c>
      <c r="P38">
        <v>22.4</v>
      </c>
      <c r="Q38">
        <v>0</v>
      </c>
      <c r="R38">
        <v>0</v>
      </c>
      <c r="T38">
        <v>25.9</v>
      </c>
      <c r="U38">
        <v>0</v>
      </c>
      <c r="V38">
        <v>0</v>
      </c>
      <c r="X38">
        <v>25.6</v>
      </c>
      <c r="Y38">
        <v>0</v>
      </c>
      <c r="Z38">
        <v>0</v>
      </c>
      <c r="AB38">
        <v>39.1</v>
      </c>
      <c r="AC38">
        <v>50</v>
      </c>
      <c r="AD38">
        <v>50</v>
      </c>
      <c r="AF38">
        <v>34.200000000000003</v>
      </c>
      <c r="AG38">
        <v>0</v>
      </c>
      <c r="AH38">
        <v>0</v>
      </c>
    </row>
    <row r="39" spans="1:34" x14ac:dyDescent="0.2">
      <c r="A39" t="s">
        <v>1421</v>
      </c>
      <c r="B39" t="s">
        <v>1018</v>
      </c>
      <c r="C39" s="2"/>
      <c r="D39">
        <v>34.299999999999997</v>
      </c>
      <c r="E39">
        <v>50</v>
      </c>
      <c r="F39">
        <v>50</v>
      </c>
      <c r="H39">
        <v>30.35</v>
      </c>
      <c r="I39">
        <v>50</v>
      </c>
      <c r="J39">
        <v>50</v>
      </c>
      <c r="L39">
        <v>22.05</v>
      </c>
      <c r="M39">
        <v>0</v>
      </c>
      <c r="N39">
        <v>0</v>
      </c>
      <c r="P39">
        <v>18.75</v>
      </c>
      <c r="Q39">
        <v>0</v>
      </c>
      <c r="R39">
        <v>0</v>
      </c>
      <c r="T39">
        <v>22.85</v>
      </c>
      <c r="U39">
        <v>0</v>
      </c>
      <c r="V39">
        <v>0</v>
      </c>
      <c r="X39">
        <v>23.5</v>
      </c>
      <c r="Y39">
        <v>0</v>
      </c>
      <c r="Z39">
        <v>0</v>
      </c>
      <c r="AB39">
        <v>34.9</v>
      </c>
      <c r="AC39">
        <v>50</v>
      </c>
      <c r="AD39">
        <v>50</v>
      </c>
      <c r="AF39">
        <v>30.8</v>
      </c>
      <c r="AG39">
        <v>0</v>
      </c>
      <c r="AH39">
        <v>0</v>
      </c>
    </row>
    <row r="40" spans="1:34" x14ac:dyDescent="0.2">
      <c r="A40" t="s">
        <v>1422</v>
      </c>
      <c r="B40" t="s">
        <v>1018</v>
      </c>
      <c r="C40" s="2"/>
      <c r="D40">
        <v>28.4</v>
      </c>
      <c r="E40">
        <v>50</v>
      </c>
      <c r="F40">
        <v>50</v>
      </c>
      <c r="H40">
        <v>25.1</v>
      </c>
      <c r="I40">
        <v>50</v>
      </c>
      <c r="J40">
        <v>50</v>
      </c>
      <c r="L40">
        <v>19.8</v>
      </c>
      <c r="M40">
        <v>0</v>
      </c>
      <c r="N40">
        <v>0</v>
      </c>
      <c r="P40">
        <v>14.7</v>
      </c>
      <c r="Q40">
        <v>0</v>
      </c>
      <c r="R40">
        <v>0</v>
      </c>
      <c r="T40">
        <v>22.7</v>
      </c>
      <c r="U40">
        <v>0</v>
      </c>
      <c r="V40">
        <v>0</v>
      </c>
      <c r="X40">
        <v>20.25</v>
      </c>
      <c r="Y40">
        <v>0</v>
      </c>
      <c r="Z40">
        <v>0</v>
      </c>
      <c r="AB40">
        <v>30.65</v>
      </c>
      <c r="AC40">
        <v>50</v>
      </c>
      <c r="AD40">
        <v>50</v>
      </c>
      <c r="AF40">
        <v>25.7</v>
      </c>
      <c r="AG40">
        <v>0</v>
      </c>
      <c r="AH40">
        <v>0</v>
      </c>
    </row>
    <row r="41" spans="1:34" x14ac:dyDescent="0.2">
      <c r="A41" t="s">
        <v>1423</v>
      </c>
      <c r="B41" t="s">
        <v>1018</v>
      </c>
      <c r="C41" s="2"/>
      <c r="D41">
        <v>28.45</v>
      </c>
      <c r="E41">
        <v>50</v>
      </c>
      <c r="F41">
        <v>50</v>
      </c>
      <c r="H41">
        <v>24.95</v>
      </c>
      <c r="I41">
        <v>50</v>
      </c>
      <c r="J41">
        <v>50</v>
      </c>
      <c r="L41">
        <v>19.149999999999999</v>
      </c>
      <c r="M41">
        <v>0</v>
      </c>
      <c r="N41">
        <v>0</v>
      </c>
      <c r="P41">
        <v>11.95</v>
      </c>
      <c r="Q41">
        <v>0</v>
      </c>
      <c r="R41">
        <v>0</v>
      </c>
      <c r="T41">
        <v>23.8</v>
      </c>
      <c r="U41">
        <v>0</v>
      </c>
      <c r="V41">
        <v>0</v>
      </c>
      <c r="X41">
        <v>21.4</v>
      </c>
      <c r="Y41">
        <v>0</v>
      </c>
      <c r="Z41">
        <v>0</v>
      </c>
      <c r="AB41">
        <v>30.7</v>
      </c>
      <c r="AC41">
        <v>50</v>
      </c>
      <c r="AD41">
        <v>50</v>
      </c>
      <c r="AF41">
        <v>24.9</v>
      </c>
      <c r="AG41">
        <v>0</v>
      </c>
      <c r="AH41">
        <v>0</v>
      </c>
    </row>
    <row r="42" spans="1:34" x14ac:dyDescent="0.2">
      <c r="A42" t="s">
        <v>1424</v>
      </c>
      <c r="B42" t="s">
        <v>1018</v>
      </c>
      <c r="C42" s="2"/>
      <c r="D42">
        <v>32.1</v>
      </c>
      <c r="E42">
        <v>50</v>
      </c>
      <c r="F42">
        <v>50</v>
      </c>
      <c r="H42">
        <v>25.8</v>
      </c>
      <c r="I42">
        <v>50</v>
      </c>
      <c r="J42">
        <v>50</v>
      </c>
      <c r="L42">
        <v>19.25</v>
      </c>
      <c r="M42">
        <v>0</v>
      </c>
      <c r="N42">
        <v>0</v>
      </c>
      <c r="P42">
        <v>10.5</v>
      </c>
      <c r="Q42">
        <v>0</v>
      </c>
      <c r="R42">
        <v>0</v>
      </c>
      <c r="T42">
        <v>35.15</v>
      </c>
      <c r="U42">
        <v>0</v>
      </c>
      <c r="V42">
        <v>0</v>
      </c>
      <c r="X42">
        <v>23.05</v>
      </c>
      <c r="Y42">
        <v>0</v>
      </c>
      <c r="Z42">
        <v>0</v>
      </c>
      <c r="AB42">
        <v>32.950000000000003</v>
      </c>
      <c r="AC42">
        <v>50</v>
      </c>
      <c r="AD42">
        <v>50</v>
      </c>
      <c r="AF42">
        <v>27</v>
      </c>
      <c r="AG42">
        <v>0</v>
      </c>
      <c r="AH42">
        <v>0</v>
      </c>
    </row>
    <row r="43" spans="1:34" x14ac:dyDescent="0.2">
      <c r="A43" t="s">
        <v>1425</v>
      </c>
      <c r="B43" t="s">
        <v>1018</v>
      </c>
      <c r="C43" s="2"/>
      <c r="D43">
        <v>42.65</v>
      </c>
      <c r="E43">
        <v>50</v>
      </c>
      <c r="F43">
        <v>50</v>
      </c>
      <c r="H43">
        <v>32.25</v>
      </c>
      <c r="I43">
        <v>50</v>
      </c>
      <c r="J43">
        <v>50</v>
      </c>
      <c r="L43">
        <v>27.2</v>
      </c>
      <c r="M43">
        <v>0</v>
      </c>
      <c r="N43">
        <v>0</v>
      </c>
      <c r="P43">
        <v>16.75</v>
      </c>
      <c r="Q43">
        <v>0</v>
      </c>
      <c r="R43">
        <v>0</v>
      </c>
      <c r="T43">
        <v>45.85</v>
      </c>
      <c r="U43">
        <v>0</v>
      </c>
      <c r="V43">
        <v>0</v>
      </c>
      <c r="X43">
        <v>26.25</v>
      </c>
      <c r="Y43">
        <v>0</v>
      </c>
      <c r="Z43">
        <v>0</v>
      </c>
      <c r="AB43">
        <v>40.950000000000003</v>
      </c>
      <c r="AC43">
        <v>50</v>
      </c>
      <c r="AD43">
        <v>50</v>
      </c>
      <c r="AF43">
        <v>32</v>
      </c>
      <c r="AG43">
        <v>0</v>
      </c>
      <c r="AH43">
        <v>0</v>
      </c>
    </row>
    <row r="44" spans="1:34" x14ac:dyDescent="0.2">
      <c r="A44" t="s">
        <v>1426</v>
      </c>
      <c r="B44" t="s">
        <v>1018</v>
      </c>
      <c r="C44" s="2"/>
      <c r="D44">
        <v>44.45</v>
      </c>
      <c r="E44">
        <v>50</v>
      </c>
      <c r="F44">
        <v>50</v>
      </c>
      <c r="H44">
        <v>34</v>
      </c>
      <c r="I44">
        <v>50</v>
      </c>
      <c r="J44">
        <v>50</v>
      </c>
      <c r="L44">
        <v>30.95</v>
      </c>
      <c r="M44">
        <v>0</v>
      </c>
      <c r="N44">
        <v>0</v>
      </c>
      <c r="P44">
        <v>21.05</v>
      </c>
      <c r="Q44">
        <v>0</v>
      </c>
      <c r="R44">
        <v>0</v>
      </c>
      <c r="T44">
        <v>42.5</v>
      </c>
      <c r="U44">
        <v>0</v>
      </c>
      <c r="V44">
        <v>0</v>
      </c>
      <c r="X44">
        <v>26.85</v>
      </c>
      <c r="Y44">
        <v>0</v>
      </c>
      <c r="Z44">
        <v>0</v>
      </c>
      <c r="AB44">
        <v>43.65</v>
      </c>
      <c r="AC44">
        <v>50</v>
      </c>
      <c r="AD44">
        <v>50</v>
      </c>
      <c r="AF44">
        <v>34.200000000000003</v>
      </c>
      <c r="AG44">
        <v>0</v>
      </c>
      <c r="AH44">
        <v>0</v>
      </c>
    </row>
    <row r="45" spans="1:34" x14ac:dyDescent="0.2">
      <c r="A45" t="s">
        <v>1427</v>
      </c>
      <c r="B45" t="s">
        <v>1018</v>
      </c>
      <c r="C45" s="2"/>
      <c r="D45">
        <v>42.3</v>
      </c>
      <c r="E45">
        <v>50</v>
      </c>
      <c r="F45">
        <v>50</v>
      </c>
      <c r="H45">
        <v>32.85</v>
      </c>
      <c r="I45">
        <v>50</v>
      </c>
      <c r="J45">
        <v>50</v>
      </c>
      <c r="L45">
        <v>27.45</v>
      </c>
      <c r="M45">
        <v>0</v>
      </c>
      <c r="N45">
        <v>0</v>
      </c>
      <c r="P45">
        <v>21.25</v>
      </c>
      <c r="Q45">
        <v>0</v>
      </c>
      <c r="R45">
        <v>0</v>
      </c>
      <c r="T45">
        <v>34.9</v>
      </c>
      <c r="U45">
        <v>0</v>
      </c>
      <c r="V45">
        <v>0</v>
      </c>
      <c r="X45">
        <v>25.05</v>
      </c>
      <c r="Y45">
        <v>0</v>
      </c>
      <c r="Z45">
        <v>0</v>
      </c>
      <c r="AB45">
        <v>41.35</v>
      </c>
      <c r="AC45">
        <v>50</v>
      </c>
      <c r="AD45">
        <v>50</v>
      </c>
      <c r="AF45">
        <v>33.700000000000003</v>
      </c>
      <c r="AG45">
        <v>0</v>
      </c>
      <c r="AH45">
        <v>0</v>
      </c>
    </row>
    <row r="46" spans="1:34" x14ac:dyDescent="0.2">
      <c r="A46" t="s">
        <v>1428</v>
      </c>
      <c r="B46" t="s">
        <v>1018</v>
      </c>
      <c r="C46" s="2"/>
      <c r="D46">
        <v>39.4</v>
      </c>
      <c r="E46">
        <v>50</v>
      </c>
      <c r="F46">
        <v>50</v>
      </c>
      <c r="H46">
        <v>33</v>
      </c>
      <c r="I46">
        <v>50</v>
      </c>
      <c r="J46">
        <v>50</v>
      </c>
      <c r="L46">
        <v>24.5</v>
      </c>
      <c r="M46">
        <v>0</v>
      </c>
      <c r="N46">
        <v>0</v>
      </c>
      <c r="P46">
        <v>20.6</v>
      </c>
      <c r="Q46">
        <v>0</v>
      </c>
      <c r="R46">
        <v>0</v>
      </c>
      <c r="T46">
        <v>27</v>
      </c>
      <c r="U46">
        <v>0</v>
      </c>
      <c r="V46">
        <v>0</v>
      </c>
      <c r="X46">
        <v>25.2</v>
      </c>
      <c r="Y46">
        <v>0</v>
      </c>
      <c r="Z46">
        <v>0</v>
      </c>
      <c r="AB46">
        <v>40.299999999999997</v>
      </c>
      <c r="AC46">
        <v>50</v>
      </c>
      <c r="AD46">
        <v>50</v>
      </c>
      <c r="AF46">
        <v>34.1</v>
      </c>
      <c r="AG46">
        <v>0</v>
      </c>
      <c r="AH46">
        <v>0</v>
      </c>
    </row>
    <row r="47" spans="1:34" x14ac:dyDescent="0.2">
      <c r="A47" t="s">
        <v>1417</v>
      </c>
      <c r="B47" t="s">
        <v>1018</v>
      </c>
      <c r="C47" s="2"/>
      <c r="D47">
        <v>38.9</v>
      </c>
      <c r="E47">
        <v>50</v>
      </c>
      <c r="F47">
        <v>50</v>
      </c>
      <c r="H47">
        <v>32.65</v>
      </c>
      <c r="I47">
        <v>50</v>
      </c>
      <c r="J47">
        <v>50</v>
      </c>
      <c r="L47">
        <v>26.85</v>
      </c>
      <c r="M47">
        <v>0</v>
      </c>
      <c r="N47">
        <v>0</v>
      </c>
      <c r="P47">
        <v>22.65</v>
      </c>
      <c r="Q47">
        <v>0</v>
      </c>
      <c r="R47">
        <v>0</v>
      </c>
      <c r="T47">
        <v>26.8</v>
      </c>
      <c r="U47">
        <v>0</v>
      </c>
      <c r="V47">
        <v>0</v>
      </c>
      <c r="X47">
        <v>24.7</v>
      </c>
      <c r="Y47">
        <v>0</v>
      </c>
      <c r="Z47">
        <v>0</v>
      </c>
      <c r="AB47">
        <v>40.75</v>
      </c>
      <c r="AC47">
        <v>50</v>
      </c>
      <c r="AD47">
        <v>50</v>
      </c>
      <c r="AF47">
        <v>35</v>
      </c>
      <c r="AG47">
        <v>0</v>
      </c>
      <c r="AH47">
        <v>0</v>
      </c>
    </row>
    <row r="48" spans="1:34" x14ac:dyDescent="0.2">
      <c r="A48" t="s">
        <v>1418</v>
      </c>
      <c r="B48" t="s">
        <v>1018</v>
      </c>
      <c r="C48" s="2"/>
      <c r="D48">
        <v>41.5</v>
      </c>
      <c r="E48">
        <v>50</v>
      </c>
      <c r="F48">
        <v>50</v>
      </c>
      <c r="H48">
        <v>35.25</v>
      </c>
      <c r="I48">
        <v>50</v>
      </c>
      <c r="J48">
        <v>50</v>
      </c>
      <c r="L48">
        <v>32.4</v>
      </c>
      <c r="M48">
        <v>0</v>
      </c>
      <c r="N48">
        <v>0</v>
      </c>
      <c r="P48">
        <v>26.55</v>
      </c>
      <c r="Q48">
        <v>0</v>
      </c>
      <c r="R48">
        <v>0</v>
      </c>
      <c r="T48">
        <v>30</v>
      </c>
      <c r="U48">
        <v>0</v>
      </c>
      <c r="V48">
        <v>0</v>
      </c>
      <c r="X48">
        <v>27.5</v>
      </c>
      <c r="Y48">
        <v>0</v>
      </c>
      <c r="Z48">
        <v>0</v>
      </c>
      <c r="AB48">
        <v>43.45</v>
      </c>
      <c r="AC48">
        <v>50</v>
      </c>
      <c r="AD48">
        <v>50</v>
      </c>
      <c r="AF48">
        <v>36.549999999999997</v>
      </c>
      <c r="AG48">
        <v>0</v>
      </c>
      <c r="AH48">
        <v>0</v>
      </c>
    </row>
    <row r="49" spans="1:34" x14ac:dyDescent="0.2">
      <c r="A49" t="s">
        <v>1419</v>
      </c>
      <c r="B49" t="s">
        <v>1429</v>
      </c>
      <c r="C49" s="2"/>
      <c r="D49">
        <v>45.1</v>
      </c>
      <c r="E49">
        <v>0</v>
      </c>
      <c r="F49">
        <v>0</v>
      </c>
      <c r="H49">
        <v>38.549999999999997</v>
      </c>
      <c r="I49">
        <v>0</v>
      </c>
      <c r="J49">
        <v>0</v>
      </c>
      <c r="L49">
        <v>36.25</v>
      </c>
      <c r="M49">
        <v>0</v>
      </c>
      <c r="N49">
        <v>0</v>
      </c>
      <c r="P49">
        <v>29.45</v>
      </c>
      <c r="Q49">
        <v>0</v>
      </c>
      <c r="R49">
        <v>0</v>
      </c>
      <c r="T49">
        <v>34.1</v>
      </c>
      <c r="U49">
        <v>0</v>
      </c>
      <c r="V49">
        <v>0</v>
      </c>
      <c r="X49">
        <v>29.9</v>
      </c>
      <c r="Y49">
        <v>0</v>
      </c>
      <c r="Z49">
        <v>0</v>
      </c>
      <c r="AB49">
        <v>46.8</v>
      </c>
      <c r="AC49">
        <v>0</v>
      </c>
      <c r="AD49">
        <v>0</v>
      </c>
      <c r="AF49">
        <v>40.299999999999997</v>
      </c>
      <c r="AG49">
        <v>0</v>
      </c>
      <c r="AH49">
        <v>0</v>
      </c>
    </row>
    <row r="50" spans="1:34" x14ac:dyDescent="0.2">
      <c r="A50" t="s">
        <v>1420</v>
      </c>
      <c r="B50" t="s">
        <v>1429</v>
      </c>
      <c r="C50" s="2"/>
      <c r="D50">
        <v>43.35</v>
      </c>
      <c r="E50">
        <v>0</v>
      </c>
      <c r="F50">
        <v>0</v>
      </c>
      <c r="H50">
        <v>37.85</v>
      </c>
      <c r="I50">
        <v>0</v>
      </c>
      <c r="J50">
        <v>0</v>
      </c>
      <c r="L50">
        <v>30.55</v>
      </c>
      <c r="M50">
        <v>0</v>
      </c>
      <c r="N50">
        <v>0</v>
      </c>
      <c r="P50">
        <v>26.3</v>
      </c>
      <c r="Q50">
        <v>0</v>
      </c>
      <c r="R50">
        <v>0</v>
      </c>
      <c r="T50">
        <v>33.4</v>
      </c>
      <c r="U50">
        <v>0</v>
      </c>
      <c r="V50">
        <v>0</v>
      </c>
      <c r="X50">
        <v>28.35</v>
      </c>
      <c r="Y50">
        <v>0</v>
      </c>
      <c r="Z50">
        <v>0</v>
      </c>
      <c r="AB50">
        <v>44.95</v>
      </c>
      <c r="AC50">
        <v>0</v>
      </c>
      <c r="AD50">
        <v>0</v>
      </c>
      <c r="AF50">
        <v>37.950000000000003</v>
      </c>
      <c r="AG50">
        <v>0</v>
      </c>
      <c r="AH50">
        <v>0</v>
      </c>
    </row>
    <row r="51" spans="1:34" x14ac:dyDescent="0.2">
      <c r="A51" t="s">
        <v>1421</v>
      </c>
      <c r="B51" t="s">
        <v>1429</v>
      </c>
      <c r="C51" s="2"/>
      <c r="D51">
        <v>38</v>
      </c>
      <c r="E51">
        <v>0</v>
      </c>
      <c r="F51">
        <v>0</v>
      </c>
      <c r="H51">
        <v>33.85</v>
      </c>
      <c r="I51">
        <v>0</v>
      </c>
      <c r="J51">
        <v>0</v>
      </c>
      <c r="L51">
        <v>25.05</v>
      </c>
      <c r="M51">
        <v>0</v>
      </c>
      <c r="N51">
        <v>0</v>
      </c>
      <c r="P51">
        <v>21.85</v>
      </c>
      <c r="Q51">
        <v>0</v>
      </c>
      <c r="R51">
        <v>0</v>
      </c>
      <c r="T51">
        <v>29.6</v>
      </c>
      <c r="U51">
        <v>0</v>
      </c>
      <c r="V51">
        <v>0</v>
      </c>
      <c r="X51">
        <v>26.4</v>
      </c>
      <c r="Y51">
        <v>0</v>
      </c>
      <c r="Z51">
        <v>0</v>
      </c>
      <c r="AB51">
        <v>40.200000000000003</v>
      </c>
      <c r="AC51">
        <v>0</v>
      </c>
      <c r="AD51">
        <v>0</v>
      </c>
      <c r="AF51">
        <v>34.1</v>
      </c>
      <c r="AG51">
        <v>0</v>
      </c>
      <c r="AH51">
        <v>0</v>
      </c>
    </row>
    <row r="52" spans="1:34" x14ac:dyDescent="0.2">
      <c r="A52" t="s">
        <v>1422</v>
      </c>
      <c r="B52" t="s">
        <v>1429</v>
      </c>
      <c r="C52" s="2"/>
      <c r="D52">
        <v>30.55</v>
      </c>
      <c r="E52">
        <v>0</v>
      </c>
      <c r="F52">
        <v>0</v>
      </c>
      <c r="H52">
        <v>26.85</v>
      </c>
      <c r="I52">
        <v>0</v>
      </c>
      <c r="J52">
        <v>0</v>
      </c>
      <c r="L52">
        <v>23.3</v>
      </c>
      <c r="M52">
        <v>0</v>
      </c>
      <c r="N52">
        <v>0</v>
      </c>
      <c r="P52">
        <v>17.850000000000001</v>
      </c>
      <c r="Q52">
        <v>0</v>
      </c>
      <c r="R52">
        <v>0</v>
      </c>
      <c r="T52">
        <v>27.2</v>
      </c>
      <c r="U52">
        <v>0</v>
      </c>
      <c r="V52">
        <v>0</v>
      </c>
      <c r="X52">
        <v>22.35</v>
      </c>
      <c r="Y52">
        <v>0</v>
      </c>
      <c r="Z52">
        <v>0</v>
      </c>
      <c r="AB52">
        <v>33.25</v>
      </c>
      <c r="AC52">
        <v>0</v>
      </c>
      <c r="AD52">
        <v>0</v>
      </c>
      <c r="AF52">
        <v>28</v>
      </c>
      <c r="AG52">
        <v>0</v>
      </c>
      <c r="AH52">
        <v>0</v>
      </c>
    </row>
    <row r="53" spans="1:34" x14ac:dyDescent="0.2">
      <c r="A53" t="s">
        <v>1423</v>
      </c>
      <c r="B53" t="s">
        <v>1429</v>
      </c>
      <c r="C53" s="2"/>
      <c r="D53">
        <v>30.7</v>
      </c>
      <c r="E53">
        <v>0</v>
      </c>
      <c r="F53">
        <v>0</v>
      </c>
      <c r="H53">
        <v>26.7</v>
      </c>
      <c r="I53">
        <v>0</v>
      </c>
      <c r="J53">
        <v>0</v>
      </c>
      <c r="L53">
        <v>21.75</v>
      </c>
      <c r="M53">
        <v>0</v>
      </c>
      <c r="N53">
        <v>0</v>
      </c>
      <c r="P53">
        <v>14.1</v>
      </c>
      <c r="Q53">
        <v>0</v>
      </c>
      <c r="R53">
        <v>0</v>
      </c>
      <c r="T53">
        <v>28.65</v>
      </c>
      <c r="U53">
        <v>0</v>
      </c>
      <c r="V53">
        <v>0</v>
      </c>
      <c r="X53">
        <v>23.7</v>
      </c>
      <c r="Y53">
        <v>0</v>
      </c>
      <c r="Z53">
        <v>0</v>
      </c>
      <c r="AB53">
        <v>33.450000000000003</v>
      </c>
      <c r="AC53">
        <v>0</v>
      </c>
      <c r="AD53">
        <v>0</v>
      </c>
      <c r="AF53">
        <v>27.25</v>
      </c>
      <c r="AG53">
        <v>0</v>
      </c>
      <c r="AH53">
        <v>0</v>
      </c>
    </row>
    <row r="54" spans="1:34" x14ac:dyDescent="0.2">
      <c r="A54" t="s">
        <v>1424</v>
      </c>
      <c r="B54" t="s">
        <v>1429</v>
      </c>
      <c r="C54" s="2"/>
      <c r="D54">
        <v>34.65</v>
      </c>
      <c r="E54">
        <v>0</v>
      </c>
      <c r="F54">
        <v>0</v>
      </c>
      <c r="H54">
        <v>27.8</v>
      </c>
      <c r="I54">
        <v>0</v>
      </c>
      <c r="J54">
        <v>0</v>
      </c>
      <c r="L54">
        <v>22.1</v>
      </c>
      <c r="M54">
        <v>0</v>
      </c>
      <c r="N54">
        <v>0</v>
      </c>
      <c r="P54">
        <v>12.6</v>
      </c>
      <c r="Q54">
        <v>0</v>
      </c>
      <c r="R54">
        <v>0</v>
      </c>
      <c r="T54">
        <v>33.200000000000003</v>
      </c>
      <c r="U54">
        <v>0</v>
      </c>
      <c r="V54">
        <v>0</v>
      </c>
      <c r="X54">
        <v>25.3</v>
      </c>
      <c r="Y54">
        <v>0</v>
      </c>
      <c r="Z54">
        <v>0</v>
      </c>
      <c r="AB54">
        <v>35.65</v>
      </c>
      <c r="AC54">
        <v>0</v>
      </c>
      <c r="AD54">
        <v>0</v>
      </c>
      <c r="AF54">
        <v>29.5</v>
      </c>
      <c r="AG54">
        <v>0</v>
      </c>
      <c r="AH54">
        <v>0</v>
      </c>
    </row>
    <row r="55" spans="1:34" x14ac:dyDescent="0.2">
      <c r="A55" t="s">
        <v>1425</v>
      </c>
      <c r="B55" t="s">
        <v>1429</v>
      </c>
      <c r="C55" s="2"/>
      <c r="D55">
        <v>43.3</v>
      </c>
      <c r="E55">
        <v>0</v>
      </c>
      <c r="F55">
        <v>0</v>
      </c>
      <c r="H55">
        <v>34.75</v>
      </c>
      <c r="I55">
        <v>0</v>
      </c>
      <c r="J55">
        <v>0</v>
      </c>
      <c r="L55">
        <v>30.75</v>
      </c>
      <c r="M55">
        <v>0</v>
      </c>
      <c r="N55">
        <v>0</v>
      </c>
      <c r="P55">
        <v>19.850000000000001</v>
      </c>
      <c r="Q55">
        <v>0</v>
      </c>
      <c r="R55">
        <v>0</v>
      </c>
      <c r="T55">
        <v>43.1</v>
      </c>
      <c r="U55">
        <v>0</v>
      </c>
      <c r="V55">
        <v>0</v>
      </c>
      <c r="X55">
        <v>29.6</v>
      </c>
      <c r="Y55">
        <v>0</v>
      </c>
      <c r="Z55">
        <v>0</v>
      </c>
      <c r="AB55">
        <v>42.45</v>
      </c>
      <c r="AC55">
        <v>0</v>
      </c>
      <c r="AD55">
        <v>0</v>
      </c>
      <c r="AF55">
        <v>34.9</v>
      </c>
      <c r="AG55">
        <v>0</v>
      </c>
      <c r="AH55">
        <v>0</v>
      </c>
    </row>
    <row r="56" spans="1:34" x14ac:dyDescent="0.2">
      <c r="A56" t="s">
        <v>1426</v>
      </c>
      <c r="B56" t="s">
        <v>1429</v>
      </c>
      <c r="C56" s="2"/>
      <c r="D56">
        <v>45.45</v>
      </c>
      <c r="E56">
        <v>0</v>
      </c>
      <c r="F56">
        <v>0</v>
      </c>
      <c r="H56">
        <v>36.75</v>
      </c>
      <c r="I56">
        <v>0</v>
      </c>
      <c r="J56">
        <v>0</v>
      </c>
      <c r="L56">
        <v>34.75</v>
      </c>
      <c r="M56">
        <v>0</v>
      </c>
      <c r="N56">
        <v>0</v>
      </c>
      <c r="P56">
        <v>24.5</v>
      </c>
      <c r="Q56">
        <v>0</v>
      </c>
      <c r="R56">
        <v>0</v>
      </c>
      <c r="T56">
        <v>42.15</v>
      </c>
      <c r="U56">
        <v>0</v>
      </c>
      <c r="V56">
        <v>0</v>
      </c>
      <c r="X56">
        <v>30.5</v>
      </c>
      <c r="Y56">
        <v>0</v>
      </c>
      <c r="Z56">
        <v>0</v>
      </c>
      <c r="AB56">
        <v>44.9</v>
      </c>
      <c r="AC56">
        <v>0</v>
      </c>
      <c r="AD56">
        <v>0</v>
      </c>
      <c r="AF56">
        <v>37.549999999999997</v>
      </c>
      <c r="AG56">
        <v>0</v>
      </c>
      <c r="AH56">
        <v>0</v>
      </c>
    </row>
    <row r="57" spans="1:34" x14ac:dyDescent="0.2">
      <c r="A57" t="s">
        <v>1427</v>
      </c>
      <c r="B57" t="s">
        <v>1429</v>
      </c>
      <c r="C57" s="2"/>
      <c r="D57">
        <v>43.1</v>
      </c>
      <c r="E57">
        <v>0</v>
      </c>
      <c r="F57">
        <v>0</v>
      </c>
      <c r="H57">
        <v>35.65</v>
      </c>
      <c r="I57">
        <v>0</v>
      </c>
      <c r="J57">
        <v>0</v>
      </c>
      <c r="L57">
        <v>31.2</v>
      </c>
      <c r="M57">
        <v>0</v>
      </c>
      <c r="N57">
        <v>0</v>
      </c>
      <c r="P57">
        <v>24.7</v>
      </c>
      <c r="Q57">
        <v>0</v>
      </c>
      <c r="R57">
        <v>0</v>
      </c>
      <c r="T57">
        <v>34.6</v>
      </c>
      <c r="U57">
        <v>0</v>
      </c>
      <c r="V57">
        <v>0</v>
      </c>
      <c r="X57">
        <v>28.3</v>
      </c>
      <c r="Y57">
        <v>0</v>
      </c>
      <c r="Z57">
        <v>0</v>
      </c>
      <c r="AB57">
        <v>42.9</v>
      </c>
      <c r="AC57">
        <v>0</v>
      </c>
      <c r="AD57">
        <v>0</v>
      </c>
      <c r="AF57">
        <v>36.85</v>
      </c>
      <c r="AG57">
        <v>0</v>
      </c>
      <c r="AH57">
        <v>0</v>
      </c>
    </row>
    <row r="58" spans="1:34" x14ac:dyDescent="0.2">
      <c r="A58" t="s">
        <v>1428</v>
      </c>
      <c r="B58" t="s">
        <v>1429</v>
      </c>
      <c r="C58" s="2"/>
      <c r="D58">
        <v>43.45</v>
      </c>
      <c r="E58">
        <v>0</v>
      </c>
      <c r="F58">
        <v>0</v>
      </c>
      <c r="H58">
        <v>36.1</v>
      </c>
      <c r="I58">
        <v>0</v>
      </c>
      <c r="J58">
        <v>0</v>
      </c>
      <c r="L58">
        <v>28.05</v>
      </c>
      <c r="M58">
        <v>0</v>
      </c>
      <c r="N58">
        <v>0</v>
      </c>
      <c r="P58">
        <v>23.9</v>
      </c>
      <c r="Q58">
        <v>0</v>
      </c>
      <c r="R58">
        <v>0</v>
      </c>
      <c r="T58">
        <v>32.85</v>
      </c>
      <c r="U58">
        <v>0</v>
      </c>
      <c r="V58">
        <v>0</v>
      </c>
      <c r="X58">
        <v>28.7</v>
      </c>
      <c r="Y58">
        <v>0</v>
      </c>
      <c r="Z58">
        <v>0</v>
      </c>
      <c r="AB58">
        <v>44.1</v>
      </c>
      <c r="AC58">
        <v>0</v>
      </c>
      <c r="AD58">
        <v>0</v>
      </c>
      <c r="AF58">
        <v>37.35</v>
      </c>
      <c r="AG58">
        <v>0</v>
      </c>
      <c r="AH58">
        <v>0</v>
      </c>
    </row>
    <row r="59" spans="1:34" x14ac:dyDescent="0.2">
      <c r="A59" t="s">
        <v>1417</v>
      </c>
      <c r="B59" t="s">
        <v>1429</v>
      </c>
      <c r="C59" s="2"/>
      <c r="D59">
        <v>42.85</v>
      </c>
      <c r="E59">
        <v>0</v>
      </c>
      <c r="F59">
        <v>0</v>
      </c>
      <c r="H59">
        <v>36.9</v>
      </c>
      <c r="I59">
        <v>0</v>
      </c>
      <c r="J59">
        <v>0</v>
      </c>
      <c r="L59">
        <v>30.45</v>
      </c>
      <c r="M59">
        <v>0</v>
      </c>
      <c r="N59">
        <v>0</v>
      </c>
      <c r="P59">
        <v>26.25</v>
      </c>
      <c r="Q59">
        <v>0</v>
      </c>
      <c r="R59">
        <v>0</v>
      </c>
      <c r="T59">
        <v>32.65</v>
      </c>
      <c r="U59">
        <v>0</v>
      </c>
      <c r="V59">
        <v>0</v>
      </c>
      <c r="X59">
        <v>28.25</v>
      </c>
      <c r="Y59">
        <v>0</v>
      </c>
      <c r="Z59">
        <v>0</v>
      </c>
      <c r="AB59">
        <v>44.45</v>
      </c>
      <c r="AC59">
        <v>0</v>
      </c>
      <c r="AD59">
        <v>0</v>
      </c>
      <c r="AF59">
        <v>38.35</v>
      </c>
      <c r="AG59">
        <v>0</v>
      </c>
      <c r="AH59">
        <v>0</v>
      </c>
    </row>
    <row r="60" spans="1:34" x14ac:dyDescent="0.2">
      <c r="A60" t="s">
        <v>1418</v>
      </c>
      <c r="B60" t="s">
        <v>1429</v>
      </c>
      <c r="C60" s="2"/>
      <c r="D60">
        <v>45.9</v>
      </c>
      <c r="E60">
        <v>0</v>
      </c>
      <c r="F60">
        <v>0</v>
      </c>
      <c r="H60">
        <v>39.6</v>
      </c>
      <c r="I60">
        <v>0</v>
      </c>
      <c r="J60">
        <v>0</v>
      </c>
      <c r="L60">
        <v>37.200000000000003</v>
      </c>
      <c r="M60">
        <v>0</v>
      </c>
      <c r="N60">
        <v>0</v>
      </c>
      <c r="P60">
        <v>30.65</v>
      </c>
      <c r="Q60">
        <v>0</v>
      </c>
      <c r="R60">
        <v>0</v>
      </c>
      <c r="T60">
        <v>36.549999999999997</v>
      </c>
      <c r="U60">
        <v>0</v>
      </c>
      <c r="V60">
        <v>0</v>
      </c>
      <c r="X60">
        <v>30.75</v>
      </c>
      <c r="Y60">
        <v>0</v>
      </c>
      <c r="Z60">
        <v>0</v>
      </c>
      <c r="AB60">
        <v>47.65</v>
      </c>
      <c r="AC60">
        <v>0</v>
      </c>
      <c r="AD60">
        <v>0</v>
      </c>
      <c r="AF60">
        <v>40.5</v>
      </c>
      <c r="AG60">
        <v>0</v>
      </c>
      <c r="AH60">
        <v>0</v>
      </c>
    </row>
    <row r="61" spans="1:34" x14ac:dyDescent="0.2">
      <c r="A61" t="s">
        <v>1419</v>
      </c>
      <c r="B61" t="s">
        <v>1535</v>
      </c>
      <c r="C61" s="2"/>
      <c r="D61">
        <v>46.2</v>
      </c>
      <c r="E61">
        <v>0</v>
      </c>
      <c r="F61">
        <v>0</v>
      </c>
      <c r="H61">
        <v>39.15</v>
      </c>
      <c r="I61">
        <v>0</v>
      </c>
      <c r="J61">
        <v>0</v>
      </c>
      <c r="L61">
        <v>38.6</v>
      </c>
      <c r="M61">
        <v>0</v>
      </c>
      <c r="N61">
        <v>0</v>
      </c>
      <c r="P61">
        <v>31.3</v>
      </c>
      <c r="Q61">
        <v>0</v>
      </c>
      <c r="R61">
        <v>0</v>
      </c>
      <c r="T61">
        <v>36.950000000000003</v>
      </c>
      <c r="U61">
        <v>0</v>
      </c>
      <c r="V61">
        <v>0</v>
      </c>
      <c r="X61">
        <v>32.15</v>
      </c>
      <c r="Y61">
        <v>0</v>
      </c>
      <c r="Z61">
        <v>0</v>
      </c>
      <c r="AB61">
        <v>48.9</v>
      </c>
      <c r="AC61">
        <v>0</v>
      </c>
      <c r="AD61">
        <v>0</v>
      </c>
      <c r="AF61">
        <v>42.1</v>
      </c>
      <c r="AG61">
        <v>0</v>
      </c>
      <c r="AH61">
        <v>0</v>
      </c>
    </row>
    <row r="62" spans="1:34" x14ac:dyDescent="0.2">
      <c r="A62" t="s">
        <v>1420</v>
      </c>
      <c r="B62" t="s">
        <v>1535</v>
      </c>
      <c r="C62" s="2"/>
      <c r="D62">
        <v>44.25</v>
      </c>
      <c r="E62">
        <v>0</v>
      </c>
      <c r="F62">
        <v>0</v>
      </c>
      <c r="H62">
        <v>38.200000000000003</v>
      </c>
      <c r="I62">
        <v>0</v>
      </c>
      <c r="J62">
        <v>0</v>
      </c>
      <c r="L62">
        <v>32.9</v>
      </c>
      <c r="M62">
        <v>0</v>
      </c>
      <c r="N62">
        <v>0</v>
      </c>
      <c r="P62">
        <v>28.1</v>
      </c>
      <c r="Q62">
        <v>0</v>
      </c>
      <c r="R62">
        <v>0</v>
      </c>
      <c r="T62">
        <v>36.15</v>
      </c>
      <c r="U62">
        <v>0</v>
      </c>
      <c r="V62">
        <v>0</v>
      </c>
      <c r="X62">
        <v>30.4</v>
      </c>
      <c r="Y62">
        <v>0</v>
      </c>
      <c r="Z62">
        <v>0</v>
      </c>
      <c r="AB62">
        <v>46.8</v>
      </c>
      <c r="AC62">
        <v>0</v>
      </c>
      <c r="AD62">
        <v>0</v>
      </c>
      <c r="AF62">
        <v>39.6</v>
      </c>
      <c r="AG62">
        <v>0</v>
      </c>
      <c r="AH62">
        <v>0</v>
      </c>
    </row>
    <row r="63" spans="1:34" x14ac:dyDescent="0.2">
      <c r="A63" t="s">
        <v>1421</v>
      </c>
      <c r="B63" t="s">
        <v>1535</v>
      </c>
      <c r="C63" s="2"/>
      <c r="D63">
        <v>38.6</v>
      </c>
      <c r="E63">
        <v>0</v>
      </c>
      <c r="F63">
        <v>0</v>
      </c>
      <c r="H63">
        <v>34</v>
      </c>
      <c r="I63">
        <v>0</v>
      </c>
      <c r="J63">
        <v>0</v>
      </c>
      <c r="L63">
        <v>27.1</v>
      </c>
      <c r="M63">
        <v>0</v>
      </c>
      <c r="N63">
        <v>0</v>
      </c>
      <c r="P63">
        <v>23.3</v>
      </c>
      <c r="Q63">
        <v>0</v>
      </c>
      <c r="R63">
        <v>0</v>
      </c>
      <c r="T63">
        <v>31.9</v>
      </c>
      <c r="U63">
        <v>0</v>
      </c>
      <c r="V63">
        <v>0</v>
      </c>
      <c r="X63">
        <v>28</v>
      </c>
      <c r="Y63">
        <v>0</v>
      </c>
      <c r="Z63">
        <v>0</v>
      </c>
      <c r="AB63">
        <v>41.75</v>
      </c>
      <c r="AC63">
        <v>0</v>
      </c>
      <c r="AD63">
        <v>0</v>
      </c>
      <c r="AF63">
        <v>35.200000000000003</v>
      </c>
      <c r="AG63">
        <v>0</v>
      </c>
      <c r="AH63">
        <v>0</v>
      </c>
    </row>
    <row r="64" spans="1:34" x14ac:dyDescent="0.2">
      <c r="A64" t="s">
        <v>1422</v>
      </c>
      <c r="B64" t="s">
        <v>1535</v>
      </c>
      <c r="C64" s="2"/>
      <c r="D64">
        <v>31.85</v>
      </c>
      <c r="E64">
        <v>0</v>
      </c>
      <c r="F64">
        <v>0</v>
      </c>
      <c r="H64">
        <v>28.75</v>
      </c>
      <c r="I64">
        <v>0</v>
      </c>
      <c r="J64">
        <v>0</v>
      </c>
      <c r="L64">
        <v>25.7</v>
      </c>
      <c r="M64">
        <v>0</v>
      </c>
      <c r="N64">
        <v>0</v>
      </c>
      <c r="P64">
        <v>20.05</v>
      </c>
      <c r="Q64">
        <v>0</v>
      </c>
      <c r="R64">
        <v>0</v>
      </c>
      <c r="T64">
        <v>29.75</v>
      </c>
      <c r="U64">
        <v>0</v>
      </c>
      <c r="V64">
        <v>0</v>
      </c>
      <c r="X64">
        <v>23.85</v>
      </c>
      <c r="Y64">
        <v>0</v>
      </c>
      <c r="Z64">
        <v>0</v>
      </c>
      <c r="AB64">
        <v>34.950000000000003</v>
      </c>
      <c r="AC64">
        <v>0</v>
      </c>
      <c r="AD64">
        <v>0</v>
      </c>
      <c r="AF64">
        <v>29.25</v>
      </c>
      <c r="AG64">
        <v>0</v>
      </c>
      <c r="AH64">
        <v>0</v>
      </c>
    </row>
    <row r="65" spans="1:34" x14ac:dyDescent="0.2">
      <c r="A65" t="s">
        <v>1423</v>
      </c>
      <c r="B65" t="s">
        <v>1535</v>
      </c>
      <c r="C65" s="2"/>
      <c r="D65">
        <v>31.95</v>
      </c>
      <c r="E65">
        <v>0</v>
      </c>
      <c r="F65">
        <v>0</v>
      </c>
      <c r="H65">
        <v>28.4</v>
      </c>
      <c r="I65">
        <v>0</v>
      </c>
      <c r="J65">
        <v>0</v>
      </c>
      <c r="L65">
        <v>24.1</v>
      </c>
      <c r="M65">
        <v>0</v>
      </c>
      <c r="N65">
        <v>0</v>
      </c>
      <c r="P65">
        <v>15.85</v>
      </c>
      <c r="Q65">
        <v>0</v>
      </c>
      <c r="R65">
        <v>0</v>
      </c>
      <c r="T65">
        <v>31.2</v>
      </c>
      <c r="U65">
        <v>0</v>
      </c>
      <c r="V65">
        <v>0</v>
      </c>
      <c r="X65">
        <v>25.45</v>
      </c>
      <c r="Y65">
        <v>0</v>
      </c>
      <c r="Z65">
        <v>0</v>
      </c>
      <c r="AB65">
        <v>35.1</v>
      </c>
      <c r="AC65">
        <v>0</v>
      </c>
      <c r="AD65">
        <v>0</v>
      </c>
      <c r="AF65">
        <v>28.6</v>
      </c>
      <c r="AG65">
        <v>0</v>
      </c>
      <c r="AH65">
        <v>0</v>
      </c>
    </row>
    <row r="66" spans="1:34" x14ac:dyDescent="0.2">
      <c r="A66" t="s">
        <v>1424</v>
      </c>
      <c r="B66" t="s">
        <v>1535</v>
      </c>
      <c r="C66" s="2"/>
      <c r="D66">
        <v>36.35</v>
      </c>
      <c r="E66">
        <v>0</v>
      </c>
      <c r="F66">
        <v>0</v>
      </c>
      <c r="H66">
        <v>29.85</v>
      </c>
      <c r="I66">
        <v>0</v>
      </c>
      <c r="J66">
        <v>0</v>
      </c>
      <c r="L66">
        <v>24.5</v>
      </c>
      <c r="M66">
        <v>0</v>
      </c>
      <c r="N66">
        <v>0</v>
      </c>
      <c r="P66">
        <v>14.5</v>
      </c>
      <c r="Q66">
        <v>0</v>
      </c>
      <c r="R66">
        <v>0</v>
      </c>
      <c r="T66">
        <v>36.9</v>
      </c>
      <c r="U66">
        <v>0</v>
      </c>
      <c r="V66">
        <v>0</v>
      </c>
      <c r="X66">
        <v>27.45</v>
      </c>
      <c r="Y66">
        <v>0</v>
      </c>
      <c r="Z66">
        <v>0</v>
      </c>
      <c r="AB66">
        <v>37.700000000000003</v>
      </c>
      <c r="AC66">
        <v>0</v>
      </c>
      <c r="AD66">
        <v>0</v>
      </c>
      <c r="AF66">
        <v>31.05</v>
      </c>
      <c r="AG66">
        <v>0</v>
      </c>
      <c r="AH66">
        <v>0</v>
      </c>
    </row>
    <row r="67" spans="1:34" x14ac:dyDescent="0.2">
      <c r="A67" t="s">
        <v>1425</v>
      </c>
      <c r="B67" t="s">
        <v>1535</v>
      </c>
      <c r="C67" s="2"/>
      <c r="D67">
        <v>45.05</v>
      </c>
      <c r="E67">
        <v>0</v>
      </c>
      <c r="F67">
        <v>0</v>
      </c>
      <c r="H67">
        <v>36.75</v>
      </c>
      <c r="I67">
        <v>0</v>
      </c>
      <c r="J67">
        <v>0</v>
      </c>
      <c r="L67">
        <v>33</v>
      </c>
      <c r="M67">
        <v>0</v>
      </c>
      <c r="N67">
        <v>0</v>
      </c>
      <c r="P67">
        <v>22.15</v>
      </c>
      <c r="Q67">
        <v>0</v>
      </c>
      <c r="R67">
        <v>0</v>
      </c>
      <c r="T67">
        <v>46.65</v>
      </c>
      <c r="U67">
        <v>0</v>
      </c>
      <c r="V67">
        <v>0</v>
      </c>
      <c r="X67">
        <v>31.9</v>
      </c>
      <c r="Y67">
        <v>0</v>
      </c>
      <c r="Z67">
        <v>0</v>
      </c>
      <c r="AB67">
        <v>44.45</v>
      </c>
      <c r="AC67">
        <v>0</v>
      </c>
      <c r="AD67">
        <v>0</v>
      </c>
      <c r="AF67">
        <v>36.5</v>
      </c>
      <c r="AG67">
        <v>0</v>
      </c>
      <c r="AH67">
        <v>0</v>
      </c>
    </row>
    <row r="68" spans="1:34" x14ac:dyDescent="0.2">
      <c r="A68" t="s">
        <v>1426</v>
      </c>
      <c r="B68" t="s">
        <v>1535</v>
      </c>
      <c r="C68" s="2"/>
      <c r="D68">
        <v>47.25</v>
      </c>
      <c r="E68">
        <v>0</v>
      </c>
      <c r="F68">
        <v>0</v>
      </c>
      <c r="H68">
        <v>38.65</v>
      </c>
      <c r="I68">
        <v>0</v>
      </c>
      <c r="J68">
        <v>0</v>
      </c>
      <c r="L68">
        <v>37.1</v>
      </c>
      <c r="M68">
        <v>0</v>
      </c>
      <c r="N68">
        <v>0</v>
      </c>
      <c r="P68">
        <v>27.35</v>
      </c>
      <c r="Q68">
        <v>0</v>
      </c>
      <c r="R68">
        <v>0</v>
      </c>
      <c r="T68">
        <v>45.65</v>
      </c>
      <c r="U68">
        <v>0</v>
      </c>
      <c r="V68">
        <v>0</v>
      </c>
      <c r="X68">
        <v>32.700000000000003</v>
      </c>
      <c r="Y68">
        <v>0</v>
      </c>
      <c r="Z68">
        <v>0</v>
      </c>
      <c r="AB68">
        <v>47</v>
      </c>
      <c r="AC68">
        <v>0</v>
      </c>
      <c r="AD68">
        <v>0</v>
      </c>
      <c r="AF68">
        <v>39.25</v>
      </c>
      <c r="AG68">
        <v>0</v>
      </c>
      <c r="AH68">
        <v>0</v>
      </c>
    </row>
    <row r="69" spans="1:34" x14ac:dyDescent="0.2">
      <c r="A69" t="s">
        <v>1427</v>
      </c>
      <c r="B69" t="s">
        <v>1535</v>
      </c>
      <c r="C69" s="2"/>
      <c r="D69">
        <v>44.75</v>
      </c>
      <c r="E69">
        <v>0</v>
      </c>
      <c r="F69">
        <v>0</v>
      </c>
      <c r="H69">
        <v>37.549999999999997</v>
      </c>
      <c r="I69">
        <v>0</v>
      </c>
      <c r="J69">
        <v>0</v>
      </c>
      <c r="L69">
        <v>33.5</v>
      </c>
      <c r="M69">
        <v>0</v>
      </c>
      <c r="N69">
        <v>0</v>
      </c>
      <c r="P69">
        <v>27.2</v>
      </c>
      <c r="Q69">
        <v>0</v>
      </c>
      <c r="R69">
        <v>0</v>
      </c>
      <c r="T69">
        <v>37.35</v>
      </c>
      <c r="U69">
        <v>0</v>
      </c>
      <c r="V69">
        <v>0</v>
      </c>
      <c r="X69">
        <v>30.3</v>
      </c>
      <c r="Y69">
        <v>0</v>
      </c>
      <c r="Z69">
        <v>0</v>
      </c>
      <c r="AB69">
        <v>44.95</v>
      </c>
      <c r="AC69">
        <v>0</v>
      </c>
      <c r="AD69">
        <v>0</v>
      </c>
      <c r="AF69">
        <v>38.5</v>
      </c>
      <c r="AG69">
        <v>0</v>
      </c>
      <c r="AH69">
        <v>0</v>
      </c>
    </row>
    <row r="70" spans="1:34" x14ac:dyDescent="0.2">
      <c r="A70" t="s">
        <v>1428</v>
      </c>
      <c r="B70" t="s">
        <v>1535</v>
      </c>
      <c r="C70" s="2"/>
      <c r="D70">
        <v>44.8</v>
      </c>
      <c r="E70">
        <v>0</v>
      </c>
      <c r="F70">
        <v>0</v>
      </c>
      <c r="H70">
        <v>38.049999999999997</v>
      </c>
      <c r="I70">
        <v>0</v>
      </c>
      <c r="J70">
        <v>0</v>
      </c>
      <c r="L70">
        <v>30.15</v>
      </c>
      <c r="M70">
        <v>0</v>
      </c>
      <c r="N70">
        <v>0</v>
      </c>
      <c r="P70">
        <v>25.3</v>
      </c>
      <c r="Q70">
        <v>0</v>
      </c>
      <c r="R70">
        <v>0</v>
      </c>
      <c r="T70">
        <v>35.65</v>
      </c>
      <c r="U70">
        <v>0</v>
      </c>
      <c r="V70">
        <v>0</v>
      </c>
      <c r="X70">
        <v>30.8</v>
      </c>
      <c r="Y70">
        <v>0</v>
      </c>
      <c r="Z70">
        <v>0</v>
      </c>
      <c r="AB70">
        <v>46.2</v>
      </c>
      <c r="AC70">
        <v>0</v>
      </c>
      <c r="AD70">
        <v>0</v>
      </c>
      <c r="AF70">
        <v>39.200000000000003</v>
      </c>
      <c r="AG70">
        <v>0</v>
      </c>
      <c r="AH70">
        <v>0</v>
      </c>
    </row>
    <row r="71" spans="1:34" x14ac:dyDescent="0.2">
      <c r="A71" t="s">
        <v>1417</v>
      </c>
      <c r="B71" t="s">
        <v>1535</v>
      </c>
      <c r="C71" s="2"/>
      <c r="D71">
        <v>44.25</v>
      </c>
      <c r="E71">
        <v>0</v>
      </c>
      <c r="F71">
        <v>0</v>
      </c>
      <c r="H71">
        <v>37.9</v>
      </c>
      <c r="I71">
        <v>0</v>
      </c>
      <c r="J71">
        <v>0</v>
      </c>
      <c r="L71">
        <v>32.85</v>
      </c>
      <c r="M71">
        <v>0</v>
      </c>
      <c r="N71">
        <v>0</v>
      </c>
      <c r="P71">
        <v>27.9</v>
      </c>
      <c r="Q71">
        <v>0</v>
      </c>
      <c r="R71">
        <v>0</v>
      </c>
      <c r="T71">
        <v>35.35</v>
      </c>
      <c r="U71">
        <v>0</v>
      </c>
      <c r="V71">
        <v>0</v>
      </c>
      <c r="X71">
        <v>30.3</v>
      </c>
      <c r="Y71">
        <v>0</v>
      </c>
      <c r="Z71">
        <v>0</v>
      </c>
      <c r="AB71">
        <v>46.7</v>
      </c>
      <c r="AC71">
        <v>0</v>
      </c>
      <c r="AD71">
        <v>0</v>
      </c>
      <c r="AF71">
        <v>40.1</v>
      </c>
      <c r="AG71">
        <v>0</v>
      </c>
      <c r="AH71">
        <v>0</v>
      </c>
    </row>
    <row r="72" spans="1:34" x14ac:dyDescent="0.2">
      <c r="A72" t="s">
        <v>1418</v>
      </c>
      <c r="B72" t="s">
        <v>1535</v>
      </c>
      <c r="C72" s="2"/>
      <c r="D72">
        <v>47.25</v>
      </c>
      <c r="E72">
        <v>0</v>
      </c>
      <c r="F72">
        <v>0</v>
      </c>
      <c r="H72">
        <v>40.75</v>
      </c>
      <c r="I72">
        <v>0</v>
      </c>
      <c r="J72">
        <v>0</v>
      </c>
      <c r="L72">
        <v>40.15</v>
      </c>
      <c r="M72">
        <v>0</v>
      </c>
      <c r="N72">
        <v>0</v>
      </c>
      <c r="P72">
        <v>32.6</v>
      </c>
      <c r="Q72">
        <v>0</v>
      </c>
      <c r="R72">
        <v>0</v>
      </c>
      <c r="T72">
        <v>39.6</v>
      </c>
      <c r="U72">
        <v>0</v>
      </c>
      <c r="V72">
        <v>0</v>
      </c>
      <c r="X72">
        <v>33</v>
      </c>
      <c r="Y72">
        <v>0</v>
      </c>
      <c r="Z72">
        <v>0</v>
      </c>
      <c r="AB72">
        <v>49.7</v>
      </c>
      <c r="AC72">
        <v>0</v>
      </c>
      <c r="AD72">
        <v>0</v>
      </c>
      <c r="AF72">
        <v>42.2</v>
      </c>
      <c r="AG72">
        <v>0</v>
      </c>
      <c r="AH72">
        <v>0</v>
      </c>
    </row>
    <row r="73" spans="1:34" x14ac:dyDescent="0.2">
      <c r="A73" t="s">
        <v>1419</v>
      </c>
      <c r="B73" t="s">
        <v>1536</v>
      </c>
      <c r="C73" s="2"/>
      <c r="D73">
        <v>47.3</v>
      </c>
      <c r="E73">
        <v>0</v>
      </c>
      <c r="F73">
        <v>0</v>
      </c>
      <c r="H73">
        <v>40.450000000000003</v>
      </c>
      <c r="I73">
        <v>0</v>
      </c>
      <c r="J73">
        <v>0</v>
      </c>
      <c r="L73">
        <v>39.700000000000003</v>
      </c>
      <c r="M73">
        <v>0</v>
      </c>
      <c r="N73">
        <v>0</v>
      </c>
      <c r="P73">
        <v>32.450000000000003</v>
      </c>
      <c r="Q73">
        <v>0</v>
      </c>
      <c r="R73">
        <v>0</v>
      </c>
      <c r="T73">
        <v>38.15</v>
      </c>
      <c r="U73">
        <v>0</v>
      </c>
      <c r="V73">
        <v>0</v>
      </c>
      <c r="X73">
        <v>33.65</v>
      </c>
      <c r="Y73">
        <v>0</v>
      </c>
      <c r="Z73">
        <v>0</v>
      </c>
      <c r="AB73">
        <v>50.45</v>
      </c>
      <c r="AC73">
        <v>0</v>
      </c>
      <c r="AD73">
        <v>0</v>
      </c>
      <c r="AF73">
        <v>43.45</v>
      </c>
      <c r="AG73">
        <v>0</v>
      </c>
      <c r="AH73">
        <v>0</v>
      </c>
    </row>
    <row r="74" spans="1:34" x14ac:dyDescent="0.2">
      <c r="A74" t="s">
        <v>1420</v>
      </c>
      <c r="B74" t="s">
        <v>1536</v>
      </c>
      <c r="C74" s="2"/>
      <c r="D74">
        <v>45.3</v>
      </c>
      <c r="E74">
        <v>0</v>
      </c>
      <c r="F74">
        <v>0</v>
      </c>
      <c r="H74">
        <v>39.5</v>
      </c>
      <c r="I74">
        <v>0</v>
      </c>
      <c r="J74">
        <v>0</v>
      </c>
      <c r="L74">
        <v>34.1</v>
      </c>
      <c r="M74">
        <v>0</v>
      </c>
      <c r="N74">
        <v>0</v>
      </c>
      <c r="P74">
        <v>29.65</v>
      </c>
      <c r="Q74">
        <v>0</v>
      </c>
      <c r="R74">
        <v>0</v>
      </c>
      <c r="T74">
        <v>37.25</v>
      </c>
      <c r="U74">
        <v>0</v>
      </c>
      <c r="V74">
        <v>0</v>
      </c>
      <c r="X74">
        <v>31.7</v>
      </c>
      <c r="Y74">
        <v>0</v>
      </c>
      <c r="Z74">
        <v>0</v>
      </c>
      <c r="AB74">
        <v>48.4</v>
      </c>
      <c r="AC74">
        <v>0</v>
      </c>
      <c r="AD74">
        <v>0</v>
      </c>
      <c r="AF74">
        <v>40.700000000000003</v>
      </c>
      <c r="AG74">
        <v>0</v>
      </c>
      <c r="AH74">
        <v>0</v>
      </c>
    </row>
    <row r="75" spans="1:34" x14ac:dyDescent="0.2">
      <c r="A75" t="s">
        <v>1421</v>
      </c>
      <c r="B75" t="s">
        <v>1536</v>
      </c>
      <c r="C75" s="2"/>
      <c r="D75">
        <v>39.549999999999997</v>
      </c>
      <c r="E75">
        <v>0</v>
      </c>
      <c r="F75">
        <v>0</v>
      </c>
      <c r="H75">
        <v>35.25</v>
      </c>
      <c r="I75">
        <v>0</v>
      </c>
      <c r="J75">
        <v>0</v>
      </c>
      <c r="L75">
        <v>27.95</v>
      </c>
      <c r="M75">
        <v>0</v>
      </c>
      <c r="N75">
        <v>0</v>
      </c>
      <c r="P75">
        <v>24.35</v>
      </c>
      <c r="Q75">
        <v>0</v>
      </c>
      <c r="R75">
        <v>0</v>
      </c>
      <c r="T75">
        <v>32.9</v>
      </c>
      <c r="U75">
        <v>0</v>
      </c>
      <c r="V75">
        <v>0</v>
      </c>
      <c r="X75">
        <v>29.4</v>
      </c>
      <c r="Y75">
        <v>0</v>
      </c>
      <c r="Z75">
        <v>0</v>
      </c>
      <c r="AB75">
        <v>43.2</v>
      </c>
      <c r="AC75">
        <v>0</v>
      </c>
      <c r="AD75">
        <v>0</v>
      </c>
      <c r="AF75">
        <v>36.4</v>
      </c>
      <c r="AG75">
        <v>0</v>
      </c>
      <c r="AH75">
        <v>0</v>
      </c>
    </row>
    <row r="76" spans="1:34" x14ac:dyDescent="0.2">
      <c r="A76" t="s">
        <v>1422</v>
      </c>
      <c r="B76" t="s">
        <v>1536</v>
      </c>
      <c r="C76" s="2"/>
      <c r="D76">
        <v>32.700000000000003</v>
      </c>
      <c r="E76">
        <v>0</v>
      </c>
      <c r="F76">
        <v>0</v>
      </c>
      <c r="H76">
        <v>29.4</v>
      </c>
      <c r="I76">
        <v>0</v>
      </c>
      <c r="J76">
        <v>0</v>
      </c>
      <c r="L76">
        <v>26.35</v>
      </c>
      <c r="M76">
        <v>0</v>
      </c>
      <c r="N76">
        <v>0</v>
      </c>
      <c r="P76">
        <v>21.25</v>
      </c>
      <c r="Q76">
        <v>0</v>
      </c>
      <c r="R76">
        <v>0</v>
      </c>
      <c r="T76">
        <v>30.7</v>
      </c>
      <c r="U76">
        <v>0</v>
      </c>
      <c r="V76">
        <v>0</v>
      </c>
      <c r="X76">
        <v>25.4</v>
      </c>
      <c r="Y76">
        <v>0</v>
      </c>
      <c r="Z76">
        <v>0</v>
      </c>
      <c r="AB76">
        <v>35.950000000000003</v>
      </c>
      <c r="AC76">
        <v>0</v>
      </c>
      <c r="AD76">
        <v>0</v>
      </c>
      <c r="AF76">
        <v>30.3</v>
      </c>
      <c r="AG76">
        <v>0</v>
      </c>
      <c r="AH76">
        <v>0</v>
      </c>
    </row>
    <row r="77" spans="1:34" x14ac:dyDescent="0.2">
      <c r="A77" t="s">
        <v>1423</v>
      </c>
      <c r="B77" t="s">
        <v>1536</v>
      </c>
      <c r="C77" s="2"/>
      <c r="D77">
        <v>32.799999999999997</v>
      </c>
      <c r="E77">
        <v>0</v>
      </c>
      <c r="F77">
        <v>0</v>
      </c>
      <c r="H77">
        <v>29.15</v>
      </c>
      <c r="I77">
        <v>0</v>
      </c>
      <c r="J77">
        <v>0</v>
      </c>
      <c r="L77">
        <v>24.95</v>
      </c>
      <c r="M77">
        <v>0</v>
      </c>
      <c r="N77">
        <v>0</v>
      </c>
      <c r="P77">
        <v>17</v>
      </c>
      <c r="Q77">
        <v>0</v>
      </c>
      <c r="R77">
        <v>0</v>
      </c>
      <c r="T77">
        <v>32.049999999999997</v>
      </c>
      <c r="U77">
        <v>0</v>
      </c>
      <c r="V77">
        <v>0</v>
      </c>
      <c r="X77">
        <v>26.9</v>
      </c>
      <c r="Y77">
        <v>0</v>
      </c>
      <c r="Z77">
        <v>0</v>
      </c>
      <c r="AB77">
        <v>36.049999999999997</v>
      </c>
      <c r="AC77">
        <v>0</v>
      </c>
      <c r="AD77">
        <v>0</v>
      </c>
      <c r="AF77">
        <v>29.45</v>
      </c>
      <c r="AG77">
        <v>0</v>
      </c>
      <c r="AH77">
        <v>0</v>
      </c>
    </row>
    <row r="78" spans="1:34" x14ac:dyDescent="0.2">
      <c r="A78" t="s">
        <v>1424</v>
      </c>
      <c r="B78" t="s">
        <v>1536</v>
      </c>
      <c r="C78" s="2"/>
      <c r="D78">
        <v>37.1</v>
      </c>
      <c r="E78">
        <v>0</v>
      </c>
      <c r="F78">
        <v>0</v>
      </c>
      <c r="H78">
        <v>30.55</v>
      </c>
      <c r="I78">
        <v>0</v>
      </c>
      <c r="J78">
        <v>0</v>
      </c>
      <c r="L78">
        <v>25.45</v>
      </c>
      <c r="M78">
        <v>0</v>
      </c>
      <c r="N78">
        <v>0</v>
      </c>
      <c r="P78">
        <v>15.6</v>
      </c>
      <c r="Q78">
        <v>0</v>
      </c>
      <c r="R78">
        <v>0</v>
      </c>
      <c r="T78">
        <v>37.75</v>
      </c>
      <c r="U78">
        <v>0</v>
      </c>
      <c r="V78">
        <v>0</v>
      </c>
      <c r="X78">
        <v>28.95</v>
      </c>
      <c r="Y78">
        <v>0</v>
      </c>
      <c r="Z78">
        <v>0</v>
      </c>
      <c r="AB78">
        <v>38.9</v>
      </c>
      <c r="AC78">
        <v>0</v>
      </c>
      <c r="AD78">
        <v>0</v>
      </c>
      <c r="AF78">
        <v>32.049999999999997</v>
      </c>
      <c r="AG78">
        <v>0</v>
      </c>
      <c r="AH78">
        <v>0</v>
      </c>
    </row>
    <row r="79" spans="1:34" x14ac:dyDescent="0.2">
      <c r="A79" t="s">
        <v>1425</v>
      </c>
      <c r="B79" t="s">
        <v>1536</v>
      </c>
      <c r="C79" s="2"/>
      <c r="D79">
        <v>46.45</v>
      </c>
      <c r="E79">
        <v>0</v>
      </c>
      <c r="F79">
        <v>0</v>
      </c>
      <c r="H79">
        <v>37.9</v>
      </c>
      <c r="I79">
        <v>0</v>
      </c>
      <c r="J79">
        <v>0</v>
      </c>
      <c r="L79">
        <v>34.9</v>
      </c>
      <c r="M79">
        <v>0</v>
      </c>
      <c r="N79">
        <v>0</v>
      </c>
      <c r="P79">
        <v>23.8</v>
      </c>
      <c r="Q79">
        <v>0</v>
      </c>
      <c r="R79">
        <v>0</v>
      </c>
      <c r="T79">
        <v>48.85</v>
      </c>
      <c r="U79">
        <v>0</v>
      </c>
      <c r="V79">
        <v>0</v>
      </c>
      <c r="X79">
        <v>34</v>
      </c>
      <c r="Y79">
        <v>0</v>
      </c>
      <c r="Z79">
        <v>0</v>
      </c>
      <c r="AB79">
        <v>46.1</v>
      </c>
      <c r="AC79">
        <v>0</v>
      </c>
      <c r="AD79">
        <v>0</v>
      </c>
      <c r="AF79">
        <v>37.75</v>
      </c>
      <c r="AG79">
        <v>0</v>
      </c>
      <c r="AH79">
        <v>0</v>
      </c>
    </row>
    <row r="80" spans="1:34" x14ac:dyDescent="0.2">
      <c r="A80" t="s">
        <v>1426</v>
      </c>
      <c r="B80" t="s">
        <v>1536</v>
      </c>
      <c r="C80" s="2"/>
      <c r="D80">
        <v>48.85</v>
      </c>
      <c r="E80">
        <v>0</v>
      </c>
      <c r="F80">
        <v>0</v>
      </c>
      <c r="H80">
        <v>40.299999999999997</v>
      </c>
      <c r="I80">
        <v>0</v>
      </c>
      <c r="J80">
        <v>0</v>
      </c>
      <c r="L80">
        <v>39.5</v>
      </c>
      <c r="M80">
        <v>0</v>
      </c>
      <c r="N80">
        <v>0</v>
      </c>
      <c r="P80">
        <v>29.15</v>
      </c>
      <c r="Q80">
        <v>0</v>
      </c>
      <c r="R80">
        <v>0</v>
      </c>
      <c r="T80">
        <v>48.05</v>
      </c>
      <c r="U80">
        <v>0</v>
      </c>
      <c r="V80">
        <v>0</v>
      </c>
      <c r="X80">
        <v>34.950000000000003</v>
      </c>
      <c r="Y80">
        <v>0</v>
      </c>
      <c r="Z80">
        <v>0</v>
      </c>
      <c r="AB80">
        <v>48.75</v>
      </c>
      <c r="AC80">
        <v>0</v>
      </c>
      <c r="AD80">
        <v>0</v>
      </c>
      <c r="AF80">
        <v>40.450000000000003</v>
      </c>
      <c r="AG80">
        <v>0</v>
      </c>
      <c r="AH80">
        <v>0</v>
      </c>
    </row>
    <row r="81" spans="1:34" x14ac:dyDescent="0.2">
      <c r="A81" t="s">
        <v>1427</v>
      </c>
      <c r="B81" t="s">
        <v>1536</v>
      </c>
      <c r="C81" s="2"/>
      <c r="D81">
        <v>46.05</v>
      </c>
      <c r="E81">
        <v>0</v>
      </c>
      <c r="F81">
        <v>0</v>
      </c>
      <c r="H81">
        <v>38.65</v>
      </c>
      <c r="I81">
        <v>0</v>
      </c>
      <c r="J81">
        <v>0</v>
      </c>
      <c r="L81">
        <v>35.200000000000003</v>
      </c>
      <c r="M81">
        <v>0</v>
      </c>
      <c r="N81">
        <v>0</v>
      </c>
      <c r="P81">
        <v>29.25</v>
      </c>
      <c r="Q81">
        <v>0</v>
      </c>
      <c r="R81">
        <v>0</v>
      </c>
      <c r="T81">
        <v>38.85</v>
      </c>
      <c r="U81">
        <v>0</v>
      </c>
      <c r="V81">
        <v>0</v>
      </c>
      <c r="X81">
        <v>32.1</v>
      </c>
      <c r="Y81">
        <v>0</v>
      </c>
      <c r="Z81">
        <v>0</v>
      </c>
      <c r="AB81">
        <v>46.55</v>
      </c>
      <c r="AC81">
        <v>0</v>
      </c>
      <c r="AD81">
        <v>0</v>
      </c>
      <c r="AF81">
        <v>39.6</v>
      </c>
      <c r="AG81">
        <v>0</v>
      </c>
      <c r="AH81">
        <v>0</v>
      </c>
    </row>
    <row r="82" spans="1:34" x14ac:dyDescent="0.2">
      <c r="A82" t="s">
        <v>1428</v>
      </c>
      <c r="B82" t="s">
        <v>1536</v>
      </c>
      <c r="C82" s="2"/>
      <c r="D82">
        <v>45.8</v>
      </c>
      <c r="E82">
        <v>0</v>
      </c>
      <c r="F82">
        <v>0</v>
      </c>
      <c r="H82">
        <v>39.299999999999997</v>
      </c>
      <c r="I82">
        <v>0</v>
      </c>
      <c r="J82">
        <v>0</v>
      </c>
      <c r="L82">
        <v>31.15</v>
      </c>
      <c r="M82">
        <v>0</v>
      </c>
      <c r="N82">
        <v>0</v>
      </c>
      <c r="P82">
        <v>26.6</v>
      </c>
      <c r="Q82">
        <v>0</v>
      </c>
      <c r="R82">
        <v>0</v>
      </c>
      <c r="T82">
        <v>37.15</v>
      </c>
      <c r="U82">
        <v>0</v>
      </c>
      <c r="V82">
        <v>0</v>
      </c>
      <c r="X82">
        <v>32.6</v>
      </c>
      <c r="Y82">
        <v>0</v>
      </c>
      <c r="Z82">
        <v>0</v>
      </c>
      <c r="AB82">
        <v>47.8</v>
      </c>
      <c r="AC82">
        <v>0</v>
      </c>
      <c r="AD82">
        <v>0</v>
      </c>
      <c r="AF82">
        <v>40.35</v>
      </c>
      <c r="AG82">
        <v>0</v>
      </c>
      <c r="AH82">
        <v>0</v>
      </c>
    </row>
    <row r="83" spans="1:34" x14ac:dyDescent="0.2">
      <c r="A83" t="s">
        <v>1417</v>
      </c>
      <c r="B83" t="s">
        <v>1536</v>
      </c>
      <c r="C83" s="2"/>
      <c r="D83">
        <v>45.25</v>
      </c>
      <c r="E83">
        <v>0</v>
      </c>
      <c r="F83">
        <v>0</v>
      </c>
      <c r="H83">
        <v>39.049999999999997</v>
      </c>
      <c r="I83">
        <v>0</v>
      </c>
      <c r="J83">
        <v>0</v>
      </c>
      <c r="L83">
        <v>34.25</v>
      </c>
      <c r="M83">
        <v>0</v>
      </c>
      <c r="N83">
        <v>0</v>
      </c>
      <c r="P83">
        <v>29.5</v>
      </c>
      <c r="Q83">
        <v>0</v>
      </c>
      <c r="R83">
        <v>0</v>
      </c>
      <c r="T83">
        <v>36.950000000000003</v>
      </c>
      <c r="U83">
        <v>0</v>
      </c>
      <c r="V83">
        <v>0</v>
      </c>
      <c r="X83">
        <v>32</v>
      </c>
      <c r="Y83">
        <v>0</v>
      </c>
      <c r="Z83">
        <v>0</v>
      </c>
      <c r="AB83">
        <v>48.3</v>
      </c>
      <c r="AC83">
        <v>0</v>
      </c>
      <c r="AD83">
        <v>0</v>
      </c>
      <c r="AF83">
        <v>41.3</v>
      </c>
      <c r="AG83">
        <v>0</v>
      </c>
      <c r="AH83">
        <v>0</v>
      </c>
    </row>
    <row r="84" spans="1:34" x14ac:dyDescent="0.2">
      <c r="A84" t="s">
        <v>1418</v>
      </c>
      <c r="B84" t="s">
        <v>1536</v>
      </c>
      <c r="C84" s="2"/>
      <c r="D84">
        <v>48.1</v>
      </c>
      <c r="E84">
        <v>0</v>
      </c>
      <c r="F84">
        <v>0</v>
      </c>
      <c r="H84">
        <v>41.75</v>
      </c>
      <c r="I84">
        <v>0</v>
      </c>
      <c r="J84">
        <v>0</v>
      </c>
      <c r="L84">
        <v>41.85</v>
      </c>
      <c r="M84">
        <v>0</v>
      </c>
      <c r="N84">
        <v>0</v>
      </c>
      <c r="P84">
        <v>34.35</v>
      </c>
      <c r="Q84">
        <v>0</v>
      </c>
      <c r="R84">
        <v>0</v>
      </c>
      <c r="T84">
        <v>41.1</v>
      </c>
      <c r="U84">
        <v>0</v>
      </c>
      <c r="V84">
        <v>0</v>
      </c>
      <c r="X84">
        <v>34.799999999999997</v>
      </c>
      <c r="Y84">
        <v>0</v>
      </c>
      <c r="Z84">
        <v>0</v>
      </c>
      <c r="AB84">
        <v>51.8</v>
      </c>
      <c r="AC84">
        <v>0</v>
      </c>
      <c r="AD84">
        <v>0</v>
      </c>
      <c r="AF84">
        <v>43.7</v>
      </c>
      <c r="AG84">
        <v>0</v>
      </c>
      <c r="AH84">
        <v>0</v>
      </c>
    </row>
    <row r="85" spans="1:34" x14ac:dyDescent="0.2">
      <c r="A85" t="s">
        <v>1419</v>
      </c>
      <c r="B85" t="s">
        <v>1537</v>
      </c>
      <c r="C85" s="2"/>
      <c r="D85">
        <v>48.2</v>
      </c>
      <c r="E85">
        <v>0</v>
      </c>
      <c r="F85">
        <v>0</v>
      </c>
      <c r="H85">
        <v>41.3</v>
      </c>
      <c r="I85">
        <v>0</v>
      </c>
      <c r="J85">
        <v>0</v>
      </c>
      <c r="L85">
        <v>41.55</v>
      </c>
      <c r="M85">
        <v>0</v>
      </c>
      <c r="N85">
        <v>0</v>
      </c>
      <c r="P85">
        <v>34.1</v>
      </c>
      <c r="Q85">
        <v>0</v>
      </c>
      <c r="R85">
        <v>0</v>
      </c>
      <c r="T85">
        <v>39.299999999999997</v>
      </c>
      <c r="U85">
        <v>0</v>
      </c>
      <c r="V85">
        <v>0</v>
      </c>
      <c r="X85">
        <v>34.700000000000003</v>
      </c>
      <c r="Y85">
        <v>0</v>
      </c>
      <c r="Z85">
        <v>0</v>
      </c>
      <c r="AB85">
        <v>51.8</v>
      </c>
      <c r="AC85">
        <v>0</v>
      </c>
      <c r="AD85">
        <v>0</v>
      </c>
      <c r="AF85">
        <v>44.65</v>
      </c>
      <c r="AG85">
        <v>0</v>
      </c>
      <c r="AH85">
        <v>0</v>
      </c>
    </row>
    <row r="86" spans="1:34" x14ac:dyDescent="0.2">
      <c r="A86" t="s">
        <v>1420</v>
      </c>
      <c r="B86" t="s">
        <v>1537</v>
      </c>
      <c r="C86" s="2"/>
      <c r="D86">
        <v>46.25</v>
      </c>
      <c r="E86">
        <v>0</v>
      </c>
      <c r="F86">
        <v>0</v>
      </c>
      <c r="H86">
        <v>40.450000000000003</v>
      </c>
      <c r="I86">
        <v>0</v>
      </c>
      <c r="J86">
        <v>0</v>
      </c>
      <c r="L86">
        <v>35.5</v>
      </c>
      <c r="M86">
        <v>0</v>
      </c>
      <c r="N86">
        <v>0</v>
      </c>
      <c r="P86">
        <v>30.95</v>
      </c>
      <c r="Q86">
        <v>0</v>
      </c>
      <c r="R86">
        <v>0</v>
      </c>
      <c r="T86">
        <v>38.450000000000003</v>
      </c>
      <c r="U86">
        <v>0</v>
      </c>
      <c r="V86">
        <v>0</v>
      </c>
      <c r="X86">
        <v>32.700000000000003</v>
      </c>
      <c r="Y86">
        <v>0</v>
      </c>
      <c r="Z86">
        <v>0</v>
      </c>
      <c r="AB86">
        <v>49.65</v>
      </c>
      <c r="AC86">
        <v>0</v>
      </c>
      <c r="AD86">
        <v>0</v>
      </c>
      <c r="AF86">
        <v>41.7</v>
      </c>
      <c r="AG86">
        <v>0</v>
      </c>
      <c r="AH86">
        <v>0</v>
      </c>
    </row>
    <row r="87" spans="1:34" x14ac:dyDescent="0.2">
      <c r="A87" t="s">
        <v>1421</v>
      </c>
      <c r="B87" t="s">
        <v>1537</v>
      </c>
      <c r="C87" s="2"/>
      <c r="D87">
        <v>40.299999999999997</v>
      </c>
      <c r="E87">
        <v>0</v>
      </c>
      <c r="F87">
        <v>0</v>
      </c>
      <c r="H87">
        <v>36.200000000000003</v>
      </c>
      <c r="I87">
        <v>0</v>
      </c>
      <c r="J87">
        <v>0</v>
      </c>
      <c r="L87">
        <v>29</v>
      </c>
      <c r="M87">
        <v>0</v>
      </c>
      <c r="N87">
        <v>0</v>
      </c>
      <c r="P87">
        <v>25.35</v>
      </c>
      <c r="Q87">
        <v>0</v>
      </c>
      <c r="R87">
        <v>0</v>
      </c>
      <c r="T87">
        <v>34.1</v>
      </c>
      <c r="U87">
        <v>0</v>
      </c>
      <c r="V87">
        <v>0</v>
      </c>
      <c r="X87">
        <v>30.55</v>
      </c>
      <c r="Y87">
        <v>0</v>
      </c>
      <c r="Z87">
        <v>0</v>
      </c>
      <c r="AB87">
        <v>44.35</v>
      </c>
      <c r="AC87">
        <v>0</v>
      </c>
      <c r="AD87">
        <v>0</v>
      </c>
      <c r="AF87">
        <v>37.299999999999997</v>
      </c>
      <c r="AG87">
        <v>0</v>
      </c>
      <c r="AH87">
        <v>0</v>
      </c>
    </row>
    <row r="88" spans="1:34" x14ac:dyDescent="0.2">
      <c r="A88" t="s">
        <v>1422</v>
      </c>
      <c r="B88" t="s">
        <v>1537</v>
      </c>
      <c r="C88" s="2"/>
      <c r="D88">
        <v>33.4</v>
      </c>
      <c r="E88">
        <v>0</v>
      </c>
      <c r="F88">
        <v>0</v>
      </c>
      <c r="H88">
        <v>30.15</v>
      </c>
      <c r="I88">
        <v>0</v>
      </c>
      <c r="J88">
        <v>0</v>
      </c>
      <c r="L88">
        <v>27.3</v>
      </c>
      <c r="M88">
        <v>0</v>
      </c>
      <c r="N88">
        <v>0</v>
      </c>
      <c r="P88">
        <v>22.05</v>
      </c>
      <c r="Q88">
        <v>0</v>
      </c>
      <c r="R88">
        <v>0</v>
      </c>
      <c r="T88">
        <v>31.55</v>
      </c>
      <c r="U88">
        <v>0</v>
      </c>
      <c r="V88">
        <v>0</v>
      </c>
      <c r="X88">
        <v>26.1</v>
      </c>
      <c r="Y88">
        <v>0</v>
      </c>
      <c r="Z88">
        <v>0</v>
      </c>
      <c r="AB88">
        <v>37.1</v>
      </c>
      <c r="AC88">
        <v>0</v>
      </c>
      <c r="AD88">
        <v>0</v>
      </c>
      <c r="AF88">
        <v>31.05</v>
      </c>
      <c r="AG88">
        <v>0</v>
      </c>
      <c r="AH88">
        <v>0</v>
      </c>
    </row>
    <row r="89" spans="1:34" x14ac:dyDescent="0.2">
      <c r="A89" t="s">
        <v>1423</v>
      </c>
      <c r="B89" t="s">
        <v>1537</v>
      </c>
      <c r="C89" s="2"/>
      <c r="D89">
        <v>33.549999999999997</v>
      </c>
      <c r="E89">
        <v>0</v>
      </c>
      <c r="F89">
        <v>0</v>
      </c>
      <c r="H89">
        <v>29.95</v>
      </c>
      <c r="I89">
        <v>0</v>
      </c>
      <c r="J89">
        <v>0</v>
      </c>
      <c r="L89">
        <v>25.8</v>
      </c>
      <c r="M89">
        <v>0</v>
      </c>
      <c r="N89">
        <v>0</v>
      </c>
      <c r="P89">
        <v>17.850000000000001</v>
      </c>
      <c r="Q89">
        <v>0</v>
      </c>
      <c r="R89">
        <v>0</v>
      </c>
      <c r="T89">
        <v>33.1</v>
      </c>
      <c r="U89">
        <v>0</v>
      </c>
      <c r="V89">
        <v>0</v>
      </c>
      <c r="X89">
        <v>27.8</v>
      </c>
      <c r="Y89">
        <v>0</v>
      </c>
      <c r="Z89">
        <v>0</v>
      </c>
      <c r="AB89">
        <v>37.15</v>
      </c>
      <c r="AC89">
        <v>0</v>
      </c>
      <c r="AD89">
        <v>0</v>
      </c>
      <c r="AF89">
        <v>30.2</v>
      </c>
      <c r="AG89">
        <v>0</v>
      </c>
      <c r="AH89">
        <v>0</v>
      </c>
    </row>
    <row r="90" spans="1:34" x14ac:dyDescent="0.2">
      <c r="A90" t="s">
        <v>1424</v>
      </c>
      <c r="B90" t="s">
        <v>1537</v>
      </c>
      <c r="C90" s="2"/>
      <c r="D90">
        <v>37.4</v>
      </c>
      <c r="E90">
        <v>0</v>
      </c>
      <c r="F90">
        <v>0</v>
      </c>
      <c r="H90">
        <v>30.85</v>
      </c>
      <c r="I90">
        <v>0</v>
      </c>
      <c r="J90">
        <v>0</v>
      </c>
      <c r="L90">
        <v>26.2</v>
      </c>
      <c r="M90">
        <v>0</v>
      </c>
      <c r="N90">
        <v>0</v>
      </c>
      <c r="P90">
        <v>16.149999999999999</v>
      </c>
      <c r="Q90">
        <v>0</v>
      </c>
      <c r="R90">
        <v>0</v>
      </c>
      <c r="T90">
        <v>38.25</v>
      </c>
      <c r="U90">
        <v>0</v>
      </c>
      <c r="V90">
        <v>0</v>
      </c>
      <c r="X90">
        <v>29.45</v>
      </c>
      <c r="Y90">
        <v>0</v>
      </c>
      <c r="Z90">
        <v>0</v>
      </c>
      <c r="AB90">
        <v>39.75</v>
      </c>
      <c r="AC90">
        <v>0</v>
      </c>
      <c r="AD90">
        <v>0</v>
      </c>
      <c r="AF90">
        <v>32.9</v>
      </c>
      <c r="AG90">
        <v>0</v>
      </c>
      <c r="AH90">
        <v>0</v>
      </c>
    </row>
    <row r="91" spans="1:34" x14ac:dyDescent="0.2">
      <c r="A91" t="s">
        <v>1425</v>
      </c>
      <c r="B91" t="s">
        <v>1537</v>
      </c>
      <c r="C91" s="2"/>
      <c r="D91">
        <v>47.75</v>
      </c>
      <c r="E91">
        <v>0</v>
      </c>
      <c r="F91">
        <v>0</v>
      </c>
      <c r="H91">
        <v>39.200000000000003</v>
      </c>
      <c r="I91">
        <v>0</v>
      </c>
      <c r="J91">
        <v>0</v>
      </c>
      <c r="L91">
        <v>36.049999999999997</v>
      </c>
      <c r="M91">
        <v>0</v>
      </c>
      <c r="N91">
        <v>0</v>
      </c>
      <c r="P91">
        <v>24.7</v>
      </c>
      <c r="Q91">
        <v>0</v>
      </c>
      <c r="R91">
        <v>0</v>
      </c>
      <c r="T91">
        <v>50.55</v>
      </c>
      <c r="U91">
        <v>0</v>
      </c>
      <c r="V91">
        <v>0</v>
      </c>
      <c r="X91">
        <v>35.4</v>
      </c>
      <c r="Y91">
        <v>0</v>
      </c>
      <c r="Z91">
        <v>0</v>
      </c>
      <c r="AB91">
        <v>47.15</v>
      </c>
      <c r="AC91">
        <v>0</v>
      </c>
      <c r="AD91">
        <v>0</v>
      </c>
      <c r="AF91">
        <v>38.75</v>
      </c>
      <c r="AG91">
        <v>0</v>
      </c>
      <c r="AH91">
        <v>0</v>
      </c>
    </row>
    <row r="92" spans="1:34" x14ac:dyDescent="0.2">
      <c r="A92" t="s">
        <v>1426</v>
      </c>
      <c r="B92" t="s">
        <v>1537</v>
      </c>
      <c r="C92" s="2"/>
      <c r="D92">
        <v>50.15</v>
      </c>
      <c r="E92">
        <v>0</v>
      </c>
      <c r="F92">
        <v>0</v>
      </c>
      <c r="H92">
        <v>41.6</v>
      </c>
      <c r="I92">
        <v>0</v>
      </c>
      <c r="J92">
        <v>0</v>
      </c>
      <c r="L92">
        <v>40.799999999999997</v>
      </c>
      <c r="M92">
        <v>0</v>
      </c>
      <c r="N92">
        <v>0</v>
      </c>
      <c r="P92">
        <v>30.45</v>
      </c>
      <c r="Q92">
        <v>0</v>
      </c>
      <c r="R92">
        <v>0</v>
      </c>
      <c r="T92">
        <v>49.5</v>
      </c>
      <c r="U92">
        <v>0</v>
      </c>
      <c r="V92">
        <v>0</v>
      </c>
      <c r="X92">
        <v>36.35</v>
      </c>
      <c r="Y92">
        <v>0</v>
      </c>
      <c r="Z92">
        <v>0</v>
      </c>
      <c r="AB92">
        <v>49.9</v>
      </c>
      <c r="AC92">
        <v>0</v>
      </c>
      <c r="AD92">
        <v>0</v>
      </c>
      <c r="AF92">
        <v>41.45</v>
      </c>
      <c r="AG92">
        <v>0</v>
      </c>
      <c r="AH92">
        <v>0</v>
      </c>
    </row>
    <row r="93" spans="1:34" x14ac:dyDescent="0.2">
      <c r="A93" t="s">
        <v>1427</v>
      </c>
      <c r="B93" t="s">
        <v>1537</v>
      </c>
      <c r="C93" s="2"/>
      <c r="D93">
        <v>47.55</v>
      </c>
      <c r="E93">
        <v>0</v>
      </c>
      <c r="F93">
        <v>0</v>
      </c>
      <c r="H93">
        <v>40.049999999999997</v>
      </c>
      <c r="I93">
        <v>0</v>
      </c>
      <c r="J93">
        <v>0</v>
      </c>
      <c r="L93">
        <v>36.5</v>
      </c>
      <c r="M93">
        <v>0</v>
      </c>
      <c r="N93">
        <v>0</v>
      </c>
      <c r="P93">
        <v>30.45</v>
      </c>
      <c r="Q93">
        <v>0</v>
      </c>
      <c r="R93">
        <v>0</v>
      </c>
      <c r="T93">
        <v>40.299999999999997</v>
      </c>
      <c r="U93">
        <v>0</v>
      </c>
      <c r="V93">
        <v>0</v>
      </c>
      <c r="X93">
        <v>33.6</v>
      </c>
      <c r="Y93">
        <v>0</v>
      </c>
      <c r="Z93">
        <v>0</v>
      </c>
      <c r="AB93">
        <v>47.65</v>
      </c>
      <c r="AC93">
        <v>0</v>
      </c>
      <c r="AD93">
        <v>0</v>
      </c>
      <c r="AF93">
        <v>40.85</v>
      </c>
      <c r="AG93">
        <v>0</v>
      </c>
      <c r="AH93">
        <v>0</v>
      </c>
    </row>
    <row r="94" spans="1:34" x14ac:dyDescent="0.2">
      <c r="A94" t="s">
        <v>1428</v>
      </c>
      <c r="B94" t="s">
        <v>1537</v>
      </c>
      <c r="C94" s="2"/>
      <c r="D94">
        <v>47.15</v>
      </c>
      <c r="E94">
        <v>0</v>
      </c>
      <c r="F94">
        <v>0</v>
      </c>
      <c r="H94">
        <v>40.6</v>
      </c>
      <c r="I94">
        <v>0</v>
      </c>
      <c r="J94">
        <v>0</v>
      </c>
      <c r="L94">
        <v>32.4</v>
      </c>
      <c r="M94">
        <v>0</v>
      </c>
      <c r="N94">
        <v>0</v>
      </c>
      <c r="P94">
        <v>27.75</v>
      </c>
      <c r="Q94">
        <v>0</v>
      </c>
      <c r="R94">
        <v>0</v>
      </c>
      <c r="T94">
        <v>38.299999999999997</v>
      </c>
      <c r="U94">
        <v>0</v>
      </c>
      <c r="V94">
        <v>0</v>
      </c>
      <c r="X94">
        <v>33.9</v>
      </c>
      <c r="Y94">
        <v>0</v>
      </c>
      <c r="Z94">
        <v>0</v>
      </c>
      <c r="AB94">
        <v>49.05</v>
      </c>
      <c r="AC94">
        <v>0</v>
      </c>
      <c r="AD94">
        <v>0</v>
      </c>
      <c r="AF94">
        <v>41.45</v>
      </c>
      <c r="AG94">
        <v>0</v>
      </c>
      <c r="AH94">
        <v>0</v>
      </c>
    </row>
    <row r="95" spans="1:34" x14ac:dyDescent="0.2">
      <c r="A95" t="s">
        <v>1417</v>
      </c>
      <c r="B95" t="s">
        <v>1537</v>
      </c>
      <c r="C95" s="2"/>
      <c r="D95">
        <v>46.6</v>
      </c>
      <c r="E95">
        <v>0</v>
      </c>
      <c r="F95">
        <v>0</v>
      </c>
      <c r="H95">
        <v>40.4</v>
      </c>
      <c r="I95">
        <v>0</v>
      </c>
      <c r="J95">
        <v>0</v>
      </c>
      <c r="L95">
        <v>35.549999999999997</v>
      </c>
      <c r="M95">
        <v>0</v>
      </c>
      <c r="N95">
        <v>0</v>
      </c>
      <c r="P95">
        <v>30.9</v>
      </c>
      <c r="Q95">
        <v>0</v>
      </c>
      <c r="R95">
        <v>0</v>
      </c>
      <c r="T95">
        <v>38.049999999999997</v>
      </c>
      <c r="U95">
        <v>0</v>
      </c>
      <c r="V95">
        <v>0</v>
      </c>
      <c r="X95">
        <v>33.15</v>
      </c>
      <c r="Y95">
        <v>0</v>
      </c>
      <c r="Z95">
        <v>0</v>
      </c>
      <c r="AB95">
        <v>49.6</v>
      </c>
      <c r="AC95">
        <v>0</v>
      </c>
      <c r="AD95">
        <v>0</v>
      </c>
      <c r="AF95">
        <v>42.35</v>
      </c>
      <c r="AG95">
        <v>0</v>
      </c>
      <c r="AH95">
        <v>0</v>
      </c>
    </row>
    <row r="96" spans="1:34" x14ac:dyDescent="0.2">
      <c r="A96" t="s">
        <v>1418</v>
      </c>
      <c r="B96" t="s">
        <v>1537</v>
      </c>
      <c r="C96" s="2"/>
      <c r="D96">
        <v>49.65</v>
      </c>
      <c r="E96">
        <v>0</v>
      </c>
      <c r="F96">
        <v>0</v>
      </c>
      <c r="H96">
        <v>43.35</v>
      </c>
      <c r="I96">
        <v>0</v>
      </c>
      <c r="J96">
        <v>0</v>
      </c>
      <c r="L96">
        <v>43.55</v>
      </c>
      <c r="M96">
        <v>0</v>
      </c>
      <c r="N96">
        <v>0</v>
      </c>
      <c r="P96">
        <v>35.799999999999997</v>
      </c>
      <c r="Q96">
        <v>0</v>
      </c>
      <c r="R96">
        <v>0</v>
      </c>
      <c r="T96">
        <v>42.4</v>
      </c>
      <c r="U96">
        <v>0</v>
      </c>
      <c r="V96">
        <v>0</v>
      </c>
      <c r="X96">
        <v>36.200000000000003</v>
      </c>
      <c r="Y96">
        <v>0</v>
      </c>
      <c r="Z96">
        <v>0</v>
      </c>
      <c r="AB96">
        <v>52.95</v>
      </c>
      <c r="AC96">
        <v>0</v>
      </c>
      <c r="AD96">
        <v>0</v>
      </c>
      <c r="AF96">
        <v>45.75</v>
      </c>
      <c r="AG96">
        <v>0</v>
      </c>
      <c r="AH96">
        <v>0</v>
      </c>
    </row>
    <row r="97" spans="1:34" x14ac:dyDescent="0.2">
      <c r="A97" t="s">
        <v>1419</v>
      </c>
      <c r="B97" t="s">
        <v>1598</v>
      </c>
      <c r="C97" s="2"/>
      <c r="D97">
        <v>49.4</v>
      </c>
      <c r="E97">
        <v>0</v>
      </c>
      <c r="F97">
        <v>0</v>
      </c>
      <c r="H97">
        <v>42.6</v>
      </c>
      <c r="I97">
        <v>0</v>
      </c>
      <c r="J97">
        <v>0</v>
      </c>
      <c r="L97">
        <v>43</v>
      </c>
      <c r="M97">
        <v>0</v>
      </c>
      <c r="N97">
        <v>0</v>
      </c>
      <c r="P97">
        <v>35.5</v>
      </c>
      <c r="Q97">
        <v>0</v>
      </c>
      <c r="R97">
        <v>0</v>
      </c>
      <c r="T97">
        <v>40.35</v>
      </c>
      <c r="U97">
        <v>0</v>
      </c>
      <c r="V97">
        <v>0</v>
      </c>
      <c r="X97">
        <v>35.85</v>
      </c>
      <c r="Y97">
        <v>0</v>
      </c>
      <c r="Z97">
        <v>0</v>
      </c>
      <c r="AB97">
        <v>53</v>
      </c>
      <c r="AC97">
        <v>0</v>
      </c>
      <c r="AD97">
        <v>0</v>
      </c>
      <c r="AF97">
        <v>45.8</v>
      </c>
      <c r="AG97">
        <v>0</v>
      </c>
      <c r="AH97">
        <v>0</v>
      </c>
    </row>
    <row r="98" spans="1:34" x14ac:dyDescent="0.2">
      <c r="A98" t="s">
        <v>1420</v>
      </c>
      <c r="B98" t="s">
        <v>1598</v>
      </c>
      <c r="C98" s="2"/>
      <c r="D98">
        <v>47.45</v>
      </c>
      <c r="E98">
        <v>0</v>
      </c>
      <c r="F98">
        <v>0</v>
      </c>
      <c r="H98">
        <v>41.65</v>
      </c>
      <c r="I98">
        <v>0</v>
      </c>
      <c r="J98">
        <v>0</v>
      </c>
      <c r="L98">
        <v>36.75</v>
      </c>
      <c r="M98">
        <v>0</v>
      </c>
      <c r="N98">
        <v>0</v>
      </c>
      <c r="P98">
        <v>32.25</v>
      </c>
      <c r="Q98">
        <v>0</v>
      </c>
      <c r="R98">
        <v>0</v>
      </c>
      <c r="T98">
        <v>39.549999999999997</v>
      </c>
      <c r="U98">
        <v>0</v>
      </c>
      <c r="V98">
        <v>0</v>
      </c>
      <c r="X98">
        <v>33.85</v>
      </c>
      <c r="Y98">
        <v>0</v>
      </c>
      <c r="Z98">
        <v>0</v>
      </c>
      <c r="AB98">
        <v>50.75</v>
      </c>
      <c r="AC98">
        <v>0</v>
      </c>
      <c r="AD98">
        <v>0</v>
      </c>
      <c r="AF98">
        <v>43.05</v>
      </c>
      <c r="AG98">
        <v>0</v>
      </c>
      <c r="AH98">
        <v>0</v>
      </c>
    </row>
    <row r="99" spans="1:34" x14ac:dyDescent="0.2">
      <c r="A99" t="s">
        <v>1421</v>
      </c>
      <c r="B99" t="s">
        <v>1598</v>
      </c>
      <c r="C99" s="2"/>
      <c r="D99">
        <v>41.45</v>
      </c>
      <c r="E99">
        <v>0</v>
      </c>
      <c r="F99">
        <v>0</v>
      </c>
      <c r="H99">
        <v>37.200000000000003</v>
      </c>
      <c r="I99">
        <v>0</v>
      </c>
      <c r="J99">
        <v>0</v>
      </c>
      <c r="L99">
        <v>30.1</v>
      </c>
      <c r="M99">
        <v>0</v>
      </c>
      <c r="N99">
        <v>0</v>
      </c>
      <c r="P99">
        <v>26.35</v>
      </c>
      <c r="Q99">
        <v>0</v>
      </c>
      <c r="R99">
        <v>0</v>
      </c>
      <c r="T99">
        <v>35.049999999999997</v>
      </c>
      <c r="U99">
        <v>0</v>
      </c>
      <c r="V99">
        <v>0</v>
      </c>
      <c r="X99">
        <v>31.55</v>
      </c>
      <c r="Y99">
        <v>0</v>
      </c>
      <c r="Z99">
        <v>0</v>
      </c>
      <c r="AB99">
        <v>45.35</v>
      </c>
      <c r="AC99">
        <v>0</v>
      </c>
      <c r="AD99">
        <v>0</v>
      </c>
      <c r="AF99">
        <v>38.4</v>
      </c>
      <c r="AG99">
        <v>0</v>
      </c>
      <c r="AH99">
        <v>0</v>
      </c>
    </row>
    <row r="100" spans="1:34" x14ac:dyDescent="0.2">
      <c r="A100" t="s">
        <v>1422</v>
      </c>
      <c r="B100" t="s">
        <v>1598</v>
      </c>
      <c r="C100" s="2"/>
      <c r="D100">
        <v>34.15</v>
      </c>
      <c r="E100">
        <v>0</v>
      </c>
      <c r="F100">
        <v>0</v>
      </c>
      <c r="H100">
        <v>30.95</v>
      </c>
      <c r="I100">
        <v>0</v>
      </c>
      <c r="J100">
        <v>0</v>
      </c>
      <c r="L100">
        <v>28.6</v>
      </c>
      <c r="M100">
        <v>0</v>
      </c>
      <c r="N100">
        <v>0</v>
      </c>
      <c r="P100">
        <v>23.2</v>
      </c>
      <c r="Q100">
        <v>0</v>
      </c>
      <c r="R100">
        <v>0</v>
      </c>
      <c r="T100">
        <v>32.299999999999997</v>
      </c>
      <c r="U100">
        <v>0</v>
      </c>
      <c r="V100">
        <v>0</v>
      </c>
      <c r="X100">
        <v>27.1</v>
      </c>
      <c r="Y100">
        <v>0</v>
      </c>
      <c r="Z100">
        <v>0</v>
      </c>
      <c r="AB100">
        <v>37.85</v>
      </c>
      <c r="AC100">
        <v>0</v>
      </c>
      <c r="AD100">
        <v>0</v>
      </c>
      <c r="AF100">
        <v>31.95</v>
      </c>
      <c r="AG100">
        <v>0</v>
      </c>
      <c r="AH100">
        <v>0</v>
      </c>
    </row>
    <row r="101" spans="1:34" x14ac:dyDescent="0.2">
      <c r="A101" t="s">
        <v>1423</v>
      </c>
      <c r="B101" t="s">
        <v>1598</v>
      </c>
      <c r="C101" s="2"/>
      <c r="D101">
        <v>34.35</v>
      </c>
      <c r="E101">
        <v>0</v>
      </c>
      <c r="F101">
        <v>0</v>
      </c>
      <c r="H101">
        <v>30.75</v>
      </c>
      <c r="I101">
        <v>0</v>
      </c>
      <c r="J101">
        <v>0</v>
      </c>
      <c r="L101">
        <v>27</v>
      </c>
      <c r="M101">
        <v>0</v>
      </c>
      <c r="N101">
        <v>0</v>
      </c>
      <c r="P101">
        <v>18.7</v>
      </c>
      <c r="Q101">
        <v>0</v>
      </c>
      <c r="R101">
        <v>0</v>
      </c>
      <c r="T101">
        <v>33.950000000000003</v>
      </c>
      <c r="U101">
        <v>0</v>
      </c>
      <c r="V101">
        <v>0</v>
      </c>
      <c r="X101">
        <v>28.7</v>
      </c>
      <c r="Y101">
        <v>0</v>
      </c>
      <c r="Z101">
        <v>0</v>
      </c>
      <c r="AB101">
        <v>38</v>
      </c>
      <c r="AC101">
        <v>0</v>
      </c>
      <c r="AD101">
        <v>0</v>
      </c>
      <c r="AF101">
        <v>31.1</v>
      </c>
      <c r="AG101">
        <v>0</v>
      </c>
      <c r="AH101">
        <v>0</v>
      </c>
    </row>
    <row r="102" spans="1:34" x14ac:dyDescent="0.2">
      <c r="A102" t="s">
        <v>1424</v>
      </c>
      <c r="B102" t="s">
        <v>1598</v>
      </c>
      <c r="C102" s="2"/>
      <c r="D102">
        <v>38.5</v>
      </c>
      <c r="E102">
        <v>0</v>
      </c>
      <c r="F102">
        <v>0</v>
      </c>
      <c r="H102">
        <v>31.75</v>
      </c>
      <c r="I102">
        <v>0</v>
      </c>
      <c r="J102">
        <v>0</v>
      </c>
      <c r="L102">
        <v>27.45</v>
      </c>
      <c r="M102">
        <v>0</v>
      </c>
      <c r="N102">
        <v>0</v>
      </c>
      <c r="P102">
        <v>17.100000000000001</v>
      </c>
      <c r="Q102">
        <v>0</v>
      </c>
      <c r="R102">
        <v>0</v>
      </c>
      <c r="T102">
        <v>39.5</v>
      </c>
      <c r="U102">
        <v>0</v>
      </c>
      <c r="V102">
        <v>0</v>
      </c>
      <c r="X102">
        <v>30.65</v>
      </c>
      <c r="Y102">
        <v>0</v>
      </c>
      <c r="Z102">
        <v>0</v>
      </c>
      <c r="AB102">
        <v>40.700000000000003</v>
      </c>
      <c r="AC102">
        <v>0</v>
      </c>
      <c r="AD102">
        <v>0</v>
      </c>
      <c r="AF102">
        <v>33.75</v>
      </c>
      <c r="AG102">
        <v>0</v>
      </c>
      <c r="AH102">
        <v>0</v>
      </c>
    </row>
    <row r="103" spans="1:34" x14ac:dyDescent="0.2">
      <c r="A103" t="s">
        <v>1425</v>
      </c>
      <c r="B103" t="s">
        <v>1598</v>
      </c>
      <c r="C103" s="2"/>
      <c r="D103">
        <v>49.05</v>
      </c>
      <c r="E103">
        <v>0</v>
      </c>
      <c r="F103">
        <v>0</v>
      </c>
      <c r="H103">
        <v>40.4</v>
      </c>
      <c r="I103">
        <v>0</v>
      </c>
      <c r="J103">
        <v>0</v>
      </c>
      <c r="L103">
        <v>37.049999999999997</v>
      </c>
      <c r="M103">
        <v>0</v>
      </c>
      <c r="N103">
        <v>0</v>
      </c>
      <c r="P103">
        <v>25.45</v>
      </c>
      <c r="Q103">
        <v>0</v>
      </c>
      <c r="R103">
        <v>0</v>
      </c>
      <c r="T103">
        <v>52.2</v>
      </c>
      <c r="U103">
        <v>0</v>
      </c>
      <c r="V103">
        <v>0</v>
      </c>
      <c r="X103">
        <v>36.75</v>
      </c>
      <c r="Y103">
        <v>0</v>
      </c>
      <c r="Z103">
        <v>0</v>
      </c>
      <c r="AB103">
        <v>48.35</v>
      </c>
      <c r="AC103">
        <v>0</v>
      </c>
      <c r="AD103">
        <v>0</v>
      </c>
      <c r="AF103">
        <v>40</v>
      </c>
      <c r="AG103">
        <v>0</v>
      </c>
      <c r="AH103">
        <v>0</v>
      </c>
    </row>
    <row r="104" spans="1:34" x14ac:dyDescent="0.2">
      <c r="A104" t="s">
        <v>1426</v>
      </c>
      <c r="B104" t="s">
        <v>1598</v>
      </c>
      <c r="C104" s="2"/>
      <c r="D104">
        <v>51.45</v>
      </c>
      <c r="E104">
        <v>0</v>
      </c>
      <c r="F104">
        <v>0</v>
      </c>
      <c r="H104">
        <v>42.65</v>
      </c>
      <c r="I104">
        <v>0</v>
      </c>
      <c r="J104">
        <v>0</v>
      </c>
      <c r="L104">
        <v>41.9</v>
      </c>
      <c r="M104">
        <v>0</v>
      </c>
      <c r="N104">
        <v>0</v>
      </c>
      <c r="P104">
        <v>31.45</v>
      </c>
      <c r="Q104">
        <v>0</v>
      </c>
      <c r="R104">
        <v>0</v>
      </c>
      <c r="T104">
        <v>50.95</v>
      </c>
      <c r="U104">
        <v>0</v>
      </c>
      <c r="V104">
        <v>0</v>
      </c>
      <c r="X104">
        <v>37.549999999999997</v>
      </c>
      <c r="Y104">
        <v>0</v>
      </c>
      <c r="Z104">
        <v>0</v>
      </c>
      <c r="AB104">
        <v>51.05</v>
      </c>
      <c r="AC104">
        <v>0</v>
      </c>
      <c r="AD104">
        <v>0</v>
      </c>
      <c r="AF104">
        <v>42.7</v>
      </c>
      <c r="AG104">
        <v>0</v>
      </c>
      <c r="AH104">
        <v>0</v>
      </c>
    </row>
    <row r="105" spans="1:34" x14ac:dyDescent="0.2">
      <c r="A105" t="s">
        <v>1427</v>
      </c>
      <c r="B105" t="s">
        <v>1598</v>
      </c>
      <c r="C105" s="2"/>
      <c r="D105">
        <v>48.75</v>
      </c>
      <c r="E105">
        <v>0</v>
      </c>
      <c r="F105">
        <v>0</v>
      </c>
      <c r="H105">
        <v>41.2</v>
      </c>
      <c r="I105">
        <v>0</v>
      </c>
      <c r="J105">
        <v>0</v>
      </c>
      <c r="L105">
        <v>37.549999999999997</v>
      </c>
      <c r="M105">
        <v>0</v>
      </c>
      <c r="N105">
        <v>0</v>
      </c>
      <c r="P105">
        <v>31.65</v>
      </c>
      <c r="Q105">
        <v>0</v>
      </c>
      <c r="R105">
        <v>0</v>
      </c>
      <c r="T105">
        <v>41.5</v>
      </c>
      <c r="U105">
        <v>0</v>
      </c>
      <c r="V105">
        <v>0</v>
      </c>
      <c r="X105">
        <v>34.6</v>
      </c>
      <c r="Y105">
        <v>0</v>
      </c>
      <c r="Z105">
        <v>0</v>
      </c>
      <c r="AB105">
        <v>48.8</v>
      </c>
      <c r="AC105">
        <v>0</v>
      </c>
      <c r="AD105">
        <v>0</v>
      </c>
      <c r="AF105">
        <v>42</v>
      </c>
      <c r="AG105">
        <v>0</v>
      </c>
      <c r="AH105">
        <v>0</v>
      </c>
    </row>
    <row r="106" spans="1:34" x14ac:dyDescent="0.2">
      <c r="A106" t="s">
        <v>1428</v>
      </c>
      <c r="B106" t="s">
        <v>1598</v>
      </c>
      <c r="C106" s="2"/>
      <c r="D106">
        <v>48.3</v>
      </c>
      <c r="E106">
        <v>0</v>
      </c>
      <c r="F106">
        <v>0</v>
      </c>
      <c r="H106">
        <v>41.85</v>
      </c>
      <c r="I106">
        <v>0</v>
      </c>
      <c r="J106">
        <v>0</v>
      </c>
      <c r="L106">
        <v>33.450000000000003</v>
      </c>
      <c r="M106">
        <v>0</v>
      </c>
      <c r="N106">
        <v>0</v>
      </c>
      <c r="P106">
        <v>28.75</v>
      </c>
      <c r="Q106">
        <v>0</v>
      </c>
      <c r="R106">
        <v>0</v>
      </c>
      <c r="T106">
        <v>39.299999999999997</v>
      </c>
      <c r="U106">
        <v>0</v>
      </c>
      <c r="V106">
        <v>0</v>
      </c>
      <c r="X106">
        <v>35</v>
      </c>
      <c r="Y106">
        <v>0</v>
      </c>
      <c r="Z106">
        <v>0</v>
      </c>
      <c r="AB106">
        <v>50.15</v>
      </c>
      <c r="AC106">
        <v>0</v>
      </c>
      <c r="AD106">
        <v>0</v>
      </c>
      <c r="AF106">
        <v>42.7</v>
      </c>
      <c r="AG106">
        <v>0</v>
      </c>
      <c r="AH106">
        <v>0</v>
      </c>
    </row>
    <row r="107" spans="1:34" x14ac:dyDescent="0.2">
      <c r="A107" t="s">
        <v>1417</v>
      </c>
      <c r="B107" t="s">
        <v>1598</v>
      </c>
      <c r="C107" s="2"/>
      <c r="D107">
        <v>47.75</v>
      </c>
      <c r="E107">
        <v>0</v>
      </c>
      <c r="F107">
        <v>0</v>
      </c>
      <c r="H107">
        <v>41.55</v>
      </c>
      <c r="I107">
        <v>0</v>
      </c>
      <c r="J107">
        <v>0</v>
      </c>
      <c r="L107">
        <v>36.75</v>
      </c>
      <c r="M107">
        <v>0</v>
      </c>
      <c r="N107">
        <v>0</v>
      </c>
      <c r="P107">
        <v>32.15</v>
      </c>
      <c r="Q107">
        <v>0</v>
      </c>
      <c r="R107">
        <v>0</v>
      </c>
      <c r="T107">
        <v>39.1</v>
      </c>
      <c r="U107">
        <v>0</v>
      </c>
      <c r="V107">
        <v>0</v>
      </c>
      <c r="X107">
        <v>34.450000000000003</v>
      </c>
      <c r="Y107">
        <v>0</v>
      </c>
      <c r="Z107">
        <v>0</v>
      </c>
      <c r="AB107">
        <v>50.75</v>
      </c>
      <c r="AC107">
        <v>0</v>
      </c>
      <c r="AD107">
        <v>0</v>
      </c>
      <c r="AF107">
        <v>43.65</v>
      </c>
      <c r="AG107">
        <v>0</v>
      </c>
      <c r="AH107">
        <v>0</v>
      </c>
    </row>
    <row r="108" spans="1:34" x14ac:dyDescent="0.2">
      <c r="A108" t="s">
        <v>1418</v>
      </c>
      <c r="B108" t="s">
        <v>1598</v>
      </c>
      <c r="C108" s="2"/>
      <c r="D108">
        <v>50.85</v>
      </c>
      <c r="E108">
        <v>0</v>
      </c>
      <c r="F108">
        <v>0</v>
      </c>
      <c r="H108">
        <v>44.55</v>
      </c>
      <c r="I108">
        <v>0</v>
      </c>
      <c r="J108">
        <v>0</v>
      </c>
      <c r="L108">
        <v>44.7</v>
      </c>
      <c r="M108">
        <v>0</v>
      </c>
      <c r="N108">
        <v>0</v>
      </c>
      <c r="P108">
        <v>37.049999999999997</v>
      </c>
      <c r="Q108">
        <v>0</v>
      </c>
      <c r="R108">
        <v>0</v>
      </c>
      <c r="T108">
        <v>43.6</v>
      </c>
      <c r="U108">
        <v>0</v>
      </c>
      <c r="V108">
        <v>0</v>
      </c>
      <c r="X108">
        <v>37.450000000000003</v>
      </c>
      <c r="Y108">
        <v>0</v>
      </c>
      <c r="Z108">
        <v>0</v>
      </c>
      <c r="AB108">
        <v>54.3</v>
      </c>
      <c r="AC108">
        <v>0</v>
      </c>
      <c r="AD108">
        <v>0</v>
      </c>
      <c r="AF108">
        <v>46.95</v>
      </c>
      <c r="AG108">
        <v>0</v>
      </c>
      <c r="AH108">
        <v>0</v>
      </c>
    </row>
    <row r="109" spans="1:34" x14ac:dyDescent="0.2">
      <c r="A109" t="s">
        <v>1419</v>
      </c>
      <c r="B109" t="s">
        <v>1599</v>
      </c>
      <c r="C109" s="2"/>
      <c r="D109">
        <v>50.5</v>
      </c>
      <c r="E109">
        <v>0</v>
      </c>
      <c r="F109">
        <v>0</v>
      </c>
      <c r="H109">
        <v>43.75</v>
      </c>
      <c r="I109">
        <v>0</v>
      </c>
      <c r="J109">
        <v>0</v>
      </c>
      <c r="L109">
        <v>44.25</v>
      </c>
      <c r="M109">
        <v>0</v>
      </c>
      <c r="N109">
        <v>0</v>
      </c>
      <c r="P109">
        <v>36.799999999999997</v>
      </c>
      <c r="Q109">
        <v>0</v>
      </c>
      <c r="R109">
        <v>0</v>
      </c>
      <c r="T109">
        <v>41.35</v>
      </c>
      <c r="U109">
        <v>0</v>
      </c>
      <c r="V109">
        <v>0</v>
      </c>
      <c r="X109">
        <v>37.1</v>
      </c>
      <c r="Y109">
        <v>0</v>
      </c>
      <c r="Z109">
        <v>0</v>
      </c>
      <c r="AB109">
        <v>54.15</v>
      </c>
      <c r="AC109">
        <v>0</v>
      </c>
      <c r="AD109">
        <v>0</v>
      </c>
      <c r="AF109">
        <v>47.1</v>
      </c>
      <c r="AG109">
        <v>0</v>
      </c>
      <c r="AH109">
        <v>0</v>
      </c>
    </row>
    <row r="110" spans="1:34" x14ac:dyDescent="0.2">
      <c r="A110" t="s">
        <v>1420</v>
      </c>
      <c r="B110" t="s">
        <v>1599</v>
      </c>
      <c r="C110" s="2"/>
      <c r="D110">
        <v>48.55</v>
      </c>
      <c r="E110">
        <v>0</v>
      </c>
      <c r="F110">
        <v>0</v>
      </c>
      <c r="H110">
        <v>42.8</v>
      </c>
      <c r="I110">
        <v>0</v>
      </c>
      <c r="J110">
        <v>0</v>
      </c>
      <c r="L110">
        <v>37.9</v>
      </c>
      <c r="M110">
        <v>0</v>
      </c>
      <c r="N110">
        <v>0</v>
      </c>
      <c r="P110">
        <v>33.4</v>
      </c>
      <c r="Q110">
        <v>0</v>
      </c>
      <c r="R110">
        <v>0</v>
      </c>
      <c r="T110">
        <v>40.5</v>
      </c>
      <c r="U110">
        <v>0</v>
      </c>
      <c r="V110">
        <v>0</v>
      </c>
      <c r="X110">
        <v>34.950000000000003</v>
      </c>
      <c r="Y110">
        <v>0</v>
      </c>
      <c r="Z110">
        <v>0</v>
      </c>
      <c r="AB110">
        <v>51.8</v>
      </c>
      <c r="AC110">
        <v>0</v>
      </c>
      <c r="AD110">
        <v>0</v>
      </c>
      <c r="AF110">
        <v>44.2</v>
      </c>
      <c r="AG110">
        <v>0</v>
      </c>
      <c r="AH110">
        <v>0</v>
      </c>
    </row>
    <row r="111" spans="1:34" x14ac:dyDescent="0.2">
      <c r="A111" t="s">
        <v>1421</v>
      </c>
      <c r="B111" t="s">
        <v>1599</v>
      </c>
      <c r="C111" s="2"/>
      <c r="D111">
        <v>42.3</v>
      </c>
      <c r="E111">
        <v>0</v>
      </c>
      <c r="F111">
        <v>0</v>
      </c>
      <c r="H111">
        <v>38.15</v>
      </c>
      <c r="I111">
        <v>0</v>
      </c>
      <c r="J111">
        <v>0</v>
      </c>
      <c r="L111">
        <v>30.95</v>
      </c>
      <c r="M111">
        <v>0</v>
      </c>
      <c r="N111">
        <v>0</v>
      </c>
      <c r="P111">
        <v>27.25</v>
      </c>
      <c r="Q111">
        <v>0</v>
      </c>
      <c r="R111">
        <v>0</v>
      </c>
      <c r="T111">
        <v>35.799999999999997</v>
      </c>
      <c r="U111">
        <v>0</v>
      </c>
      <c r="V111">
        <v>0</v>
      </c>
      <c r="X111">
        <v>32.549999999999997</v>
      </c>
      <c r="Y111">
        <v>0</v>
      </c>
      <c r="Z111">
        <v>0</v>
      </c>
      <c r="AB111">
        <v>46.25</v>
      </c>
      <c r="AC111">
        <v>0</v>
      </c>
      <c r="AD111">
        <v>0</v>
      </c>
      <c r="AF111">
        <v>39.6</v>
      </c>
      <c r="AG111">
        <v>0</v>
      </c>
      <c r="AH111">
        <v>0</v>
      </c>
    </row>
    <row r="112" spans="1:34" x14ac:dyDescent="0.2">
      <c r="A112" t="s">
        <v>1422</v>
      </c>
      <c r="B112" t="s">
        <v>1599</v>
      </c>
      <c r="C112" s="2"/>
      <c r="D112">
        <v>34.950000000000003</v>
      </c>
      <c r="E112">
        <v>0</v>
      </c>
      <c r="F112">
        <v>0</v>
      </c>
      <c r="H112">
        <v>31.9</v>
      </c>
      <c r="I112">
        <v>0</v>
      </c>
      <c r="J112">
        <v>0</v>
      </c>
      <c r="L112">
        <v>29.9</v>
      </c>
      <c r="M112">
        <v>0</v>
      </c>
      <c r="N112">
        <v>0</v>
      </c>
      <c r="P112">
        <v>24.45</v>
      </c>
      <c r="Q112">
        <v>0</v>
      </c>
      <c r="R112">
        <v>0</v>
      </c>
      <c r="T112">
        <v>33.35</v>
      </c>
      <c r="U112">
        <v>0</v>
      </c>
      <c r="V112">
        <v>0</v>
      </c>
      <c r="X112">
        <v>28</v>
      </c>
      <c r="Y112">
        <v>0</v>
      </c>
      <c r="Z112">
        <v>0</v>
      </c>
      <c r="AB112">
        <v>38.65</v>
      </c>
      <c r="AC112">
        <v>0</v>
      </c>
      <c r="AD112">
        <v>0</v>
      </c>
      <c r="AF112">
        <v>32.9</v>
      </c>
      <c r="AG112">
        <v>0</v>
      </c>
      <c r="AH112">
        <v>0</v>
      </c>
    </row>
    <row r="113" spans="1:34" x14ac:dyDescent="0.2">
      <c r="A113" t="s">
        <v>1423</v>
      </c>
      <c r="B113" t="s">
        <v>1599</v>
      </c>
      <c r="C113" s="2"/>
      <c r="D113">
        <v>35.25</v>
      </c>
      <c r="E113">
        <v>0</v>
      </c>
      <c r="F113">
        <v>0</v>
      </c>
      <c r="H113">
        <v>31.7</v>
      </c>
      <c r="I113">
        <v>0</v>
      </c>
      <c r="J113">
        <v>0</v>
      </c>
      <c r="L113">
        <v>27.9</v>
      </c>
      <c r="M113">
        <v>0</v>
      </c>
      <c r="N113">
        <v>0</v>
      </c>
      <c r="P113">
        <v>19.600000000000001</v>
      </c>
      <c r="Q113">
        <v>0</v>
      </c>
      <c r="R113">
        <v>0</v>
      </c>
      <c r="T113">
        <v>34.799999999999997</v>
      </c>
      <c r="U113">
        <v>0</v>
      </c>
      <c r="V113">
        <v>0</v>
      </c>
      <c r="X113">
        <v>29.8</v>
      </c>
      <c r="Y113">
        <v>0</v>
      </c>
      <c r="Z113">
        <v>0</v>
      </c>
      <c r="AB113">
        <v>38.799999999999997</v>
      </c>
      <c r="AC113">
        <v>0</v>
      </c>
      <c r="AD113">
        <v>0</v>
      </c>
      <c r="AF113">
        <v>31.95</v>
      </c>
      <c r="AG113">
        <v>0</v>
      </c>
      <c r="AH113">
        <v>0</v>
      </c>
    </row>
    <row r="114" spans="1:34" x14ac:dyDescent="0.2">
      <c r="A114" t="s">
        <v>1424</v>
      </c>
      <c r="B114" t="s">
        <v>1599</v>
      </c>
      <c r="C114" s="2"/>
      <c r="D114">
        <v>39.4</v>
      </c>
      <c r="E114">
        <v>0</v>
      </c>
      <c r="F114">
        <v>0</v>
      </c>
      <c r="H114">
        <v>32.6</v>
      </c>
      <c r="I114">
        <v>0</v>
      </c>
      <c r="J114">
        <v>0</v>
      </c>
      <c r="L114">
        <v>28.4</v>
      </c>
      <c r="M114">
        <v>0</v>
      </c>
      <c r="N114">
        <v>0</v>
      </c>
      <c r="P114">
        <v>17.850000000000001</v>
      </c>
      <c r="Q114">
        <v>0</v>
      </c>
      <c r="R114">
        <v>0</v>
      </c>
      <c r="T114">
        <v>40.75</v>
      </c>
      <c r="U114">
        <v>0</v>
      </c>
      <c r="V114">
        <v>0</v>
      </c>
      <c r="X114">
        <v>31.7</v>
      </c>
      <c r="Y114">
        <v>0</v>
      </c>
      <c r="Z114">
        <v>0</v>
      </c>
      <c r="AB114">
        <v>41.6</v>
      </c>
      <c r="AC114">
        <v>0</v>
      </c>
      <c r="AD114">
        <v>0</v>
      </c>
      <c r="AF114">
        <v>34.799999999999997</v>
      </c>
      <c r="AG114">
        <v>0</v>
      </c>
      <c r="AH114">
        <v>0</v>
      </c>
    </row>
    <row r="115" spans="1:34" x14ac:dyDescent="0.2">
      <c r="A115" t="s">
        <v>1425</v>
      </c>
      <c r="B115" t="s">
        <v>1599</v>
      </c>
      <c r="C115" s="2"/>
      <c r="D115">
        <v>50.35</v>
      </c>
      <c r="E115">
        <v>0</v>
      </c>
      <c r="F115">
        <v>0</v>
      </c>
      <c r="H115">
        <v>41.45</v>
      </c>
      <c r="I115">
        <v>0</v>
      </c>
      <c r="J115">
        <v>0</v>
      </c>
      <c r="L115">
        <v>38.35</v>
      </c>
      <c r="M115">
        <v>0</v>
      </c>
      <c r="N115">
        <v>0</v>
      </c>
      <c r="P115">
        <v>26.45</v>
      </c>
      <c r="Q115">
        <v>0</v>
      </c>
      <c r="R115">
        <v>0</v>
      </c>
      <c r="T115">
        <v>53.7</v>
      </c>
      <c r="U115">
        <v>0</v>
      </c>
      <c r="V115">
        <v>0</v>
      </c>
      <c r="X115">
        <v>38.049999999999997</v>
      </c>
      <c r="Y115">
        <v>0</v>
      </c>
      <c r="Z115">
        <v>0</v>
      </c>
      <c r="AB115">
        <v>49.45</v>
      </c>
      <c r="AC115">
        <v>0</v>
      </c>
      <c r="AD115">
        <v>0</v>
      </c>
      <c r="AF115">
        <v>41.1</v>
      </c>
      <c r="AG115">
        <v>0</v>
      </c>
      <c r="AH115">
        <v>0</v>
      </c>
    </row>
    <row r="116" spans="1:34" x14ac:dyDescent="0.2">
      <c r="A116" t="s">
        <v>1426</v>
      </c>
      <c r="B116" t="s">
        <v>1599</v>
      </c>
      <c r="C116" s="2"/>
      <c r="D116">
        <v>52.85</v>
      </c>
      <c r="E116">
        <v>0</v>
      </c>
      <c r="F116">
        <v>0</v>
      </c>
      <c r="H116">
        <v>44.1</v>
      </c>
      <c r="I116">
        <v>0</v>
      </c>
      <c r="J116">
        <v>0</v>
      </c>
      <c r="L116">
        <v>43.25</v>
      </c>
      <c r="M116">
        <v>0</v>
      </c>
      <c r="N116">
        <v>0</v>
      </c>
      <c r="P116">
        <v>32.75</v>
      </c>
      <c r="Q116">
        <v>0</v>
      </c>
      <c r="R116">
        <v>0</v>
      </c>
      <c r="T116">
        <v>52.6</v>
      </c>
      <c r="U116">
        <v>0</v>
      </c>
      <c r="V116">
        <v>0</v>
      </c>
      <c r="X116">
        <v>38.799999999999997</v>
      </c>
      <c r="Y116">
        <v>0</v>
      </c>
      <c r="Z116">
        <v>0</v>
      </c>
      <c r="AB116">
        <v>52.3</v>
      </c>
      <c r="AC116">
        <v>0</v>
      </c>
      <c r="AD116">
        <v>0</v>
      </c>
      <c r="AF116">
        <v>43.95</v>
      </c>
      <c r="AG116">
        <v>0</v>
      </c>
      <c r="AH116">
        <v>0</v>
      </c>
    </row>
    <row r="117" spans="1:34" x14ac:dyDescent="0.2">
      <c r="A117" t="s">
        <v>1427</v>
      </c>
      <c r="B117" t="s">
        <v>1599</v>
      </c>
      <c r="C117" s="2"/>
      <c r="D117">
        <v>50</v>
      </c>
      <c r="E117">
        <v>0</v>
      </c>
      <c r="F117">
        <v>0</v>
      </c>
      <c r="H117">
        <v>42.45</v>
      </c>
      <c r="I117">
        <v>0</v>
      </c>
      <c r="J117">
        <v>0</v>
      </c>
      <c r="L117">
        <v>38.85</v>
      </c>
      <c r="M117">
        <v>0</v>
      </c>
      <c r="N117">
        <v>0</v>
      </c>
      <c r="P117">
        <v>32.700000000000003</v>
      </c>
      <c r="Q117">
        <v>0</v>
      </c>
      <c r="R117">
        <v>0</v>
      </c>
      <c r="T117">
        <v>42.55</v>
      </c>
      <c r="U117">
        <v>0</v>
      </c>
      <c r="V117">
        <v>0</v>
      </c>
      <c r="X117">
        <v>35.950000000000003</v>
      </c>
      <c r="Y117">
        <v>0</v>
      </c>
      <c r="Z117">
        <v>0</v>
      </c>
      <c r="AB117">
        <v>50</v>
      </c>
      <c r="AC117">
        <v>0</v>
      </c>
      <c r="AD117">
        <v>0</v>
      </c>
      <c r="AF117">
        <v>43.25</v>
      </c>
      <c r="AG117">
        <v>0</v>
      </c>
      <c r="AH117">
        <v>0</v>
      </c>
    </row>
    <row r="118" spans="1:34" x14ac:dyDescent="0.2">
      <c r="A118" t="s">
        <v>1428</v>
      </c>
      <c r="B118" t="s">
        <v>1599</v>
      </c>
      <c r="C118" s="2"/>
      <c r="D118">
        <v>49.4</v>
      </c>
      <c r="E118">
        <v>0</v>
      </c>
      <c r="F118">
        <v>0</v>
      </c>
      <c r="H118">
        <v>43.05</v>
      </c>
      <c r="I118">
        <v>0</v>
      </c>
      <c r="J118">
        <v>0</v>
      </c>
      <c r="L118">
        <v>34.35</v>
      </c>
      <c r="M118">
        <v>0</v>
      </c>
      <c r="N118">
        <v>0</v>
      </c>
      <c r="P118">
        <v>29.75</v>
      </c>
      <c r="Q118">
        <v>0</v>
      </c>
      <c r="R118">
        <v>0</v>
      </c>
      <c r="T118">
        <v>40.15</v>
      </c>
      <c r="U118">
        <v>0</v>
      </c>
      <c r="V118">
        <v>0</v>
      </c>
      <c r="X118">
        <v>36.200000000000003</v>
      </c>
      <c r="Y118">
        <v>0</v>
      </c>
      <c r="Z118">
        <v>0</v>
      </c>
      <c r="AB118">
        <v>51.25</v>
      </c>
      <c r="AC118">
        <v>0</v>
      </c>
      <c r="AD118">
        <v>0</v>
      </c>
      <c r="AF118">
        <v>43.95</v>
      </c>
      <c r="AG118">
        <v>0</v>
      </c>
      <c r="AH118">
        <v>0</v>
      </c>
    </row>
    <row r="119" spans="1:34" x14ac:dyDescent="0.2">
      <c r="A119" t="s">
        <v>1417</v>
      </c>
      <c r="B119" t="s">
        <v>1599</v>
      </c>
      <c r="C119" s="2"/>
      <c r="D119">
        <v>48.85</v>
      </c>
      <c r="E119">
        <v>0</v>
      </c>
      <c r="F119">
        <v>0</v>
      </c>
      <c r="H119">
        <v>42.65</v>
      </c>
      <c r="I119">
        <v>0</v>
      </c>
      <c r="J119">
        <v>0</v>
      </c>
      <c r="L119">
        <v>37.950000000000003</v>
      </c>
      <c r="M119">
        <v>0</v>
      </c>
      <c r="N119">
        <v>0</v>
      </c>
      <c r="P119">
        <v>33.25</v>
      </c>
      <c r="Q119">
        <v>0</v>
      </c>
      <c r="R119">
        <v>0</v>
      </c>
      <c r="T119">
        <v>40.049999999999997</v>
      </c>
      <c r="U119">
        <v>0</v>
      </c>
      <c r="V119">
        <v>0</v>
      </c>
      <c r="X119">
        <v>35.5</v>
      </c>
      <c r="Y119">
        <v>0</v>
      </c>
      <c r="Z119">
        <v>0</v>
      </c>
      <c r="AB119">
        <v>51.8</v>
      </c>
      <c r="AC119">
        <v>0</v>
      </c>
      <c r="AD119">
        <v>0</v>
      </c>
      <c r="AF119">
        <v>44.9</v>
      </c>
      <c r="AG119">
        <v>0</v>
      </c>
      <c r="AH119">
        <v>0</v>
      </c>
    </row>
    <row r="120" spans="1:34" x14ac:dyDescent="0.2">
      <c r="A120" t="s">
        <v>1418</v>
      </c>
      <c r="B120" t="s">
        <v>1599</v>
      </c>
      <c r="C120" s="2"/>
      <c r="D120">
        <v>52.05</v>
      </c>
      <c r="E120">
        <v>0</v>
      </c>
      <c r="F120">
        <v>0</v>
      </c>
      <c r="H120">
        <v>45.8</v>
      </c>
      <c r="I120">
        <v>0</v>
      </c>
      <c r="J120">
        <v>0</v>
      </c>
      <c r="L120">
        <v>46.05</v>
      </c>
      <c r="M120">
        <v>0</v>
      </c>
      <c r="N120">
        <v>0</v>
      </c>
      <c r="P120">
        <v>38.5</v>
      </c>
      <c r="Q120">
        <v>0</v>
      </c>
      <c r="R120">
        <v>0</v>
      </c>
      <c r="T120">
        <v>44.7</v>
      </c>
      <c r="U120">
        <v>0</v>
      </c>
      <c r="V120">
        <v>0</v>
      </c>
      <c r="X120">
        <v>38.75</v>
      </c>
      <c r="Y120">
        <v>0</v>
      </c>
      <c r="Z120">
        <v>0</v>
      </c>
      <c r="AB120">
        <v>55.45</v>
      </c>
      <c r="AC120">
        <v>0</v>
      </c>
      <c r="AD120">
        <v>0</v>
      </c>
      <c r="AF120">
        <v>48.3</v>
      </c>
      <c r="AG120">
        <v>0</v>
      </c>
      <c r="AH120">
        <v>0</v>
      </c>
    </row>
    <row r="121" spans="1:34" x14ac:dyDescent="0.2">
      <c r="A121" t="s">
        <v>1419</v>
      </c>
      <c r="B121" t="s">
        <v>1600</v>
      </c>
      <c r="C121" s="2"/>
      <c r="D121">
        <v>51.8</v>
      </c>
      <c r="E121">
        <v>0</v>
      </c>
      <c r="F121">
        <v>0</v>
      </c>
      <c r="H121">
        <v>44.9</v>
      </c>
      <c r="I121">
        <v>0</v>
      </c>
      <c r="J121">
        <v>0</v>
      </c>
      <c r="L121">
        <v>45.7</v>
      </c>
      <c r="M121">
        <v>0</v>
      </c>
      <c r="N121">
        <v>0</v>
      </c>
      <c r="P121">
        <v>38.15</v>
      </c>
      <c r="Q121">
        <v>0</v>
      </c>
      <c r="R121">
        <v>0</v>
      </c>
      <c r="T121">
        <v>42.5</v>
      </c>
      <c r="U121">
        <v>0</v>
      </c>
      <c r="V121">
        <v>0</v>
      </c>
      <c r="X121">
        <v>38.200000000000003</v>
      </c>
      <c r="Y121">
        <v>0</v>
      </c>
      <c r="Z121">
        <v>0</v>
      </c>
    </row>
    <row r="122" spans="1:34" x14ac:dyDescent="0.2">
      <c r="A122" t="s">
        <v>1420</v>
      </c>
      <c r="B122" t="s">
        <v>1600</v>
      </c>
      <c r="C122" s="2"/>
      <c r="D122">
        <v>49.65</v>
      </c>
      <c r="E122">
        <v>0</v>
      </c>
      <c r="F122">
        <v>0</v>
      </c>
      <c r="H122">
        <v>43.85</v>
      </c>
      <c r="I122">
        <v>0</v>
      </c>
      <c r="J122">
        <v>0</v>
      </c>
      <c r="L122">
        <v>39.049999999999997</v>
      </c>
      <c r="M122">
        <v>0</v>
      </c>
      <c r="N122">
        <v>0</v>
      </c>
      <c r="P122">
        <v>34.5</v>
      </c>
      <c r="Q122">
        <v>0</v>
      </c>
      <c r="R122">
        <v>0</v>
      </c>
      <c r="T122">
        <v>41.65</v>
      </c>
      <c r="U122">
        <v>0</v>
      </c>
      <c r="V122">
        <v>0</v>
      </c>
      <c r="X122">
        <v>36.15</v>
      </c>
      <c r="Y122">
        <v>0</v>
      </c>
      <c r="Z122">
        <v>0</v>
      </c>
    </row>
    <row r="123" spans="1:34" x14ac:dyDescent="0.2">
      <c r="A123" t="s">
        <v>1421</v>
      </c>
      <c r="B123" t="s">
        <v>1600</v>
      </c>
      <c r="C123" s="2"/>
      <c r="D123">
        <v>43.35</v>
      </c>
      <c r="E123">
        <v>0</v>
      </c>
      <c r="F123">
        <v>0</v>
      </c>
      <c r="H123">
        <v>39.200000000000003</v>
      </c>
      <c r="I123">
        <v>0</v>
      </c>
      <c r="J123">
        <v>0</v>
      </c>
      <c r="L123">
        <v>31.95</v>
      </c>
      <c r="M123">
        <v>0</v>
      </c>
      <c r="N123">
        <v>0</v>
      </c>
      <c r="P123">
        <v>28.4</v>
      </c>
      <c r="Q123">
        <v>0</v>
      </c>
      <c r="R123">
        <v>0</v>
      </c>
      <c r="T123">
        <v>36.85</v>
      </c>
      <c r="U123">
        <v>0</v>
      </c>
      <c r="V123">
        <v>0</v>
      </c>
      <c r="X123">
        <v>33.549999999999997</v>
      </c>
      <c r="Y123">
        <v>0</v>
      </c>
      <c r="Z123">
        <v>0</v>
      </c>
    </row>
    <row r="124" spans="1:34" x14ac:dyDescent="0.2">
      <c r="A124" t="s">
        <v>1422</v>
      </c>
      <c r="B124" t="s">
        <v>1600</v>
      </c>
      <c r="D124">
        <v>35.799999999999997</v>
      </c>
      <c r="E124">
        <v>0</v>
      </c>
      <c r="F124">
        <v>0</v>
      </c>
      <c r="H124">
        <v>32.799999999999997</v>
      </c>
      <c r="I124">
        <v>0</v>
      </c>
      <c r="J124">
        <v>0</v>
      </c>
      <c r="L124">
        <v>30.6</v>
      </c>
      <c r="M124">
        <v>0</v>
      </c>
      <c r="N124">
        <v>0</v>
      </c>
      <c r="P124">
        <v>24.95</v>
      </c>
      <c r="Q124">
        <v>0</v>
      </c>
      <c r="R124">
        <v>0</v>
      </c>
      <c r="T124">
        <v>34.049999999999997</v>
      </c>
      <c r="U124">
        <v>0</v>
      </c>
      <c r="V124">
        <v>0</v>
      </c>
      <c r="X124">
        <v>28.7</v>
      </c>
      <c r="Y124">
        <v>0</v>
      </c>
      <c r="Z124">
        <v>0</v>
      </c>
    </row>
    <row r="125" spans="1:34" x14ac:dyDescent="0.2">
      <c r="A125" t="s">
        <v>1423</v>
      </c>
      <c r="B125" t="s">
        <v>1600</v>
      </c>
      <c r="D125">
        <v>36</v>
      </c>
      <c r="E125">
        <v>0</v>
      </c>
      <c r="F125">
        <v>0</v>
      </c>
      <c r="H125">
        <v>32.5</v>
      </c>
      <c r="I125">
        <v>0</v>
      </c>
      <c r="J125">
        <v>0</v>
      </c>
      <c r="L125">
        <v>28.95</v>
      </c>
      <c r="M125">
        <v>0</v>
      </c>
      <c r="N125">
        <v>0</v>
      </c>
      <c r="P125">
        <v>20.25</v>
      </c>
      <c r="Q125">
        <v>0</v>
      </c>
      <c r="R125">
        <v>0</v>
      </c>
      <c r="T125">
        <v>35.799999999999997</v>
      </c>
      <c r="U125">
        <v>0</v>
      </c>
      <c r="V125">
        <v>0</v>
      </c>
      <c r="X125">
        <v>30.6</v>
      </c>
      <c r="Y125">
        <v>0</v>
      </c>
      <c r="Z125">
        <v>0</v>
      </c>
    </row>
    <row r="126" spans="1:34" x14ac:dyDescent="0.2">
      <c r="A126" t="s">
        <v>1424</v>
      </c>
      <c r="B126" t="s">
        <v>1600</v>
      </c>
      <c r="D126">
        <v>40.25</v>
      </c>
      <c r="E126">
        <v>0</v>
      </c>
      <c r="F126">
        <v>0</v>
      </c>
      <c r="H126">
        <v>33.5</v>
      </c>
      <c r="I126">
        <v>0</v>
      </c>
      <c r="J126">
        <v>0</v>
      </c>
      <c r="L126">
        <v>29.3</v>
      </c>
      <c r="M126">
        <v>0</v>
      </c>
      <c r="N126">
        <v>0</v>
      </c>
      <c r="P126">
        <v>18.25</v>
      </c>
      <c r="Q126">
        <v>0</v>
      </c>
      <c r="R126">
        <v>0</v>
      </c>
      <c r="T126">
        <v>41.7</v>
      </c>
      <c r="U126">
        <v>0</v>
      </c>
      <c r="V126">
        <v>0</v>
      </c>
      <c r="X126">
        <v>32.75</v>
      </c>
      <c r="Y126">
        <v>0</v>
      </c>
      <c r="Z126">
        <v>0</v>
      </c>
    </row>
    <row r="127" spans="1:34" x14ac:dyDescent="0.2">
      <c r="A127" t="s">
        <v>1425</v>
      </c>
      <c r="B127" t="s">
        <v>1600</v>
      </c>
      <c r="D127">
        <v>51.55</v>
      </c>
      <c r="E127">
        <v>0</v>
      </c>
      <c r="F127">
        <v>0</v>
      </c>
      <c r="H127">
        <v>42.5</v>
      </c>
      <c r="I127">
        <v>0</v>
      </c>
      <c r="J127">
        <v>0</v>
      </c>
      <c r="L127">
        <v>39.4</v>
      </c>
      <c r="M127">
        <v>0</v>
      </c>
      <c r="N127">
        <v>0</v>
      </c>
      <c r="P127">
        <v>27.35</v>
      </c>
      <c r="Q127">
        <v>0</v>
      </c>
      <c r="R127">
        <v>0</v>
      </c>
      <c r="T127">
        <v>55.1</v>
      </c>
      <c r="U127">
        <v>0</v>
      </c>
      <c r="V127">
        <v>0</v>
      </c>
      <c r="X127">
        <v>39.15</v>
      </c>
      <c r="Y127">
        <v>0</v>
      </c>
      <c r="Z127">
        <v>0</v>
      </c>
    </row>
    <row r="128" spans="1:34" x14ac:dyDescent="0.2">
      <c r="A128" t="s">
        <v>1426</v>
      </c>
      <c r="B128" t="s">
        <v>1600</v>
      </c>
      <c r="D128">
        <v>53.95</v>
      </c>
      <c r="E128">
        <v>0</v>
      </c>
      <c r="F128">
        <v>0</v>
      </c>
      <c r="H128">
        <v>45</v>
      </c>
      <c r="I128">
        <v>0</v>
      </c>
      <c r="J128">
        <v>0</v>
      </c>
      <c r="L128">
        <v>44.6</v>
      </c>
      <c r="M128">
        <v>0</v>
      </c>
      <c r="N128">
        <v>0</v>
      </c>
      <c r="P128">
        <v>33.9</v>
      </c>
      <c r="Q128">
        <v>0</v>
      </c>
      <c r="R128">
        <v>0</v>
      </c>
      <c r="T128">
        <v>53.85</v>
      </c>
      <c r="U128">
        <v>0</v>
      </c>
      <c r="V128">
        <v>0</v>
      </c>
      <c r="X128">
        <v>39.799999999999997</v>
      </c>
      <c r="Y128">
        <v>0</v>
      </c>
      <c r="Z128">
        <v>0</v>
      </c>
    </row>
    <row r="129" spans="1:26" x14ac:dyDescent="0.2">
      <c r="A129" t="s">
        <v>1427</v>
      </c>
      <c r="B129" t="s">
        <v>1600</v>
      </c>
      <c r="D129">
        <v>51.2</v>
      </c>
      <c r="E129">
        <v>0</v>
      </c>
      <c r="F129">
        <v>0</v>
      </c>
      <c r="H129">
        <v>43.45</v>
      </c>
      <c r="I129">
        <v>0</v>
      </c>
      <c r="J129">
        <v>0</v>
      </c>
      <c r="L129">
        <v>40.1</v>
      </c>
      <c r="M129">
        <v>0</v>
      </c>
      <c r="N129">
        <v>0</v>
      </c>
      <c r="P129">
        <v>34.1</v>
      </c>
      <c r="Q129">
        <v>0</v>
      </c>
      <c r="R129">
        <v>0</v>
      </c>
      <c r="T129">
        <v>43.7</v>
      </c>
      <c r="U129">
        <v>0</v>
      </c>
      <c r="V129">
        <v>0</v>
      </c>
      <c r="X129">
        <v>36.9</v>
      </c>
      <c r="Y129">
        <v>0</v>
      </c>
      <c r="Z129">
        <v>0</v>
      </c>
    </row>
    <row r="130" spans="1:26" x14ac:dyDescent="0.2">
      <c r="A130" t="s">
        <v>1428</v>
      </c>
      <c r="B130" t="s">
        <v>1600</v>
      </c>
      <c r="D130">
        <v>50.65</v>
      </c>
      <c r="E130">
        <v>0</v>
      </c>
      <c r="F130">
        <v>0</v>
      </c>
      <c r="H130">
        <v>44.15</v>
      </c>
      <c r="I130">
        <v>0</v>
      </c>
      <c r="J130">
        <v>0</v>
      </c>
      <c r="L130">
        <v>35.6</v>
      </c>
      <c r="M130">
        <v>0</v>
      </c>
      <c r="N130">
        <v>0</v>
      </c>
      <c r="P130">
        <v>30.9</v>
      </c>
      <c r="Q130">
        <v>0</v>
      </c>
      <c r="R130">
        <v>0</v>
      </c>
      <c r="T130">
        <v>41.4</v>
      </c>
      <c r="U130">
        <v>0</v>
      </c>
      <c r="V130">
        <v>0</v>
      </c>
      <c r="X130">
        <v>37.35</v>
      </c>
      <c r="Y130">
        <v>0</v>
      </c>
      <c r="Z130">
        <v>0</v>
      </c>
    </row>
    <row r="131" spans="1:26" x14ac:dyDescent="0.2">
      <c r="A131" t="s">
        <v>1417</v>
      </c>
      <c r="B131" t="s">
        <v>1600</v>
      </c>
      <c r="D131">
        <v>49.95</v>
      </c>
      <c r="E131">
        <v>0</v>
      </c>
      <c r="F131">
        <v>0</v>
      </c>
      <c r="H131">
        <v>43.75</v>
      </c>
      <c r="I131">
        <v>0</v>
      </c>
      <c r="J131">
        <v>0</v>
      </c>
      <c r="L131">
        <v>39.049999999999997</v>
      </c>
      <c r="M131">
        <v>0</v>
      </c>
      <c r="N131">
        <v>0</v>
      </c>
      <c r="P131">
        <v>34.4</v>
      </c>
      <c r="Q131">
        <v>0</v>
      </c>
      <c r="R131">
        <v>0</v>
      </c>
      <c r="T131">
        <v>41.15</v>
      </c>
      <c r="U131">
        <v>0</v>
      </c>
      <c r="V131">
        <v>0</v>
      </c>
      <c r="X131">
        <v>36.65</v>
      </c>
      <c r="Y131">
        <v>0</v>
      </c>
      <c r="Z131">
        <v>0</v>
      </c>
    </row>
    <row r="132" spans="1:26" x14ac:dyDescent="0.2">
      <c r="A132" t="s">
        <v>1418</v>
      </c>
      <c r="B132" t="s">
        <v>1600</v>
      </c>
      <c r="D132">
        <v>53.3</v>
      </c>
      <c r="E132">
        <v>0</v>
      </c>
      <c r="F132">
        <v>0</v>
      </c>
      <c r="H132">
        <v>47.05</v>
      </c>
      <c r="I132">
        <v>0</v>
      </c>
      <c r="J132">
        <v>0</v>
      </c>
      <c r="L132">
        <v>47.4</v>
      </c>
      <c r="M132">
        <v>0</v>
      </c>
      <c r="N132">
        <v>0</v>
      </c>
      <c r="P132">
        <v>39.85</v>
      </c>
      <c r="Q132">
        <v>0</v>
      </c>
      <c r="R132">
        <v>0</v>
      </c>
      <c r="T132">
        <v>46.05</v>
      </c>
      <c r="U132">
        <v>0</v>
      </c>
      <c r="V132">
        <v>0</v>
      </c>
      <c r="X132">
        <v>39.9</v>
      </c>
      <c r="Y132">
        <v>0</v>
      </c>
      <c r="Z132">
        <v>0</v>
      </c>
    </row>
  </sheetData>
  <dataConsolidate/>
  <mergeCells count="10">
    <mergeCell ref="D4:F4"/>
    <mergeCell ref="H4:J4"/>
    <mergeCell ref="D15:F15"/>
    <mergeCell ref="H15:J15"/>
    <mergeCell ref="T15:V15"/>
    <mergeCell ref="X15:Z15"/>
    <mergeCell ref="AB15:AD15"/>
    <mergeCell ref="AF15:AH15"/>
    <mergeCell ref="L15:N15"/>
    <mergeCell ref="P15:R15"/>
  </mergeCells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sisSwaps"/>
  <dimension ref="A1:AU154"/>
  <sheetViews>
    <sheetView tabSelected="1" topLeftCell="A2" workbookViewId="0">
      <selection activeCell="B2" sqref="A1:AU94"/>
    </sheetView>
  </sheetViews>
  <sheetFormatPr defaultColWidth="9" defaultRowHeight="12.75" x14ac:dyDescent="0.2"/>
  <cols>
    <col min="1" max="1" width="12.7109375" customWidth="1"/>
    <col min="2" max="2" width="13.140625" customWidth="1"/>
    <col min="3" max="3" width="1.7109375" style="10" customWidth="1"/>
    <col min="4" max="4" width="12.7109375" customWidth="1"/>
    <col min="5" max="5" width="7.5703125" customWidth="1"/>
    <col min="6" max="6" width="10.28515625" customWidth="1"/>
    <col min="7" max="7" width="6" bestFit="1" customWidth="1"/>
    <col min="8" max="8" width="6.5703125" bestFit="1" customWidth="1"/>
    <col min="9" max="9" width="1.7109375" customWidth="1"/>
    <col min="10" max="10" width="12.7109375" customWidth="1"/>
    <col min="11" max="11" width="5.140625" bestFit="1" customWidth="1"/>
    <col min="12" max="12" width="5.28515625" bestFit="1" customWidth="1"/>
    <col min="13" max="14" width="6" bestFit="1" customWidth="1"/>
    <col min="15" max="15" width="1.7109375" customWidth="1"/>
    <col min="16" max="16" width="12.7109375" style="41" customWidth="1"/>
    <col min="17" max="17" width="5.140625" bestFit="1" customWidth="1"/>
    <col min="18" max="18" width="5.28515625" bestFit="1" customWidth="1"/>
    <col min="19" max="20" width="6" bestFit="1" customWidth="1"/>
    <col min="21" max="21" width="2.42578125" customWidth="1"/>
    <col min="22" max="22" width="12.7109375" customWidth="1"/>
    <col min="23" max="23" width="5.140625" bestFit="1" customWidth="1"/>
    <col min="24" max="24" width="5.28515625" bestFit="1" customWidth="1"/>
    <col min="25" max="25" width="6.85546875" customWidth="1"/>
    <col min="26" max="26" width="7" customWidth="1"/>
    <col min="27" max="27" width="1.7109375" customWidth="1"/>
    <col min="28" max="28" width="12.7109375" customWidth="1"/>
    <col min="29" max="29" width="5.140625" bestFit="1" customWidth="1"/>
    <col min="30" max="30" width="5.28515625" bestFit="1" customWidth="1"/>
    <col min="31" max="32" width="6" bestFit="1" customWidth="1"/>
    <col min="33" max="33" width="1.28515625" customWidth="1"/>
    <col min="34" max="34" width="12.7109375" customWidth="1"/>
    <col min="35" max="35" width="5.140625" bestFit="1" customWidth="1"/>
    <col min="36" max="36" width="5.28515625" bestFit="1" customWidth="1"/>
    <col min="37" max="38" width="6" bestFit="1" customWidth="1"/>
    <col min="39" max="39" width="1.5703125" customWidth="1"/>
    <col min="40" max="40" width="12.7109375" customWidth="1"/>
    <col min="41" max="41" width="5.140625" bestFit="1" customWidth="1"/>
    <col min="42" max="42" width="5.28515625" bestFit="1" customWidth="1"/>
    <col min="43" max="44" width="6" bestFit="1" customWidth="1"/>
    <col min="45" max="45" width="1.7109375" customWidth="1"/>
  </cols>
  <sheetData>
    <row r="1" spans="1:47" hidden="1" x14ac:dyDescent="0.2">
      <c r="D1" t="e">
        <f>MATCH(D15,AEC!1:1, FALSE)</f>
        <v>#N/A</v>
      </c>
      <c r="E1" t="e">
        <f>MATCH(E15,AEC!1:1, FALSE)</f>
        <v>#N/A</v>
      </c>
      <c r="F1" t="e">
        <f>MATCH(F15,AEC!1:1, FALSE)</f>
        <v>#N/A</v>
      </c>
      <c r="J1" t="e">
        <f>MATCH(J15,DGD!1:1, FALSE)</f>
        <v>#N/A</v>
      </c>
      <c r="K1" t="e">
        <f>MATCH(K15,DGD!1:1, FALSE)</f>
        <v>#N/A</v>
      </c>
      <c r="L1" t="e">
        <f>MATCH(L15,DGD!1:1, FALSE)</f>
        <v>#N/A</v>
      </c>
      <c r="P1" s="41" t="e">
        <f>MATCH(P15,NWR!1:1, FALSE)</f>
        <v>#N/A</v>
      </c>
      <c r="Q1" t="e">
        <f>MATCH(Q15,NWR!1:1, FALSE)</f>
        <v>#N/A</v>
      </c>
      <c r="R1" t="e">
        <f>MATCH(R15,NWR!1:1, FALSE)</f>
        <v>#N/A</v>
      </c>
      <c r="V1" t="e">
        <f>MATCH(V15,PGE!1:1, FALSE)</f>
        <v>#N/A</v>
      </c>
      <c r="W1" t="e">
        <f>MATCH(W15,PGE!1:1, FALSE)</f>
        <v>#N/A</v>
      </c>
      <c r="X1" t="e">
        <f>MATCH(X15,PGE!1:1, FALSE)</f>
        <v>#N/A</v>
      </c>
      <c r="AB1" t="e">
        <f>MATCH(AB15,SCL!1:1, FALSE)</f>
        <v>#N/A</v>
      </c>
      <c r="AC1" t="e">
        <f>MATCH(AC15,SCL!1:1, FALSE)</f>
        <v>#N/A</v>
      </c>
      <c r="AD1" t="e">
        <f>MATCH(AD15,SCL!1:1, FALSE)</f>
        <v>#N/A</v>
      </c>
      <c r="AH1" t="e">
        <f>MATCH(AH15,WAH!1:1, FALSE)</f>
        <v>#N/A</v>
      </c>
      <c r="AI1" t="e">
        <f>MATCH(AI15,WAH!1:1, FALSE)</f>
        <v>#N/A</v>
      </c>
      <c r="AJ1" t="e">
        <f>MATCH(AJ15,WAH!1:1, FALSE)</f>
        <v>#N/A</v>
      </c>
      <c r="AN1" t="e">
        <f>MATCH(AN15,HSC!1:1, FALSE)</f>
        <v>#N/A</v>
      </c>
      <c r="AO1" t="e">
        <f>MATCH(AO15,HSC!1:1, FALSE)</f>
        <v>#N/A</v>
      </c>
      <c r="AP1" t="e">
        <f>MATCH(AP15,HSC!1:1, FALSE)</f>
        <v>#N/A</v>
      </c>
    </row>
    <row r="2" spans="1:47" ht="15" x14ac:dyDescent="0.25">
      <c r="A2" s="27" t="s">
        <v>973</v>
      </c>
      <c r="B2" s="49">
        <v>43236</v>
      </c>
      <c r="C2" s="11"/>
      <c r="D2" s="2"/>
      <c r="E2" s="2"/>
      <c r="F2" s="2"/>
      <c r="G2" s="2"/>
      <c r="H2" s="2"/>
      <c r="P2" s="42"/>
      <c r="Q2" s="2"/>
      <c r="R2" s="2"/>
      <c r="S2" s="2"/>
      <c r="T2" s="2"/>
      <c r="V2" s="2"/>
      <c r="W2" s="2"/>
      <c r="X2" s="2"/>
      <c r="Y2" s="2"/>
      <c r="Z2" s="2"/>
      <c r="AB2" s="2"/>
      <c r="AC2" s="2"/>
      <c r="AD2" s="2"/>
      <c r="AE2" s="2"/>
      <c r="AF2" s="2"/>
      <c r="AH2" s="2"/>
      <c r="AI2" s="2"/>
      <c r="AJ2" s="2"/>
      <c r="AK2" s="2"/>
      <c r="AL2" s="2"/>
      <c r="AN2" s="2"/>
      <c r="AO2" s="2"/>
      <c r="AP2" s="2"/>
      <c r="AQ2" s="2"/>
      <c r="AR2" s="2"/>
      <c r="AS2" s="2"/>
    </row>
    <row r="3" spans="1:47" ht="13.5" thickBot="1" x14ac:dyDescent="0.25">
      <c r="A3" s="10"/>
      <c r="B3" s="11"/>
      <c r="C3" s="11"/>
      <c r="D3" s="2"/>
      <c r="E3" s="2"/>
      <c r="F3" s="2"/>
      <c r="G3" s="2"/>
      <c r="H3" s="2"/>
      <c r="AH3" s="2"/>
      <c r="AI3" s="2"/>
      <c r="AJ3" s="2"/>
      <c r="AK3" s="2"/>
      <c r="AL3" s="2"/>
      <c r="AN3" s="2"/>
      <c r="AO3" s="2"/>
      <c r="AP3" s="2"/>
      <c r="AQ3" s="2"/>
      <c r="AR3" s="2"/>
      <c r="AS3" s="2"/>
    </row>
    <row r="4" spans="1:47" ht="13.5" thickBot="1" x14ac:dyDescent="0.25">
      <c r="A4" s="10"/>
      <c r="B4" s="11"/>
      <c r="C4" s="11"/>
      <c r="D4" s="67" t="s">
        <v>961</v>
      </c>
      <c r="E4" s="61"/>
      <c r="F4" s="62"/>
      <c r="G4" s="31"/>
      <c r="H4" s="31"/>
      <c r="P4" s="42"/>
      <c r="Q4" s="2"/>
      <c r="R4" s="2"/>
      <c r="S4" s="2"/>
      <c r="T4" s="2"/>
      <c r="V4" s="2"/>
      <c r="W4" s="2"/>
      <c r="X4" s="2"/>
      <c r="Y4" s="2"/>
      <c r="Z4" s="2"/>
      <c r="AB4" s="2"/>
      <c r="AC4" s="2"/>
      <c r="AD4" s="2"/>
      <c r="AE4" s="2"/>
      <c r="AF4" s="2"/>
      <c r="AH4" s="2"/>
      <c r="AI4" s="2"/>
      <c r="AJ4" s="2"/>
      <c r="AK4" s="2"/>
      <c r="AL4" s="2"/>
      <c r="AN4" s="2"/>
      <c r="AO4" s="2"/>
      <c r="AP4" s="2"/>
      <c r="AQ4" s="2"/>
      <c r="AR4" s="2"/>
      <c r="AS4" s="2"/>
    </row>
    <row r="5" spans="1:47" x14ac:dyDescent="0.2">
      <c r="A5" s="10"/>
      <c r="B5" s="11"/>
      <c r="C5" s="11"/>
      <c r="D5" s="21" t="s">
        <v>989</v>
      </c>
      <c r="E5" s="39" t="s">
        <v>992</v>
      </c>
      <c r="F5" s="18" t="s">
        <v>993</v>
      </c>
      <c r="G5" s="46"/>
      <c r="H5" s="46"/>
      <c r="P5" s="42"/>
      <c r="Q5" s="2"/>
      <c r="R5" s="2"/>
      <c r="S5" s="2"/>
      <c r="T5" s="2"/>
      <c r="V5" s="2"/>
      <c r="W5" s="2"/>
      <c r="X5" s="2"/>
      <c r="Y5" s="2"/>
      <c r="Z5" s="2"/>
      <c r="AB5" s="2"/>
      <c r="AC5" s="2"/>
      <c r="AD5" s="2"/>
      <c r="AE5" s="2"/>
      <c r="AF5" s="2"/>
      <c r="AH5" s="2"/>
      <c r="AI5" s="2"/>
      <c r="AJ5" s="2"/>
      <c r="AK5" s="2"/>
      <c r="AL5" s="2"/>
      <c r="AN5" s="2"/>
      <c r="AO5" s="2"/>
      <c r="AP5" s="2"/>
      <c r="AQ5" s="2"/>
      <c r="AR5" s="2"/>
      <c r="AS5" s="2"/>
    </row>
    <row r="6" spans="1:47" x14ac:dyDescent="0.2">
      <c r="A6" s="10"/>
      <c r="B6" s="11"/>
      <c r="C6" s="11"/>
      <c r="D6" s="28" t="s">
        <v>994</v>
      </c>
      <c r="E6" s="29">
        <f>SUM(AEC!fields.Volume)</f>
        <v>25735</v>
      </c>
      <c r="F6" s="38">
        <f>SUM(AEC!fields.Block.Vol)</f>
        <v>13978</v>
      </c>
      <c r="G6" s="19"/>
      <c r="H6" s="19"/>
      <c r="P6" s="42"/>
      <c r="Q6" s="2"/>
      <c r="R6" s="2"/>
      <c r="S6" s="2"/>
      <c r="T6" s="2"/>
      <c r="V6" s="2"/>
      <c r="W6" s="2"/>
      <c r="X6" s="2"/>
      <c r="Y6" s="2"/>
      <c r="Z6" s="2"/>
      <c r="AB6" s="2"/>
      <c r="AC6" s="2"/>
      <c r="AD6" s="2"/>
      <c r="AE6" s="2"/>
      <c r="AF6" s="2"/>
      <c r="AH6" s="2"/>
      <c r="AI6" s="2"/>
      <c r="AJ6" s="2"/>
      <c r="AK6" s="2"/>
      <c r="AL6" s="2"/>
      <c r="AN6" s="2"/>
      <c r="AO6" s="2"/>
      <c r="AP6" s="2"/>
      <c r="AQ6" s="2"/>
      <c r="AR6" s="2"/>
      <c r="AS6" s="2"/>
    </row>
    <row r="7" spans="1:47" x14ac:dyDescent="0.2">
      <c r="A7" s="10"/>
      <c r="B7" s="11"/>
      <c r="C7" s="11"/>
      <c r="D7" s="28" t="s">
        <v>995</v>
      </c>
      <c r="E7" s="29">
        <f>SUM(DGD!fields.Volume)</f>
        <v>8307</v>
      </c>
      <c r="F7" s="38">
        <f>SUM(DGD!fields.Block.Vol)</f>
        <v>6016</v>
      </c>
      <c r="G7" s="19"/>
      <c r="H7" s="19"/>
      <c r="P7" s="42"/>
      <c r="Q7" s="2"/>
      <c r="R7" s="2"/>
      <c r="S7" s="2"/>
      <c r="T7" s="2"/>
      <c r="V7" s="2"/>
      <c r="W7" s="2"/>
      <c r="X7" s="2"/>
      <c r="Y7" s="2"/>
      <c r="Z7" s="2"/>
      <c r="AB7" s="2"/>
      <c r="AC7" s="2"/>
      <c r="AD7" s="2"/>
      <c r="AE7" s="2"/>
      <c r="AF7" s="2"/>
      <c r="AH7" s="2"/>
      <c r="AI7" s="2"/>
      <c r="AJ7" s="2"/>
      <c r="AK7" s="2"/>
      <c r="AL7" s="2"/>
      <c r="AN7" s="2"/>
      <c r="AO7" s="2"/>
      <c r="AP7" s="2"/>
      <c r="AQ7" s="2"/>
      <c r="AR7" s="2"/>
      <c r="AS7" s="2"/>
    </row>
    <row r="8" spans="1:47" x14ac:dyDescent="0.2">
      <c r="A8" s="10"/>
      <c r="B8" s="11"/>
      <c r="C8" s="11"/>
      <c r="D8" s="28" t="s">
        <v>996</v>
      </c>
      <c r="E8" s="29">
        <f>SUM(NWR!fields.Volume)</f>
        <v>9396</v>
      </c>
      <c r="F8" s="38">
        <f>SUM(NWR!fields.Block.Vol)</f>
        <v>5926</v>
      </c>
      <c r="G8" s="19"/>
      <c r="H8" s="19"/>
      <c r="P8" s="42"/>
      <c r="Q8" s="2"/>
      <c r="R8" s="2"/>
      <c r="S8" s="2"/>
      <c r="T8" s="2"/>
      <c r="V8" s="2"/>
      <c r="W8" s="2"/>
      <c r="X8" s="2"/>
      <c r="Y8" s="2"/>
      <c r="Z8" s="2"/>
      <c r="AB8" s="2"/>
      <c r="AC8" s="2"/>
      <c r="AD8" s="2"/>
      <c r="AE8" s="2"/>
      <c r="AF8" s="2"/>
      <c r="AH8" s="2"/>
      <c r="AI8" s="2"/>
      <c r="AJ8" s="2"/>
      <c r="AK8" s="2"/>
      <c r="AL8" s="2"/>
      <c r="AN8" s="2"/>
      <c r="AO8" s="2"/>
      <c r="AP8" s="2"/>
      <c r="AQ8" s="2"/>
      <c r="AR8" s="2"/>
      <c r="AS8" s="2"/>
    </row>
    <row r="9" spans="1:47" x14ac:dyDescent="0.2">
      <c r="A9" s="10"/>
      <c r="B9" s="11"/>
      <c r="C9" s="11"/>
      <c r="D9" s="28" t="s">
        <v>997</v>
      </c>
      <c r="E9" s="29">
        <f>SUM(PGE!fields.Volume)</f>
        <v>3739</v>
      </c>
      <c r="F9" s="38">
        <f>SUM(PGE!fields.Block.Vol)</f>
        <v>2858</v>
      </c>
      <c r="G9" s="19"/>
      <c r="H9" s="19"/>
      <c r="P9" s="42"/>
      <c r="Q9" s="2"/>
      <c r="R9" s="2"/>
      <c r="S9" s="2"/>
      <c r="T9" s="2"/>
      <c r="V9" s="2"/>
      <c r="W9" s="2"/>
      <c r="X9" s="2"/>
      <c r="Y9" s="2"/>
      <c r="Z9" s="2"/>
      <c r="AB9" s="2"/>
      <c r="AC9" s="2"/>
      <c r="AD9" s="2"/>
      <c r="AE9" s="2"/>
      <c r="AF9" s="2"/>
      <c r="AH9" s="2"/>
      <c r="AI9" s="2"/>
      <c r="AJ9" s="2"/>
      <c r="AK9" s="2"/>
      <c r="AL9" s="2"/>
      <c r="AN9" s="2"/>
      <c r="AO9" s="2"/>
      <c r="AP9" s="2"/>
      <c r="AQ9" s="2"/>
      <c r="AR9" s="2"/>
      <c r="AS9" s="2"/>
    </row>
    <row r="10" spans="1:47" x14ac:dyDescent="0.2">
      <c r="A10" s="10"/>
      <c r="B10" s="11"/>
      <c r="C10" s="11"/>
      <c r="D10" s="28" t="s">
        <v>998</v>
      </c>
      <c r="E10" s="29">
        <f>SUM(SCL!fields.Volume)</f>
        <v>8595</v>
      </c>
      <c r="F10" s="38">
        <f>SUM(SCL!fields.Block.Vol)</f>
        <v>2505</v>
      </c>
      <c r="G10" s="19"/>
      <c r="H10" s="19"/>
      <c r="I10" s="35"/>
      <c r="P10" s="42"/>
      <c r="Q10" s="2"/>
      <c r="R10" s="2"/>
      <c r="S10" s="2"/>
      <c r="T10" s="2"/>
      <c r="V10" s="2"/>
      <c r="W10" s="2"/>
      <c r="X10" s="2"/>
      <c r="Y10" s="2"/>
      <c r="Z10" s="2"/>
      <c r="AB10" s="2"/>
      <c r="AC10" s="2"/>
      <c r="AD10" s="2"/>
      <c r="AE10" s="2"/>
      <c r="AF10" s="2"/>
      <c r="AH10" s="2"/>
      <c r="AI10" s="2"/>
      <c r="AJ10" s="2"/>
      <c r="AK10" s="2"/>
      <c r="AL10" s="2"/>
      <c r="AN10" s="2"/>
      <c r="AO10" s="2"/>
      <c r="AP10" s="2"/>
      <c r="AQ10" s="2"/>
      <c r="AR10" s="2"/>
      <c r="AS10" s="2"/>
    </row>
    <row r="11" spans="1:47" x14ac:dyDescent="0.2">
      <c r="A11" s="10"/>
      <c r="B11" s="11"/>
      <c r="C11" s="11"/>
      <c r="D11" s="28" t="s">
        <v>999</v>
      </c>
      <c r="E11" s="29">
        <f>SUM(WAH!fields.Volume)</f>
        <v>9638</v>
      </c>
      <c r="F11" s="38">
        <f>SUM(WAH!fields.Block.Vol)</f>
        <v>4328</v>
      </c>
      <c r="G11" s="19"/>
      <c r="H11" s="19"/>
      <c r="I11" s="35"/>
      <c r="P11" s="42"/>
      <c r="Q11" s="2"/>
      <c r="R11" s="2"/>
      <c r="S11" s="2"/>
      <c r="T11" s="2"/>
      <c r="V11" s="2"/>
      <c r="W11" s="2"/>
      <c r="X11" s="2"/>
      <c r="Y11" s="2"/>
      <c r="Z11" s="2"/>
      <c r="AB11" s="2"/>
      <c r="AC11" s="2"/>
      <c r="AD11" s="2"/>
      <c r="AE11" s="2"/>
      <c r="AF11" s="2"/>
      <c r="AH11" s="2"/>
      <c r="AI11" s="2"/>
      <c r="AJ11" s="2"/>
      <c r="AK11" s="2"/>
      <c r="AL11" s="2"/>
      <c r="AN11" s="2"/>
      <c r="AO11" s="2"/>
      <c r="AP11" s="2"/>
      <c r="AQ11" s="2"/>
      <c r="AR11" s="2"/>
      <c r="AS11" s="2"/>
    </row>
    <row r="12" spans="1:47" ht="13.5" thickBot="1" x14ac:dyDescent="0.25">
      <c r="A12" s="10"/>
      <c r="B12" s="11"/>
      <c r="C12" s="11"/>
      <c r="D12" s="30" t="s">
        <v>1000</v>
      </c>
      <c r="E12" s="37">
        <f>SUM(HSC!fields.Volume)</f>
        <v>4067</v>
      </c>
      <c r="F12" s="47">
        <f>SUM(HSC!fields.Block.Vol)</f>
        <v>1592</v>
      </c>
      <c r="G12" s="19"/>
      <c r="H12" s="19"/>
      <c r="I12" s="35"/>
      <c r="P12" s="42"/>
      <c r="Q12" s="2"/>
      <c r="R12" s="2"/>
      <c r="S12" s="2"/>
      <c r="T12" s="2"/>
      <c r="V12" s="2"/>
      <c r="W12" s="2"/>
      <c r="X12" s="2"/>
      <c r="Y12" s="2"/>
      <c r="Z12" s="2"/>
      <c r="AB12" s="2"/>
      <c r="AC12" s="2"/>
      <c r="AD12" s="2"/>
      <c r="AE12" s="2"/>
      <c r="AF12" s="2"/>
      <c r="AH12" s="2"/>
      <c r="AI12" s="2"/>
      <c r="AJ12" s="2"/>
      <c r="AK12" s="2"/>
      <c r="AL12" s="2"/>
      <c r="AN12" s="2"/>
      <c r="AO12" s="2"/>
      <c r="AP12" s="32"/>
      <c r="AQ12" s="32"/>
      <c r="AR12" s="32"/>
      <c r="AS12" s="2"/>
    </row>
    <row r="13" spans="1:47" x14ac:dyDescent="0.2">
      <c r="A13" s="10"/>
      <c r="B13" s="11"/>
      <c r="C13" s="11"/>
      <c r="D13" s="68" t="s">
        <v>972</v>
      </c>
      <c r="E13" s="69"/>
      <c r="F13" s="69"/>
      <c r="G13" s="69"/>
      <c r="H13" s="69"/>
      <c r="I13" s="69"/>
      <c r="J13" s="69"/>
      <c r="K13" s="69"/>
      <c r="L13" s="69"/>
      <c r="M13" s="69"/>
      <c r="N13" s="69"/>
      <c r="P13" s="42"/>
      <c r="Q13" s="2"/>
      <c r="R13" s="2"/>
      <c r="S13" s="2"/>
      <c r="T13" s="2"/>
      <c r="V13" s="2"/>
      <c r="W13" s="2"/>
      <c r="X13" s="2"/>
      <c r="Y13" s="2"/>
      <c r="Z13" s="2"/>
      <c r="AB13" s="2"/>
      <c r="AC13" s="2"/>
      <c r="AD13" s="2"/>
      <c r="AE13" s="2"/>
      <c r="AF13" s="2"/>
      <c r="AH13" s="2"/>
      <c r="AI13" s="2"/>
      <c r="AJ13" s="2"/>
      <c r="AK13" s="2"/>
      <c r="AL13" s="2"/>
      <c r="AN13" s="2"/>
      <c r="AO13" s="2"/>
      <c r="AP13" s="2"/>
      <c r="AQ13" s="2"/>
      <c r="AR13" s="2"/>
      <c r="AS13" s="2"/>
    </row>
    <row r="14" spans="1:47" ht="16.5" thickBot="1" x14ac:dyDescent="0.3">
      <c r="A14" s="7"/>
      <c r="B14" s="12"/>
      <c r="C14" s="12"/>
      <c r="D14" s="63" t="s">
        <v>1001</v>
      </c>
      <c r="E14" s="64"/>
      <c r="F14" s="64"/>
      <c r="G14" s="64"/>
      <c r="H14" s="64"/>
      <c r="J14" s="63" t="s">
        <v>1002</v>
      </c>
      <c r="K14" s="63"/>
      <c r="L14" s="63"/>
      <c r="M14" s="63"/>
      <c r="N14" s="63"/>
      <c r="P14" s="63" t="s">
        <v>1003</v>
      </c>
      <c r="Q14" s="63"/>
      <c r="R14" s="63"/>
      <c r="S14" s="64"/>
      <c r="T14" s="64"/>
      <c r="V14" s="63" t="s">
        <v>1004</v>
      </c>
      <c r="W14" s="63"/>
      <c r="X14" s="63"/>
      <c r="Y14" s="64"/>
      <c r="Z14" s="64"/>
      <c r="AB14" s="63" t="s">
        <v>963</v>
      </c>
      <c r="AC14" s="63"/>
      <c r="AD14" s="63"/>
      <c r="AE14" s="64"/>
      <c r="AF14" s="64"/>
      <c r="AH14" s="63" t="s">
        <v>962</v>
      </c>
      <c r="AI14" s="63"/>
      <c r="AJ14" s="63"/>
      <c r="AK14" s="64"/>
      <c r="AL14" s="64"/>
      <c r="AN14" s="63" t="s">
        <v>1005</v>
      </c>
      <c r="AO14" s="63"/>
      <c r="AP14" s="63"/>
      <c r="AQ14" s="64"/>
      <c r="AR14" s="64"/>
      <c r="AS14" s="6"/>
    </row>
    <row r="15" spans="1:47" ht="13.5" thickBot="1" x14ac:dyDescent="0.25">
      <c r="A15" s="33" t="s">
        <v>974</v>
      </c>
      <c r="B15" s="33" t="s">
        <v>980</v>
      </c>
      <c r="C15" s="34"/>
      <c r="D15" s="14" t="s">
        <v>964</v>
      </c>
      <c r="E15" s="4" t="s">
        <v>965</v>
      </c>
      <c r="F15" s="5" t="s">
        <v>968</v>
      </c>
      <c r="G15" s="9" t="s">
        <v>966</v>
      </c>
      <c r="H15" s="8" t="s">
        <v>967</v>
      </c>
      <c r="J15" s="14" t="s">
        <v>964</v>
      </c>
      <c r="K15" s="4" t="s">
        <v>965</v>
      </c>
      <c r="L15" s="5" t="s">
        <v>968</v>
      </c>
      <c r="M15" s="9" t="s">
        <v>966</v>
      </c>
      <c r="N15" s="8" t="s">
        <v>967</v>
      </c>
      <c r="P15" s="14" t="s">
        <v>964</v>
      </c>
      <c r="Q15" s="4" t="s">
        <v>965</v>
      </c>
      <c r="R15" s="5" t="s">
        <v>968</v>
      </c>
      <c r="S15" s="9" t="s">
        <v>966</v>
      </c>
      <c r="T15" s="8" t="s">
        <v>967</v>
      </c>
      <c r="V15" s="14" t="s">
        <v>964</v>
      </c>
      <c r="W15" s="4" t="s">
        <v>965</v>
      </c>
      <c r="X15" s="5" t="s">
        <v>968</v>
      </c>
      <c r="Y15" s="9" t="s">
        <v>966</v>
      </c>
      <c r="Z15" s="8" t="s">
        <v>967</v>
      </c>
      <c r="AB15" s="14" t="s">
        <v>964</v>
      </c>
      <c r="AC15" s="4" t="s">
        <v>965</v>
      </c>
      <c r="AD15" s="5" t="s">
        <v>968</v>
      </c>
      <c r="AE15" s="9" t="s">
        <v>966</v>
      </c>
      <c r="AF15" s="8" t="s">
        <v>967</v>
      </c>
      <c r="AH15" s="14" t="s">
        <v>964</v>
      </c>
      <c r="AI15" s="4" t="s">
        <v>965</v>
      </c>
      <c r="AJ15" s="5" t="s">
        <v>968</v>
      </c>
      <c r="AK15" s="9" t="s">
        <v>966</v>
      </c>
      <c r="AL15" s="8" t="s">
        <v>967</v>
      </c>
      <c r="AN15" s="14" t="s">
        <v>964</v>
      </c>
      <c r="AO15" s="4" t="s">
        <v>965</v>
      </c>
      <c r="AP15" s="5" t="s">
        <v>968</v>
      </c>
      <c r="AQ15" s="9" t="s">
        <v>966</v>
      </c>
      <c r="AR15" s="8" t="s">
        <v>967</v>
      </c>
      <c r="AS15" s="36"/>
      <c r="AT15" s="25" t="s">
        <v>974</v>
      </c>
      <c r="AU15" s="25" t="s">
        <v>980</v>
      </c>
    </row>
    <row r="16" spans="1:47" x14ac:dyDescent="0.2">
      <c r="A16" t="s">
        <v>1011</v>
      </c>
      <c r="B16" t="s">
        <v>970</v>
      </c>
      <c r="C16" s="2"/>
      <c r="D16">
        <v>-2.2749999999999999</v>
      </c>
      <c r="E16">
        <v>1350</v>
      </c>
      <c r="F16">
        <v>0</v>
      </c>
      <c r="G16">
        <v>32051</v>
      </c>
      <c r="H16">
        <v>-270</v>
      </c>
      <c r="J16">
        <v>-0.27500000000000002</v>
      </c>
      <c r="K16">
        <v>0</v>
      </c>
      <c r="L16">
        <v>0</v>
      </c>
      <c r="M16">
        <v>25239</v>
      </c>
      <c r="N16">
        <v>0</v>
      </c>
      <c r="P16">
        <v>-0.91249999999999998</v>
      </c>
      <c r="Q16">
        <v>750</v>
      </c>
      <c r="R16">
        <v>480</v>
      </c>
      <c r="S16">
        <v>15058</v>
      </c>
      <c r="T16">
        <v>-360</v>
      </c>
      <c r="V16">
        <v>7.7499999999999999E-2</v>
      </c>
      <c r="W16">
        <v>1260</v>
      </c>
      <c r="X16">
        <v>780</v>
      </c>
      <c r="Y16">
        <v>9923</v>
      </c>
      <c r="Z16">
        <v>-480</v>
      </c>
      <c r="AB16">
        <v>-0.64</v>
      </c>
      <c r="AC16">
        <v>240</v>
      </c>
      <c r="AD16">
        <v>0</v>
      </c>
      <c r="AE16">
        <v>14192</v>
      </c>
      <c r="AF16">
        <v>180</v>
      </c>
      <c r="AH16">
        <v>-1.1074999999999999</v>
      </c>
      <c r="AI16">
        <v>180</v>
      </c>
      <c r="AJ16">
        <v>0</v>
      </c>
      <c r="AK16">
        <v>15040</v>
      </c>
      <c r="AL16">
        <v>0</v>
      </c>
      <c r="AN16">
        <v>0.05</v>
      </c>
      <c r="AO16">
        <v>180</v>
      </c>
      <c r="AP16">
        <v>180</v>
      </c>
      <c r="AQ16">
        <v>34186</v>
      </c>
      <c r="AR16">
        <v>180</v>
      </c>
      <c r="AS16" s="35"/>
      <c r="AT16" t="s">
        <v>1011</v>
      </c>
      <c r="AU16" t="s">
        <v>970</v>
      </c>
    </row>
    <row r="17" spans="1:47" x14ac:dyDescent="0.2">
      <c r="A17" t="s">
        <v>1012</v>
      </c>
      <c r="B17" t="s">
        <v>970</v>
      </c>
      <c r="C17" s="2"/>
      <c r="D17">
        <v>-1.9850000000000001</v>
      </c>
      <c r="E17">
        <v>1829</v>
      </c>
      <c r="F17">
        <v>0</v>
      </c>
      <c r="G17">
        <v>35825</v>
      </c>
      <c r="H17">
        <v>531</v>
      </c>
      <c r="J17">
        <v>-0.3</v>
      </c>
      <c r="K17">
        <v>0</v>
      </c>
      <c r="L17">
        <v>0</v>
      </c>
      <c r="M17">
        <v>26594</v>
      </c>
      <c r="N17">
        <v>0</v>
      </c>
      <c r="P17">
        <v>-0.71750000000000003</v>
      </c>
      <c r="Q17">
        <v>1271</v>
      </c>
      <c r="R17">
        <v>806</v>
      </c>
      <c r="S17">
        <v>19426</v>
      </c>
      <c r="T17">
        <v>124</v>
      </c>
      <c r="V17">
        <v>9.7500000000000003E-2</v>
      </c>
      <c r="W17">
        <v>811</v>
      </c>
      <c r="X17">
        <v>594</v>
      </c>
      <c r="Y17">
        <v>10092</v>
      </c>
      <c r="Z17">
        <v>36</v>
      </c>
      <c r="AB17">
        <v>-0.33500000000000002</v>
      </c>
      <c r="AC17">
        <v>403</v>
      </c>
      <c r="AD17">
        <v>93</v>
      </c>
      <c r="AE17">
        <v>14954</v>
      </c>
      <c r="AF17">
        <v>217</v>
      </c>
      <c r="AH17">
        <v>-1.0449999999999999</v>
      </c>
      <c r="AI17">
        <v>403</v>
      </c>
      <c r="AJ17">
        <v>0</v>
      </c>
      <c r="AK17">
        <v>17973</v>
      </c>
      <c r="AL17">
        <v>129</v>
      </c>
      <c r="AN17">
        <v>6.5000000000000002E-2</v>
      </c>
      <c r="AO17">
        <v>403</v>
      </c>
      <c r="AP17">
        <v>310</v>
      </c>
      <c r="AQ17">
        <v>32591</v>
      </c>
      <c r="AR17">
        <v>-217</v>
      </c>
      <c r="AT17" t="s">
        <v>1012</v>
      </c>
      <c r="AU17" t="s">
        <v>970</v>
      </c>
    </row>
    <row r="18" spans="1:47" x14ac:dyDescent="0.2">
      <c r="A18" t="s">
        <v>1013</v>
      </c>
      <c r="B18" t="s">
        <v>970</v>
      </c>
      <c r="C18" s="2"/>
      <c r="D18">
        <v>-1.895</v>
      </c>
      <c r="E18">
        <v>1798</v>
      </c>
      <c r="F18">
        <v>31</v>
      </c>
      <c r="G18">
        <v>35526</v>
      </c>
      <c r="H18">
        <v>709</v>
      </c>
      <c r="J18">
        <v>-0.3125</v>
      </c>
      <c r="K18">
        <v>0</v>
      </c>
      <c r="L18">
        <v>0</v>
      </c>
      <c r="M18">
        <v>26757</v>
      </c>
      <c r="N18">
        <v>0</v>
      </c>
      <c r="P18">
        <v>-0.64</v>
      </c>
      <c r="Q18">
        <v>837</v>
      </c>
      <c r="R18">
        <v>806</v>
      </c>
      <c r="S18">
        <v>19345</v>
      </c>
      <c r="T18">
        <v>-155</v>
      </c>
      <c r="V18">
        <v>0.1125</v>
      </c>
      <c r="W18">
        <v>718</v>
      </c>
      <c r="X18">
        <v>594</v>
      </c>
      <c r="Y18">
        <v>13750</v>
      </c>
      <c r="Z18">
        <v>5</v>
      </c>
      <c r="AB18">
        <v>-0.155</v>
      </c>
      <c r="AC18">
        <v>341</v>
      </c>
      <c r="AD18">
        <v>93</v>
      </c>
      <c r="AE18">
        <v>11267</v>
      </c>
      <c r="AF18">
        <v>-228</v>
      </c>
      <c r="AH18">
        <v>-1.0325</v>
      </c>
      <c r="AI18">
        <v>1705</v>
      </c>
      <c r="AJ18">
        <v>186</v>
      </c>
      <c r="AK18">
        <v>18100</v>
      </c>
      <c r="AL18">
        <v>877</v>
      </c>
      <c r="AN18">
        <v>6.5000000000000002E-2</v>
      </c>
      <c r="AO18">
        <v>1333</v>
      </c>
      <c r="AP18">
        <v>310</v>
      </c>
      <c r="AQ18">
        <v>33966</v>
      </c>
      <c r="AR18">
        <v>465</v>
      </c>
      <c r="AT18" t="s">
        <v>1013</v>
      </c>
      <c r="AU18" t="s">
        <v>970</v>
      </c>
    </row>
    <row r="19" spans="1:47" x14ac:dyDescent="0.2">
      <c r="A19" t="s">
        <v>1014</v>
      </c>
      <c r="B19" t="s">
        <v>970</v>
      </c>
      <c r="C19" s="2"/>
      <c r="D19">
        <v>-1.8474999999999999</v>
      </c>
      <c r="E19">
        <v>1530</v>
      </c>
      <c r="F19">
        <v>0</v>
      </c>
      <c r="G19">
        <v>34029</v>
      </c>
      <c r="H19">
        <v>120</v>
      </c>
      <c r="J19">
        <v>-0.36749999999999999</v>
      </c>
      <c r="K19">
        <v>0</v>
      </c>
      <c r="L19">
        <v>0</v>
      </c>
      <c r="M19">
        <v>24286</v>
      </c>
      <c r="N19">
        <v>0</v>
      </c>
      <c r="P19">
        <v>-0.70250000000000001</v>
      </c>
      <c r="Q19">
        <v>960</v>
      </c>
      <c r="R19">
        <v>780</v>
      </c>
      <c r="S19">
        <v>18342</v>
      </c>
      <c r="T19">
        <v>60</v>
      </c>
      <c r="V19">
        <v>8.2500000000000004E-2</v>
      </c>
      <c r="W19">
        <v>640</v>
      </c>
      <c r="X19">
        <v>580</v>
      </c>
      <c r="Y19">
        <v>8632</v>
      </c>
      <c r="Z19">
        <v>520</v>
      </c>
      <c r="AB19">
        <v>-0.28749999999999998</v>
      </c>
      <c r="AC19">
        <v>240</v>
      </c>
      <c r="AD19">
        <v>90</v>
      </c>
      <c r="AE19">
        <v>12379</v>
      </c>
      <c r="AF19">
        <v>60</v>
      </c>
      <c r="AH19">
        <v>-1.1725000000000001</v>
      </c>
      <c r="AI19">
        <v>720</v>
      </c>
      <c r="AJ19">
        <v>0</v>
      </c>
      <c r="AK19">
        <v>17850</v>
      </c>
      <c r="AL19">
        <v>120</v>
      </c>
      <c r="AN19">
        <v>5.7500000000000002E-2</v>
      </c>
      <c r="AO19">
        <v>180</v>
      </c>
      <c r="AP19">
        <v>180</v>
      </c>
      <c r="AQ19">
        <v>28777</v>
      </c>
      <c r="AR19">
        <v>180</v>
      </c>
      <c r="AT19" t="s">
        <v>1014</v>
      </c>
      <c r="AU19" t="s">
        <v>970</v>
      </c>
    </row>
    <row r="20" spans="1:47" x14ac:dyDescent="0.2">
      <c r="A20" t="s">
        <v>1015</v>
      </c>
      <c r="B20" t="s">
        <v>970</v>
      </c>
      <c r="C20" s="2"/>
      <c r="D20">
        <v>-1.71</v>
      </c>
      <c r="E20">
        <v>1457</v>
      </c>
      <c r="F20">
        <v>0</v>
      </c>
      <c r="G20">
        <v>35291</v>
      </c>
      <c r="H20">
        <v>713</v>
      </c>
      <c r="J20">
        <v>-0.3775</v>
      </c>
      <c r="K20">
        <v>0</v>
      </c>
      <c r="L20">
        <v>0</v>
      </c>
      <c r="M20">
        <v>24449</v>
      </c>
      <c r="N20">
        <v>0</v>
      </c>
      <c r="P20">
        <v>-0.80500000000000005</v>
      </c>
      <c r="Q20">
        <v>434</v>
      </c>
      <c r="R20">
        <v>434</v>
      </c>
      <c r="S20">
        <v>20868</v>
      </c>
      <c r="T20">
        <v>-217</v>
      </c>
      <c r="V20">
        <v>3.2500000000000001E-2</v>
      </c>
      <c r="W20">
        <v>310</v>
      </c>
      <c r="X20">
        <v>310</v>
      </c>
      <c r="Y20">
        <v>6662</v>
      </c>
      <c r="Z20">
        <v>217</v>
      </c>
      <c r="AB20">
        <v>-0.57250000000000001</v>
      </c>
      <c r="AC20">
        <v>62</v>
      </c>
      <c r="AD20">
        <v>62</v>
      </c>
      <c r="AE20">
        <v>12354</v>
      </c>
      <c r="AF20">
        <v>-6</v>
      </c>
      <c r="AH20">
        <v>-1.2725</v>
      </c>
      <c r="AI20">
        <v>1395</v>
      </c>
      <c r="AJ20">
        <v>372</v>
      </c>
      <c r="AK20">
        <v>20115</v>
      </c>
      <c r="AL20">
        <v>213</v>
      </c>
      <c r="AN20">
        <v>0.04</v>
      </c>
      <c r="AO20">
        <v>1302</v>
      </c>
      <c r="AP20">
        <v>186</v>
      </c>
      <c r="AQ20">
        <v>31866</v>
      </c>
      <c r="AR20">
        <v>899</v>
      </c>
      <c r="AT20" t="s">
        <v>1015</v>
      </c>
      <c r="AU20" t="s">
        <v>970</v>
      </c>
    </row>
    <row r="21" spans="1:47" x14ac:dyDescent="0.2">
      <c r="A21" t="s">
        <v>1016</v>
      </c>
      <c r="B21" t="s">
        <v>970</v>
      </c>
      <c r="C21" s="2"/>
      <c r="D21">
        <v>-1.4550000000000001</v>
      </c>
      <c r="E21">
        <v>810</v>
      </c>
      <c r="F21">
        <v>570</v>
      </c>
      <c r="G21">
        <v>28764</v>
      </c>
      <c r="H21">
        <v>240</v>
      </c>
      <c r="J21">
        <v>-0.32</v>
      </c>
      <c r="K21">
        <v>240</v>
      </c>
      <c r="L21">
        <v>240</v>
      </c>
      <c r="M21">
        <v>16596</v>
      </c>
      <c r="N21">
        <v>-180</v>
      </c>
      <c r="P21">
        <v>-0.71499999999999997</v>
      </c>
      <c r="Q21">
        <v>360</v>
      </c>
      <c r="R21">
        <v>90</v>
      </c>
      <c r="S21">
        <v>10372</v>
      </c>
      <c r="T21">
        <v>180</v>
      </c>
      <c r="V21">
        <v>5.0000000000000001E-3</v>
      </c>
      <c r="W21">
        <v>0</v>
      </c>
      <c r="X21">
        <v>0</v>
      </c>
      <c r="Y21">
        <v>5991</v>
      </c>
      <c r="Z21">
        <v>0</v>
      </c>
      <c r="AB21">
        <v>-0.505</v>
      </c>
      <c r="AC21">
        <v>510</v>
      </c>
      <c r="AD21">
        <v>90</v>
      </c>
      <c r="AE21">
        <v>8551</v>
      </c>
      <c r="AF21">
        <v>-30</v>
      </c>
      <c r="AH21">
        <v>-1.24</v>
      </c>
      <c r="AI21">
        <v>240</v>
      </c>
      <c r="AJ21">
        <v>180</v>
      </c>
      <c r="AK21">
        <v>12762</v>
      </c>
      <c r="AL21">
        <v>0</v>
      </c>
      <c r="AN21">
        <v>1.7500000000000002E-2</v>
      </c>
      <c r="AO21">
        <v>120</v>
      </c>
      <c r="AP21">
        <v>60</v>
      </c>
      <c r="AQ21">
        <v>19589</v>
      </c>
      <c r="AR21">
        <v>120</v>
      </c>
      <c r="AT21" t="s">
        <v>1016</v>
      </c>
      <c r="AU21" t="s">
        <v>970</v>
      </c>
    </row>
    <row r="22" spans="1:47" x14ac:dyDescent="0.2">
      <c r="A22" t="s">
        <v>1017</v>
      </c>
      <c r="B22" t="s">
        <v>970</v>
      </c>
      <c r="C22" s="2"/>
      <c r="D22">
        <v>-1.4025000000000001</v>
      </c>
      <c r="E22">
        <v>837</v>
      </c>
      <c r="F22">
        <v>403</v>
      </c>
      <c r="G22">
        <v>26456</v>
      </c>
      <c r="H22">
        <v>403</v>
      </c>
      <c r="J22">
        <v>-0.1275</v>
      </c>
      <c r="K22">
        <v>248</v>
      </c>
      <c r="L22">
        <v>248</v>
      </c>
      <c r="M22">
        <v>17024</v>
      </c>
      <c r="N22">
        <v>-186</v>
      </c>
      <c r="P22">
        <v>-0.46</v>
      </c>
      <c r="Q22">
        <v>372</v>
      </c>
      <c r="R22">
        <v>93</v>
      </c>
      <c r="S22">
        <v>9912</v>
      </c>
      <c r="T22">
        <v>186</v>
      </c>
      <c r="V22">
        <v>-0.03</v>
      </c>
      <c r="W22">
        <v>0</v>
      </c>
      <c r="X22">
        <v>0</v>
      </c>
      <c r="Y22">
        <v>4776</v>
      </c>
      <c r="Z22">
        <v>0</v>
      </c>
      <c r="AB22">
        <v>0.31</v>
      </c>
      <c r="AC22">
        <v>93</v>
      </c>
      <c r="AD22">
        <v>93</v>
      </c>
      <c r="AE22">
        <v>10440</v>
      </c>
      <c r="AF22">
        <v>31</v>
      </c>
      <c r="AH22">
        <v>-1.0649999999999999</v>
      </c>
      <c r="AI22">
        <v>217</v>
      </c>
      <c r="AJ22">
        <v>124</v>
      </c>
      <c r="AK22">
        <v>11425</v>
      </c>
      <c r="AL22">
        <v>-93</v>
      </c>
      <c r="AN22">
        <v>-6.5000000000000002E-2</v>
      </c>
      <c r="AO22">
        <v>62</v>
      </c>
      <c r="AP22">
        <v>62</v>
      </c>
      <c r="AQ22">
        <v>21433</v>
      </c>
      <c r="AR22">
        <v>62</v>
      </c>
      <c r="AT22" t="s">
        <v>1017</v>
      </c>
      <c r="AU22" t="s">
        <v>970</v>
      </c>
    </row>
    <row r="23" spans="1:47" x14ac:dyDescent="0.2">
      <c r="A23" t="s">
        <v>1006</v>
      </c>
      <c r="B23" t="s">
        <v>971</v>
      </c>
      <c r="C23" s="2"/>
      <c r="D23">
        <v>-1.4225000000000001</v>
      </c>
      <c r="E23">
        <v>496</v>
      </c>
      <c r="F23">
        <v>403</v>
      </c>
      <c r="G23">
        <v>25858</v>
      </c>
      <c r="H23">
        <v>354</v>
      </c>
      <c r="J23">
        <v>-3.5000000000000003E-2</v>
      </c>
      <c r="K23">
        <v>248</v>
      </c>
      <c r="L23">
        <v>248</v>
      </c>
      <c r="M23">
        <v>17126</v>
      </c>
      <c r="N23">
        <v>-186</v>
      </c>
      <c r="P23">
        <v>-0.44750000000000001</v>
      </c>
      <c r="Q23">
        <v>434</v>
      </c>
      <c r="R23">
        <v>155</v>
      </c>
      <c r="S23">
        <v>9878</v>
      </c>
      <c r="T23">
        <v>155</v>
      </c>
      <c r="V23">
        <v>-7.2499999999999995E-2</v>
      </c>
      <c r="W23">
        <v>0</v>
      </c>
      <c r="X23">
        <v>0</v>
      </c>
      <c r="Y23">
        <v>4862</v>
      </c>
      <c r="Z23">
        <v>0</v>
      </c>
      <c r="AB23">
        <v>0.06</v>
      </c>
      <c r="AC23">
        <v>434</v>
      </c>
      <c r="AD23">
        <v>62</v>
      </c>
      <c r="AE23">
        <v>9637</v>
      </c>
      <c r="AF23">
        <v>-217</v>
      </c>
      <c r="AH23">
        <v>-1.07</v>
      </c>
      <c r="AI23">
        <v>434</v>
      </c>
      <c r="AJ23">
        <v>310</v>
      </c>
      <c r="AK23">
        <v>12830</v>
      </c>
      <c r="AL23">
        <v>-186</v>
      </c>
      <c r="AN23">
        <v>-0.09</v>
      </c>
      <c r="AO23">
        <v>31</v>
      </c>
      <c r="AP23">
        <v>0</v>
      </c>
      <c r="AQ23">
        <v>19608</v>
      </c>
      <c r="AR23">
        <v>31</v>
      </c>
      <c r="AT23" t="s">
        <v>1006</v>
      </c>
      <c r="AU23" t="s">
        <v>971</v>
      </c>
    </row>
    <row r="24" spans="1:47" x14ac:dyDescent="0.2">
      <c r="A24" t="s">
        <v>1007</v>
      </c>
      <c r="B24" t="s">
        <v>971</v>
      </c>
      <c r="C24" s="2"/>
      <c r="D24">
        <v>-1.405</v>
      </c>
      <c r="E24">
        <v>644</v>
      </c>
      <c r="F24">
        <v>364</v>
      </c>
      <c r="G24">
        <v>21052</v>
      </c>
      <c r="H24">
        <v>0</v>
      </c>
      <c r="J24">
        <v>-2.5000000000000001E-2</v>
      </c>
      <c r="K24">
        <v>224</v>
      </c>
      <c r="L24">
        <v>224</v>
      </c>
      <c r="M24">
        <v>14768</v>
      </c>
      <c r="N24">
        <v>-168</v>
      </c>
      <c r="P24">
        <v>-0.53500000000000003</v>
      </c>
      <c r="Q24">
        <v>392</v>
      </c>
      <c r="R24">
        <v>140</v>
      </c>
      <c r="S24">
        <v>8787</v>
      </c>
      <c r="T24">
        <v>103</v>
      </c>
      <c r="V24">
        <v>-7.4999999999999997E-2</v>
      </c>
      <c r="W24">
        <v>0</v>
      </c>
      <c r="X24">
        <v>0</v>
      </c>
      <c r="Y24">
        <v>3061</v>
      </c>
      <c r="Z24">
        <v>0</v>
      </c>
      <c r="AB24">
        <v>-0.10249999999999999</v>
      </c>
      <c r="AC24">
        <v>364</v>
      </c>
      <c r="AD24">
        <v>56</v>
      </c>
      <c r="AE24">
        <v>8188</v>
      </c>
      <c r="AF24">
        <v>-168</v>
      </c>
      <c r="AH24">
        <v>-1.2175</v>
      </c>
      <c r="AI24">
        <v>168</v>
      </c>
      <c r="AJ24">
        <v>112</v>
      </c>
      <c r="AK24">
        <v>10954</v>
      </c>
      <c r="AL24">
        <v>-84</v>
      </c>
      <c r="AN24">
        <v>-8.7499999999999994E-2</v>
      </c>
      <c r="AO24">
        <v>0</v>
      </c>
      <c r="AP24">
        <v>0</v>
      </c>
      <c r="AQ24">
        <v>16724</v>
      </c>
      <c r="AR24">
        <v>0</v>
      </c>
      <c r="AT24" t="s">
        <v>1007</v>
      </c>
      <c r="AU24" t="s">
        <v>971</v>
      </c>
    </row>
    <row r="25" spans="1:47" x14ac:dyDescent="0.2">
      <c r="A25" t="s">
        <v>1008</v>
      </c>
      <c r="B25" t="s">
        <v>971</v>
      </c>
      <c r="C25" s="2"/>
      <c r="D25">
        <v>-1.4750000000000001</v>
      </c>
      <c r="E25">
        <v>620</v>
      </c>
      <c r="F25">
        <v>403</v>
      </c>
      <c r="G25">
        <v>24354</v>
      </c>
      <c r="H25">
        <v>75</v>
      </c>
      <c r="J25">
        <v>-0.20749999999999999</v>
      </c>
      <c r="K25">
        <v>248</v>
      </c>
      <c r="L25">
        <v>248</v>
      </c>
      <c r="M25">
        <v>15617</v>
      </c>
      <c r="N25">
        <v>-186</v>
      </c>
      <c r="P25">
        <v>-0.80500000000000005</v>
      </c>
      <c r="Q25">
        <v>744</v>
      </c>
      <c r="R25">
        <v>217</v>
      </c>
      <c r="S25">
        <v>9637</v>
      </c>
      <c r="T25">
        <v>279</v>
      </c>
      <c r="V25">
        <v>-4.2500000000000003E-2</v>
      </c>
      <c r="W25">
        <v>0</v>
      </c>
      <c r="X25">
        <v>0</v>
      </c>
      <c r="Y25">
        <v>3965</v>
      </c>
      <c r="Z25">
        <v>0</v>
      </c>
      <c r="AB25">
        <v>-0.64</v>
      </c>
      <c r="AC25">
        <v>713</v>
      </c>
      <c r="AD25">
        <v>124</v>
      </c>
      <c r="AE25">
        <v>9736</v>
      </c>
      <c r="AF25">
        <v>-248</v>
      </c>
      <c r="AH25">
        <v>-1.45</v>
      </c>
      <c r="AI25">
        <v>186</v>
      </c>
      <c r="AJ25">
        <v>124</v>
      </c>
      <c r="AK25">
        <v>11822</v>
      </c>
      <c r="AL25">
        <v>-124</v>
      </c>
      <c r="AN25">
        <v>-6.7500000000000004E-2</v>
      </c>
      <c r="AO25">
        <v>0</v>
      </c>
      <c r="AP25">
        <v>0</v>
      </c>
      <c r="AQ25">
        <v>17120</v>
      </c>
      <c r="AR25">
        <v>0</v>
      </c>
      <c r="AT25" t="s">
        <v>1008</v>
      </c>
      <c r="AU25" t="s">
        <v>971</v>
      </c>
    </row>
    <row r="26" spans="1:47" x14ac:dyDescent="0.2">
      <c r="A26" t="s">
        <v>1009</v>
      </c>
      <c r="B26" t="s">
        <v>971</v>
      </c>
      <c r="C26" s="2"/>
      <c r="D26">
        <v>-1.595</v>
      </c>
      <c r="E26">
        <v>180</v>
      </c>
      <c r="F26">
        <v>150</v>
      </c>
      <c r="G26">
        <v>15398</v>
      </c>
      <c r="H26">
        <v>-30</v>
      </c>
      <c r="J26">
        <v>-0.27500000000000002</v>
      </c>
      <c r="K26">
        <v>120</v>
      </c>
      <c r="L26">
        <v>120</v>
      </c>
      <c r="M26">
        <v>13403</v>
      </c>
      <c r="N26">
        <v>0</v>
      </c>
      <c r="P26">
        <v>-0.91500000000000004</v>
      </c>
      <c r="Q26">
        <v>390</v>
      </c>
      <c r="R26">
        <v>240</v>
      </c>
      <c r="S26">
        <v>7710</v>
      </c>
      <c r="T26">
        <v>150</v>
      </c>
      <c r="V26">
        <v>-1.4999999999999999E-2</v>
      </c>
      <c r="W26">
        <v>0</v>
      </c>
      <c r="X26">
        <v>0</v>
      </c>
      <c r="Y26">
        <v>3191</v>
      </c>
      <c r="Z26">
        <v>0</v>
      </c>
      <c r="AB26">
        <v>-0.78249999999999997</v>
      </c>
      <c r="AC26">
        <v>450</v>
      </c>
      <c r="AD26">
        <v>60</v>
      </c>
      <c r="AE26">
        <v>6418</v>
      </c>
      <c r="AF26">
        <v>-300</v>
      </c>
      <c r="AH26">
        <v>-1.47</v>
      </c>
      <c r="AI26">
        <v>150</v>
      </c>
      <c r="AJ26">
        <v>0</v>
      </c>
      <c r="AK26">
        <v>10332</v>
      </c>
      <c r="AL26">
        <v>-30</v>
      </c>
      <c r="AN26">
        <v>5.2499999999999998E-2</v>
      </c>
      <c r="AO26">
        <v>0</v>
      </c>
      <c r="AP26">
        <v>0</v>
      </c>
      <c r="AQ26">
        <v>15767</v>
      </c>
      <c r="AR26">
        <v>0</v>
      </c>
      <c r="AT26" t="s">
        <v>1009</v>
      </c>
      <c r="AU26" t="s">
        <v>971</v>
      </c>
    </row>
    <row r="27" spans="1:47" x14ac:dyDescent="0.2">
      <c r="A27" t="s">
        <v>1010</v>
      </c>
      <c r="B27" t="s">
        <v>971</v>
      </c>
      <c r="C27" s="2"/>
      <c r="D27">
        <v>-1.59</v>
      </c>
      <c r="E27">
        <v>248</v>
      </c>
      <c r="F27">
        <v>155</v>
      </c>
      <c r="G27">
        <v>15407</v>
      </c>
      <c r="H27">
        <v>-93</v>
      </c>
      <c r="J27">
        <v>-0.41249999999999998</v>
      </c>
      <c r="K27">
        <v>124</v>
      </c>
      <c r="L27">
        <v>124</v>
      </c>
      <c r="M27">
        <v>11907</v>
      </c>
      <c r="N27">
        <v>0</v>
      </c>
      <c r="P27">
        <v>-0.90500000000000003</v>
      </c>
      <c r="Q27">
        <v>403</v>
      </c>
      <c r="R27">
        <v>248</v>
      </c>
      <c r="S27">
        <v>7960</v>
      </c>
      <c r="T27">
        <v>155</v>
      </c>
      <c r="V27">
        <v>-0.01</v>
      </c>
      <c r="W27">
        <v>0</v>
      </c>
      <c r="X27">
        <v>0</v>
      </c>
      <c r="Y27">
        <v>3297</v>
      </c>
      <c r="Z27">
        <v>0</v>
      </c>
      <c r="AB27">
        <v>-0.77500000000000002</v>
      </c>
      <c r="AC27">
        <v>465</v>
      </c>
      <c r="AD27">
        <v>62</v>
      </c>
      <c r="AE27">
        <v>6598</v>
      </c>
      <c r="AF27">
        <v>-310</v>
      </c>
      <c r="AH27">
        <v>-1.4450000000000001</v>
      </c>
      <c r="AI27">
        <v>155</v>
      </c>
      <c r="AJ27">
        <v>0</v>
      </c>
      <c r="AK27">
        <v>10603</v>
      </c>
      <c r="AL27">
        <v>-31</v>
      </c>
      <c r="AN27">
        <v>6.5000000000000002E-2</v>
      </c>
      <c r="AO27">
        <v>0</v>
      </c>
      <c r="AP27">
        <v>0</v>
      </c>
      <c r="AQ27">
        <v>16292</v>
      </c>
      <c r="AR27">
        <v>0</v>
      </c>
      <c r="AT27" t="s">
        <v>1010</v>
      </c>
      <c r="AU27" t="s">
        <v>971</v>
      </c>
    </row>
    <row r="28" spans="1:47" x14ac:dyDescent="0.2">
      <c r="A28" t="s">
        <v>1011</v>
      </c>
      <c r="B28" t="s">
        <v>971</v>
      </c>
      <c r="C28" s="2"/>
      <c r="D28">
        <v>-1.6025</v>
      </c>
      <c r="E28">
        <v>180</v>
      </c>
      <c r="F28">
        <v>150</v>
      </c>
      <c r="G28">
        <v>15128</v>
      </c>
      <c r="H28">
        <v>-30</v>
      </c>
      <c r="J28">
        <v>-0.44750000000000001</v>
      </c>
      <c r="K28">
        <v>120</v>
      </c>
      <c r="L28">
        <v>120</v>
      </c>
      <c r="M28">
        <v>11231</v>
      </c>
      <c r="N28">
        <v>0</v>
      </c>
      <c r="P28">
        <v>-0.90249999999999997</v>
      </c>
      <c r="Q28">
        <v>360</v>
      </c>
      <c r="R28">
        <v>240</v>
      </c>
      <c r="S28">
        <v>7737</v>
      </c>
      <c r="T28">
        <v>180</v>
      </c>
      <c r="V28">
        <v>-3.2500000000000001E-2</v>
      </c>
      <c r="W28">
        <v>0</v>
      </c>
      <c r="X28">
        <v>0</v>
      </c>
      <c r="Y28">
        <v>3191</v>
      </c>
      <c r="Z28">
        <v>0</v>
      </c>
      <c r="AB28">
        <v>-0.77</v>
      </c>
      <c r="AC28">
        <v>450</v>
      </c>
      <c r="AD28">
        <v>60</v>
      </c>
      <c r="AE28">
        <v>6388</v>
      </c>
      <c r="AF28">
        <v>-300</v>
      </c>
      <c r="AH28">
        <v>-1.415</v>
      </c>
      <c r="AI28">
        <v>150</v>
      </c>
      <c r="AJ28">
        <v>0</v>
      </c>
      <c r="AK28">
        <v>10272</v>
      </c>
      <c r="AL28">
        <v>-30</v>
      </c>
      <c r="AN28">
        <v>6.5000000000000002E-2</v>
      </c>
      <c r="AO28">
        <v>0</v>
      </c>
      <c r="AP28">
        <v>0</v>
      </c>
      <c r="AQ28">
        <v>15767</v>
      </c>
      <c r="AR28">
        <v>0</v>
      </c>
      <c r="AT28" t="s">
        <v>1011</v>
      </c>
      <c r="AU28" t="s">
        <v>971</v>
      </c>
    </row>
    <row r="29" spans="1:47" x14ac:dyDescent="0.2">
      <c r="A29" t="s">
        <v>1012</v>
      </c>
      <c r="B29" t="s">
        <v>971</v>
      </c>
      <c r="C29" s="2"/>
      <c r="D29">
        <v>-1.61</v>
      </c>
      <c r="E29">
        <v>155</v>
      </c>
      <c r="F29">
        <v>155</v>
      </c>
      <c r="G29">
        <v>15345</v>
      </c>
      <c r="H29">
        <v>0</v>
      </c>
      <c r="J29">
        <v>-0.43</v>
      </c>
      <c r="K29">
        <v>124</v>
      </c>
      <c r="L29">
        <v>124</v>
      </c>
      <c r="M29">
        <v>12032</v>
      </c>
      <c r="N29">
        <v>62</v>
      </c>
      <c r="P29">
        <v>-0.78749999999999998</v>
      </c>
      <c r="Q29">
        <v>310</v>
      </c>
      <c r="R29">
        <v>186</v>
      </c>
      <c r="S29">
        <v>7634</v>
      </c>
      <c r="T29">
        <v>93</v>
      </c>
      <c r="V29">
        <v>5.5E-2</v>
      </c>
      <c r="W29">
        <v>0</v>
      </c>
      <c r="X29">
        <v>0</v>
      </c>
      <c r="Y29">
        <v>3512</v>
      </c>
      <c r="Z29">
        <v>0</v>
      </c>
      <c r="AB29">
        <v>-0.36749999999999999</v>
      </c>
      <c r="AC29">
        <v>465</v>
      </c>
      <c r="AD29">
        <v>62</v>
      </c>
      <c r="AE29">
        <v>6337</v>
      </c>
      <c r="AF29">
        <v>-310</v>
      </c>
      <c r="AH29">
        <v>-1.3374999999999999</v>
      </c>
      <c r="AI29">
        <v>155</v>
      </c>
      <c r="AJ29">
        <v>0</v>
      </c>
      <c r="AK29">
        <v>10530</v>
      </c>
      <c r="AL29">
        <v>0</v>
      </c>
      <c r="AN29">
        <v>4.4999999999999998E-2</v>
      </c>
      <c r="AO29">
        <v>0</v>
      </c>
      <c r="AP29">
        <v>0</v>
      </c>
      <c r="AQ29">
        <v>16106</v>
      </c>
      <c r="AR29">
        <v>0</v>
      </c>
      <c r="AT29" t="s">
        <v>1012</v>
      </c>
      <c r="AU29" t="s">
        <v>971</v>
      </c>
    </row>
    <row r="30" spans="1:47" x14ac:dyDescent="0.2">
      <c r="A30" t="s">
        <v>1013</v>
      </c>
      <c r="B30" t="s">
        <v>971</v>
      </c>
      <c r="C30" s="2"/>
      <c r="D30">
        <v>-1.62</v>
      </c>
      <c r="E30">
        <v>155</v>
      </c>
      <c r="F30">
        <v>155</v>
      </c>
      <c r="G30">
        <v>15345</v>
      </c>
      <c r="H30">
        <v>0</v>
      </c>
      <c r="J30">
        <v>-0.43</v>
      </c>
      <c r="K30">
        <v>124</v>
      </c>
      <c r="L30">
        <v>124</v>
      </c>
      <c r="M30">
        <v>12032</v>
      </c>
      <c r="N30">
        <v>62</v>
      </c>
      <c r="P30">
        <v>-0.78500000000000003</v>
      </c>
      <c r="Q30">
        <v>310</v>
      </c>
      <c r="R30">
        <v>186</v>
      </c>
      <c r="S30">
        <v>7638</v>
      </c>
      <c r="T30">
        <v>93</v>
      </c>
      <c r="V30">
        <v>7.7499999999999999E-2</v>
      </c>
      <c r="W30">
        <v>0</v>
      </c>
      <c r="X30">
        <v>0</v>
      </c>
      <c r="Y30">
        <v>3512</v>
      </c>
      <c r="Z30">
        <v>0</v>
      </c>
      <c r="AB30">
        <v>-0.34499999999999997</v>
      </c>
      <c r="AC30">
        <v>465</v>
      </c>
      <c r="AD30">
        <v>62</v>
      </c>
      <c r="AE30">
        <v>6337</v>
      </c>
      <c r="AF30">
        <v>-310</v>
      </c>
      <c r="AH30">
        <v>-1.3049999999999999</v>
      </c>
      <c r="AI30">
        <v>155</v>
      </c>
      <c r="AJ30">
        <v>0</v>
      </c>
      <c r="AK30">
        <v>10479</v>
      </c>
      <c r="AL30">
        <v>0</v>
      </c>
      <c r="AN30">
        <v>4.4999999999999998E-2</v>
      </c>
      <c r="AO30">
        <v>0</v>
      </c>
      <c r="AP30">
        <v>0</v>
      </c>
      <c r="AQ30">
        <v>16106</v>
      </c>
      <c r="AR30">
        <v>0</v>
      </c>
      <c r="AT30" t="s">
        <v>1013</v>
      </c>
      <c r="AU30" t="s">
        <v>971</v>
      </c>
    </row>
    <row r="31" spans="1:47" x14ac:dyDescent="0.2">
      <c r="A31" t="s">
        <v>1014</v>
      </c>
      <c r="B31" t="s">
        <v>971</v>
      </c>
      <c r="C31" s="2"/>
      <c r="D31">
        <v>-1.6074999999999999</v>
      </c>
      <c r="E31">
        <v>150</v>
      </c>
      <c r="F31">
        <v>150</v>
      </c>
      <c r="G31">
        <v>14858</v>
      </c>
      <c r="H31">
        <v>0</v>
      </c>
      <c r="J31">
        <v>-0.4325</v>
      </c>
      <c r="K31">
        <v>120</v>
      </c>
      <c r="L31">
        <v>120</v>
      </c>
      <c r="M31">
        <v>11087</v>
      </c>
      <c r="N31">
        <v>0</v>
      </c>
      <c r="P31">
        <v>-0.79749999999999999</v>
      </c>
      <c r="Q31">
        <v>300</v>
      </c>
      <c r="R31">
        <v>180</v>
      </c>
      <c r="S31">
        <v>7435</v>
      </c>
      <c r="T31">
        <v>90</v>
      </c>
      <c r="V31">
        <v>6.25E-2</v>
      </c>
      <c r="W31">
        <v>0</v>
      </c>
      <c r="X31">
        <v>0</v>
      </c>
      <c r="Y31">
        <v>3399</v>
      </c>
      <c r="Z31">
        <v>0</v>
      </c>
      <c r="AB31">
        <v>-0.50749999999999995</v>
      </c>
      <c r="AC31">
        <v>450</v>
      </c>
      <c r="AD31">
        <v>60</v>
      </c>
      <c r="AE31">
        <v>6124</v>
      </c>
      <c r="AF31">
        <v>-300</v>
      </c>
      <c r="AH31">
        <v>-1.1599999999999999</v>
      </c>
      <c r="AI31">
        <v>150</v>
      </c>
      <c r="AJ31">
        <v>0</v>
      </c>
      <c r="AK31">
        <v>10172</v>
      </c>
      <c r="AL31">
        <v>0</v>
      </c>
      <c r="AN31">
        <v>1.7500000000000002E-2</v>
      </c>
      <c r="AO31">
        <v>0</v>
      </c>
      <c r="AP31">
        <v>0</v>
      </c>
      <c r="AQ31">
        <v>14184</v>
      </c>
      <c r="AR31">
        <v>0</v>
      </c>
      <c r="AT31" t="s">
        <v>1014</v>
      </c>
      <c r="AU31" t="s">
        <v>971</v>
      </c>
    </row>
    <row r="32" spans="1:47" x14ac:dyDescent="0.2">
      <c r="A32" t="s">
        <v>1015</v>
      </c>
      <c r="B32" t="s">
        <v>971</v>
      </c>
      <c r="C32" s="2"/>
      <c r="D32">
        <v>-1.58</v>
      </c>
      <c r="E32">
        <v>155</v>
      </c>
      <c r="F32">
        <v>155</v>
      </c>
      <c r="G32">
        <v>15500</v>
      </c>
      <c r="H32">
        <v>0</v>
      </c>
      <c r="J32">
        <v>-0.41249999999999998</v>
      </c>
      <c r="K32">
        <v>124</v>
      </c>
      <c r="L32">
        <v>124</v>
      </c>
      <c r="M32">
        <v>11821</v>
      </c>
      <c r="N32">
        <v>62</v>
      </c>
      <c r="P32">
        <v>-0.79249999999999998</v>
      </c>
      <c r="Q32">
        <v>310</v>
      </c>
      <c r="R32">
        <v>186</v>
      </c>
      <c r="S32">
        <v>7833</v>
      </c>
      <c r="T32">
        <v>124</v>
      </c>
      <c r="V32">
        <v>0</v>
      </c>
      <c r="W32">
        <v>0</v>
      </c>
      <c r="X32">
        <v>0</v>
      </c>
      <c r="Y32">
        <v>3109</v>
      </c>
      <c r="Z32">
        <v>0</v>
      </c>
      <c r="AB32">
        <v>-0.66</v>
      </c>
      <c r="AC32">
        <v>465</v>
      </c>
      <c r="AD32">
        <v>62</v>
      </c>
      <c r="AE32">
        <v>6503</v>
      </c>
      <c r="AF32">
        <v>-310</v>
      </c>
      <c r="AH32">
        <v>-0.90500000000000003</v>
      </c>
      <c r="AI32">
        <v>155</v>
      </c>
      <c r="AJ32">
        <v>0</v>
      </c>
      <c r="AK32">
        <v>11280</v>
      </c>
      <c r="AL32">
        <v>-31</v>
      </c>
      <c r="AN32">
        <v>-2.5000000000000001E-3</v>
      </c>
      <c r="AO32">
        <v>0</v>
      </c>
      <c r="AP32">
        <v>0</v>
      </c>
      <c r="AQ32">
        <v>14588</v>
      </c>
      <c r="AR32">
        <v>0</v>
      </c>
      <c r="AT32" t="s">
        <v>1015</v>
      </c>
      <c r="AU32" t="s">
        <v>971</v>
      </c>
    </row>
    <row r="33" spans="1:47" x14ac:dyDescent="0.2">
      <c r="A33" t="s">
        <v>1016</v>
      </c>
      <c r="B33" t="s">
        <v>971</v>
      </c>
      <c r="C33" s="2"/>
      <c r="D33">
        <v>-1.2775000000000001</v>
      </c>
      <c r="E33">
        <v>202</v>
      </c>
      <c r="F33">
        <v>112</v>
      </c>
      <c r="G33">
        <v>13244</v>
      </c>
      <c r="H33">
        <v>60</v>
      </c>
      <c r="J33">
        <v>-0.23749999999999999</v>
      </c>
      <c r="K33">
        <v>0</v>
      </c>
      <c r="L33">
        <v>0</v>
      </c>
      <c r="M33">
        <v>7695</v>
      </c>
      <c r="N33">
        <v>0</v>
      </c>
      <c r="P33">
        <v>-0.6925</v>
      </c>
      <c r="Q33">
        <v>0</v>
      </c>
      <c r="R33">
        <v>0</v>
      </c>
      <c r="S33">
        <v>5058</v>
      </c>
      <c r="T33">
        <v>0</v>
      </c>
      <c r="V33">
        <v>3.7499999999999999E-2</v>
      </c>
      <c r="W33">
        <v>0</v>
      </c>
      <c r="X33">
        <v>0</v>
      </c>
      <c r="Y33">
        <v>1329</v>
      </c>
      <c r="Z33">
        <v>0</v>
      </c>
      <c r="AB33">
        <v>-0.41</v>
      </c>
      <c r="AC33">
        <v>450</v>
      </c>
      <c r="AD33">
        <v>120</v>
      </c>
      <c r="AE33">
        <v>5102</v>
      </c>
      <c r="AF33">
        <v>0</v>
      </c>
      <c r="AH33">
        <v>-0.99</v>
      </c>
      <c r="AI33">
        <v>0</v>
      </c>
      <c r="AJ33">
        <v>0</v>
      </c>
      <c r="AK33">
        <v>6224</v>
      </c>
      <c r="AL33">
        <v>0</v>
      </c>
      <c r="AN33">
        <v>-6.5000000000000002E-2</v>
      </c>
      <c r="AO33">
        <v>90</v>
      </c>
      <c r="AP33">
        <v>60</v>
      </c>
      <c r="AQ33">
        <v>9915</v>
      </c>
      <c r="AR33">
        <v>90</v>
      </c>
      <c r="AT33" t="s">
        <v>1016</v>
      </c>
      <c r="AU33" t="s">
        <v>971</v>
      </c>
    </row>
    <row r="34" spans="1:47" x14ac:dyDescent="0.2">
      <c r="A34" t="s">
        <v>1017</v>
      </c>
      <c r="B34" t="s">
        <v>971</v>
      </c>
      <c r="C34" s="2"/>
      <c r="D34">
        <v>-1.2875000000000001</v>
      </c>
      <c r="E34">
        <v>208</v>
      </c>
      <c r="F34">
        <v>115</v>
      </c>
      <c r="G34">
        <v>13633</v>
      </c>
      <c r="H34">
        <v>62</v>
      </c>
      <c r="J34">
        <v>-7.4999999999999997E-2</v>
      </c>
      <c r="K34">
        <v>0</v>
      </c>
      <c r="L34">
        <v>0</v>
      </c>
      <c r="M34">
        <v>8189</v>
      </c>
      <c r="N34">
        <v>0</v>
      </c>
      <c r="P34">
        <v>-0.6</v>
      </c>
      <c r="Q34">
        <v>0</v>
      </c>
      <c r="R34">
        <v>0</v>
      </c>
      <c r="S34">
        <v>5225</v>
      </c>
      <c r="T34">
        <v>0</v>
      </c>
      <c r="V34">
        <v>1.7500000000000002E-2</v>
      </c>
      <c r="W34">
        <v>0</v>
      </c>
      <c r="X34">
        <v>0</v>
      </c>
      <c r="Y34">
        <v>1373</v>
      </c>
      <c r="Z34">
        <v>0</v>
      </c>
      <c r="AB34">
        <v>-0.16</v>
      </c>
      <c r="AC34">
        <v>465</v>
      </c>
      <c r="AD34">
        <v>124</v>
      </c>
      <c r="AE34">
        <v>5270</v>
      </c>
      <c r="AF34">
        <v>0</v>
      </c>
      <c r="AH34">
        <v>-0.89749999999999996</v>
      </c>
      <c r="AI34">
        <v>0</v>
      </c>
      <c r="AJ34">
        <v>0</v>
      </c>
      <c r="AK34">
        <v>6398</v>
      </c>
      <c r="AL34">
        <v>0</v>
      </c>
      <c r="AN34">
        <v>-7.4999999999999997E-2</v>
      </c>
      <c r="AO34">
        <v>93</v>
      </c>
      <c r="AP34">
        <v>62</v>
      </c>
      <c r="AQ34">
        <v>10242</v>
      </c>
      <c r="AR34">
        <v>93</v>
      </c>
      <c r="AT34" t="s">
        <v>1017</v>
      </c>
      <c r="AU34" t="s">
        <v>971</v>
      </c>
    </row>
    <row r="35" spans="1:47" x14ac:dyDescent="0.2">
      <c r="A35" t="s">
        <v>1006</v>
      </c>
      <c r="B35" t="s">
        <v>1018</v>
      </c>
      <c r="C35" s="2"/>
      <c r="D35">
        <v>-1.3525</v>
      </c>
      <c r="E35">
        <v>239</v>
      </c>
      <c r="F35">
        <v>146</v>
      </c>
      <c r="G35">
        <v>16074</v>
      </c>
      <c r="H35">
        <v>93</v>
      </c>
      <c r="J35">
        <v>-2.5000000000000001E-2</v>
      </c>
      <c r="K35">
        <v>0</v>
      </c>
      <c r="L35">
        <v>0</v>
      </c>
      <c r="M35">
        <v>6703</v>
      </c>
      <c r="N35">
        <v>0</v>
      </c>
      <c r="P35">
        <v>-0.67749999999999999</v>
      </c>
      <c r="Q35">
        <v>0</v>
      </c>
      <c r="R35">
        <v>0</v>
      </c>
      <c r="S35">
        <v>3967</v>
      </c>
      <c r="T35">
        <v>0</v>
      </c>
      <c r="V35">
        <v>-0.03</v>
      </c>
      <c r="W35">
        <v>0</v>
      </c>
      <c r="X35">
        <v>0</v>
      </c>
      <c r="Y35">
        <v>923</v>
      </c>
      <c r="Z35">
        <v>0</v>
      </c>
      <c r="AB35">
        <v>-0.28000000000000003</v>
      </c>
      <c r="AC35">
        <v>0</v>
      </c>
      <c r="AD35">
        <v>0</v>
      </c>
      <c r="AE35">
        <v>3555</v>
      </c>
      <c r="AF35">
        <v>0</v>
      </c>
      <c r="AH35">
        <v>-0.91</v>
      </c>
      <c r="AI35">
        <v>0</v>
      </c>
      <c r="AJ35">
        <v>0</v>
      </c>
      <c r="AK35">
        <v>5115</v>
      </c>
      <c r="AL35">
        <v>0</v>
      </c>
      <c r="AN35">
        <v>-8.5000000000000006E-2</v>
      </c>
      <c r="AO35">
        <v>93</v>
      </c>
      <c r="AP35">
        <v>62</v>
      </c>
      <c r="AQ35">
        <v>5674</v>
      </c>
      <c r="AR35">
        <v>0</v>
      </c>
      <c r="AT35" t="s">
        <v>1006</v>
      </c>
      <c r="AU35" t="s">
        <v>1018</v>
      </c>
    </row>
    <row r="36" spans="1:47" x14ac:dyDescent="0.2">
      <c r="A36" t="s">
        <v>1007</v>
      </c>
      <c r="B36" t="s">
        <v>1018</v>
      </c>
      <c r="C36" s="2"/>
      <c r="D36">
        <v>-1.34</v>
      </c>
      <c r="E36">
        <v>225</v>
      </c>
      <c r="F36">
        <v>138</v>
      </c>
      <c r="G36">
        <v>15070</v>
      </c>
      <c r="H36">
        <v>87</v>
      </c>
      <c r="J36">
        <v>-0.02</v>
      </c>
      <c r="K36">
        <v>0</v>
      </c>
      <c r="L36">
        <v>0</v>
      </c>
      <c r="M36">
        <v>6281</v>
      </c>
      <c r="N36">
        <v>0</v>
      </c>
      <c r="P36">
        <v>-0.6825</v>
      </c>
      <c r="Q36">
        <v>0</v>
      </c>
      <c r="R36">
        <v>0</v>
      </c>
      <c r="S36">
        <v>3697</v>
      </c>
      <c r="T36">
        <v>0</v>
      </c>
      <c r="V36">
        <v>-4.2500000000000003E-2</v>
      </c>
      <c r="W36">
        <v>0</v>
      </c>
      <c r="X36">
        <v>0</v>
      </c>
      <c r="Y36">
        <v>865</v>
      </c>
      <c r="Z36">
        <v>0</v>
      </c>
      <c r="AB36">
        <v>-0.31</v>
      </c>
      <c r="AC36">
        <v>0</v>
      </c>
      <c r="AD36">
        <v>0</v>
      </c>
      <c r="AE36">
        <v>3331</v>
      </c>
      <c r="AF36">
        <v>0</v>
      </c>
      <c r="AH36">
        <v>-0.88249999999999995</v>
      </c>
      <c r="AI36">
        <v>0</v>
      </c>
      <c r="AJ36">
        <v>0</v>
      </c>
      <c r="AK36">
        <v>4582</v>
      </c>
      <c r="AL36">
        <v>0</v>
      </c>
      <c r="AN36">
        <v>-9.2499999999999999E-2</v>
      </c>
      <c r="AO36">
        <v>87</v>
      </c>
      <c r="AP36">
        <v>58</v>
      </c>
      <c r="AQ36">
        <v>5307</v>
      </c>
      <c r="AR36">
        <v>0</v>
      </c>
      <c r="AT36" t="s">
        <v>1007</v>
      </c>
      <c r="AU36" t="s">
        <v>1018</v>
      </c>
    </row>
    <row r="37" spans="1:47" x14ac:dyDescent="0.2">
      <c r="A37" t="s">
        <v>1008</v>
      </c>
      <c r="B37" t="s">
        <v>1018</v>
      </c>
      <c r="C37" s="2"/>
      <c r="D37">
        <v>-1.3149999999999999</v>
      </c>
      <c r="E37">
        <v>239</v>
      </c>
      <c r="F37">
        <v>146</v>
      </c>
      <c r="G37">
        <v>16074</v>
      </c>
      <c r="H37">
        <v>93</v>
      </c>
      <c r="J37">
        <v>-0.155</v>
      </c>
      <c r="K37">
        <v>0</v>
      </c>
      <c r="L37">
        <v>0</v>
      </c>
      <c r="M37">
        <v>6889</v>
      </c>
      <c r="N37">
        <v>0</v>
      </c>
      <c r="P37">
        <v>-0.72250000000000003</v>
      </c>
      <c r="Q37">
        <v>0</v>
      </c>
      <c r="R37">
        <v>0</v>
      </c>
      <c r="S37">
        <v>3944</v>
      </c>
      <c r="T37">
        <v>0</v>
      </c>
      <c r="V37">
        <v>-7.4999999999999997E-3</v>
      </c>
      <c r="W37">
        <v>0</v>
      </c>
      <c r="X37">
        <v>0</v>
      </c>
      <c r="Y37">
        <v>923</v>
      </c>
      <c r="Z37">
        <v>0</v>
      </c>
      <c r="AB37">
        <v>-0.41749999999999998</v>
      </c>
      <c r="AC37">
        <v>0</v>
      </c>
      <c r="AD37">
        <v>0</v>
      </c>
      <c r="AE37">
        <v>3555</v>
      </c>
      <c r="AF37">
        <v>0</v>
      </c>
      <c r="AH37">
        <v>-0.94750000000000001</v>
      </c>
      <c r="AI37">
        <v>0</v>
      </c>
      <c r="AJ37">
        <v>0</v>
      </c>
      <c r="AK37">
        <v>4898</v>
      </c>
      <c r="AL37">
        <v>0</v>
      </c>
      <c r="AN37">
        <v>-0.08</v>
      </c>
      <c r="AO37">
        <v>93</v>
      </c>
      <c r="AP37">
        <v>62</v>
      </c>
      <c r="AQ37">
        <v>5069</v>
      </c>
      <c r="AR37">
        <v>93</v>
      </c>
      <c r="AT37" t="s">
        <v>1008</v>
      </c>
      <c r="AU37" t="s">
        <v>1018</v>
      </c>
    </row>
    <row r="38" spans="1:47" x14ac:dyDescent="0.2">
      <c r="A38" t="s">
        <v>1009</v>
      </c>
      <c r="B38" t="s">
        <v>1018</v>
      </c>
      <c r="C38" s="2"/>
      <c r="D38">
        <v>-1.5275000000000001</v>
      </c>
      <c r="E38">
        <v>52</v>
      </c>
      <c r="F38">
        <v>52</v>
      </c>
      <c r="G38">
        <v>13983</v>
      </c>
      <c r="H38">
        <v>30</v>
      </c>
      <c r="J38">
        <v>-0.215</v>
      </c>
      <c r="K38">
        <v>120</v>
      </c>
      <c r="L38">
        <v>0</v>
      </c>
      <c r="M38">
        <v>5132</v>
      </c>
      <c r="N38">
        <v>-90</v>
      </c>
      <c r="P38">
        <v>-0.875</v>
      </c>
      <c r="Q38">
        <v>0</v>
      </c>
      <c r="R38">
        <v>0</v>
      </c>
      <c r="S38">
        <v>4129</v>
      </c>
      <c r="T38">
        <v>0</v>
      </c>
      <c r="V38">
        <v>0.14749999999999999</v>
      </c>
      <c r="W38">
        <v>0</v>
      </c>
      <c r="X38">
        <v>0</v>
      </c>
      <c r="Y38">
        <v>914</v>
      </c>
      <c r="Z38">
        <v>0</v>
      </c>
      <c r="AB38">
        <v>-0.64249999999999996</v>
      </c>
      <c r="AC38">
        <v>0</v>
      </c>
      <c r="AD38">
        <v>0</v>
      </c>
      <c r="AE38">
        <v>3632</v>
      </c>
      <c r="AF38">
        <v>0</v>
      </c>
      <c r="AH38">
        <v>-0.97499999999999998</v>
      </c>
      <c r="AI38">
        <v>0</v>
      </c>
      <c r="AJ38">
        <v>0</v>
      </c>
      <c r="AK38">
        <v>2520</v>
      </c>
      <c r="AL38">
        <v>0</v>
      </c>
      <c r="AN38">
        <v>-7.7499999999999999E-2</v>
      </c>
      <c r="AO38">
        <v>0</v>
      </c>
      <c r="AP38">
        <v>0</v>
      </c>
      <c r="AQ38">
        <v>4989</v>
      </c>
      <c r="AR38">
        <v>0</v>
      </c>
      <c r="AT38" t="s">
        <v>1009</v>
      </c>
      <c r="AU38" t="s">
        <v>1018</v>
      </c>
    </row>
    <row r="39" spans="1:47" x14ac:dyDescent="0.2">
      <c r="A39" t="s">
        <v>1010</v>
      </c>
      <c r="B39" t="s">
        <v>1018</v>
      </c>
      <c r="C39" s="2"/>
      <c r="D39">
        <v>-1.5449999999999999</v>
      </c>
      <c r="E39">
        <v>53</v>
      </c>
      <c r="F39">
        <v>53</v>
      </c>
      <c r="G39">
        <v>14442</v>
      </c>
      <c r="H39">
        <v>31</v>
      </c>
      <c r="J39">
        <v>-0.37</v>
      </c>
      <c r="K39">
        <v>124</v>
      </c>
      <c r="L39">
        <v>0</v>
      </c>
      <c r="M39">
        <v>5264</v>
      </c>
      <c r="N39">
        <v>-93</v>
      </c>
      <c r="P39">
        <v>-0.87749999999999995</v>
      </c>
      <c r="Q39">
        <v>0</v>
      </c>
      <c r="R39">
        <v>0</v>
      </c>
      <c r="S39">
        <v>4260</v>
      </c>
      <c r="T39">
        <v>0</v>
      </c>
      <c r="V39">
        <v>0.15</v>
      </c>
      <c r="W39">
        <v>0</v>
      </c>
      <c r="X39">
        <v>0</v>
      </c>
      <c r="Y39">
        <v>944</v>
      </c>
      <c r="Z39">
        <v>0</v>
      </c>
      <c r="AB39">
        <v>-0.63249999999999995</v>
      </c>
      <c r="AC39">
        <v>0</v>
      </c>
      <c r="AD39">
        <v>0</v>
      </c>
      <c r="AE39">
        <v>3752</v>
      </c>
      <c r="AF39">
        <v>0</v>
      </c>
      <c r="AH39">
        <v>-0.97499999999999998</v>
      </c>
      <c r="AI39">
        <v>0</v>
      </c>
      <c r="AJ39">
        <v>0</v>
      </c>
      <c r="AK39">
        <v>2604</v>
      </c>
      <c r="AL39">
        <v>0</v>
      </c>
      <c r="AN39">
        <v>-9.5000000000000001E-2</v>
      </c>
      <c r="AO39">
        <v>0</v>
      </c>
      <c r="AP39">
        <v>0</v>
      </c>
      <c r="AQ39">
        <v>5156</v>
      </c>
      <c r="AR39">
        <v>0</v>
      </c>
      <c r="AT39" t="s">
        <v>1010</v>
      </c>
      <c r="AU39" t="s">
        <v>1018</v>
      </c>
    </row>
    <row r="40" spans="1:47" x14ac:dyDescent="0.2">
      <c r="A40" t="s">
        <v>1011</v>
      </c>
      <c r="B40" t="s">
        <v>1018</v>
      </c>
      <c r="C40" s="2"/>
      <c r="D40">
        <v>-1.5475000000000001</v>
      </c>
      <c r="E40">
        <v>52</v>
      </c>
      <c r="F40">
        <v>52</v>
      </c>
      <c r="G40">
        <v>13983</v>
      </c>
      <c r="H40">
        <v>30</v>
      </c>
      <c r="J40">
        <v>-0.4425</v>
      </c>
      <c r="K40">
        <v>120</v>
      </c>
      <c r="L40">
        <v>0</v>
      </c>
      <c r="M40">
        <v>5248</v>
      </c>
      <c r="N40">
        <v>-90</v>
      </c>
      <c r="P40">
        <v>-0.87749999999999995</v>
      </c>
      <c r="Q40">
        <v>0</v>
      </c>
      <c r="R40">
        <v>0</v>
      </c>
      <c r="S40">
        <v>4129</v>
      </c>
      <c r="T40">
        <v>0</v>
      </c>
      <c r="V40">
        <v>0.13</v>
      </c>
      <c r="W40">
        <v>0</v>
      </c>
      <c r="X40">
        <v>0</v>
      </c>
      <c r="Y40">
        <v>914</v>
      </c>
      <c r="Z40">
        <v>0</v>
      </c>
      <c r="AB40">
        <v>-0.62250000000000005</v>
      </c>
      <c r="AC40">
        <v>0</v>
      </c>
      <c r="AD40">
        <v>0</v>
      </c>
      <c r="AE40">
        <v>3632</v>
      </c>
      <c r="AF40">
        <v>0</v>
      </c>
      <c r="AH40">
        <v>-0.96250000000000002</v>
      </c>
      <c r="AI40">
        <v>0</v>
      </c>
      <c r="AJ40">
        <v>0</v>
      </c>
      <c r="AK40">
        <v>2520</v>
      </c>
      <c r="AL40">
        <v>0</v>
      </c>
      <c r="AN40">
        <v>-9.2499999999999999E-2</v>
      </c>
      <c r="AO40">
        <v>0</v>
      </c>
      <c r="AP40">
        <v>0</v>
      </c>
      <c r="AQ40">
        <v>4989</v>
      </c>
      <c r="AR40">
        <v>0</v>
      </c>
      <c r="AT40" t="s">
        <v>1011</v>
      </c>
      <c r="AU40" t="s">
        <v>1018</v>
      </c>
    </row>
    <row r="41" spans="1:47" x14ac:dyDescent="0.2">
      <c r="A41" t="s">
        <v>1012</v>
      </c>
      <c r="B41" t="s">
        <v>1018</v>
      </c>
      <c r="C41" s="2"/>
      <c r="D41">
        <v>-1.5674999999999999</v>
      </c>
      <c r="E41">
        <v>53</v>
      </c>
      <c r="F41">
        <v>53</v>
      </c>
      <c r="G41">
        <v>14442</v>
      </c>
      <c r="H41">
        <v>31</v>
      </c>
      <c r="J41">
        <v>-0.40749999999999997</v>
      </c>
      <c r="K41">
        <v>124</v>
      </c>
      <c r="L41">
        <v>0</v>
      </c>
      <c r="M41">
        <v>5295</v>
      </c>
      <c r="N41">
        <v>-93</v>
      </c>
      <c r="P41">
        <v>-0.77249999999999996</v>
      </c>
      <c r="Q41">
        <v>0</v>
      </c>
      <c r="R41">
        <v>0</v>
      </c>
      <c r="S41">
        <v>4207</v>
      </c>
      <c r="T41">
        <v>0</v>
      </c>
      <c r="V41">
        <v>0.20749999999999999</v>
      </c>
      <c r="W41">
        <v>0</v>
      </c>
      <c r="X41">
        <v>0</v>
      </c>
      <c r="Y41">
        <v>944</v>
      </c>
      <c r="Z41">
        <v>0</v>
      </c>
      <c r="AB41">
        <v>-0.35499999999999998</v>
      </c>
      <c r="AC41">
        <v>0</v>
      </c>
      <c r="AD41">
        <v>0</v>
      </c>
      <c r="AE41">
        <v>3700</v>
      </c>
      <c r="AF41">
        <v>0</v>
      </c>
      <c r="AH41">
        <v>-0.92249999999999999</v>
      </c>
      <c r="AI41">
        <v>0</v>
      </c>
      <c r="AJ41">
        <v>0</v>
      </c>
      <c r="AK41">
        <v>2821</v>
      </c>
      <c r="AL41">
        <v>0</v>
      </c>
      <c r="AN41">
        <v>-7.4999999999999997E-2</v>
      </c>
      <c r="AO41">
        <v>0</v>
      </c>
      <c r="AP41">
        <v>0</v>
      </c>
      <c r="AQ41">
        <v>5310</v>
      </c>
      <c r="AR41">
        <v>0</v>
      </c>
      <c r="AT41" t="s">
        <v>1012</v>
      </c>
      <c r="AU41" t="s">
        <v>1018</v>
      </c>
    </row>
    <row r="42" spans="1:47" x14ac:dyDescent="0.2">
      <c r="A42" t="s">
        <v>1013</v>
      </c>
      <c r="B42" t="s">
        <v>1018</v>
      </c>
      <c r="C42" s="2"/>
      <c r="D42">
        <v>-1.57</v>
      </c>
      <c r="E42">
        <v>53</v>
      </c>
      <c r="F42">
        <v>53</v>
      </c>
      <c r="G42">
        <v>14442</v>
      </c>
      <c r="H42">
        <v>31</v>
      </c>
      <c r="J42">
        <v>-0.40749999999999997</v>
      </c>
      <c r="K42">
        <v>124</v>
      </c>
      <c r="L42">
        <v>0</v>
      </c>
      <c r="M42">
        <v>5295</v>
      </c>
      <c r="N42">
        <v>-93</v>
      </c>
      <c r="P42">
        <v>-0.77</v>
      </c>
      <c r="Q42">
        <v>0</v>
      </c>
      <c r="R42">
        <v>0</v>
      </c>
      <c r="S42">
        <v>4207</v>
      </c>
      <c r="T42">
        <v>0</v>
      </c>
      <c r="V42">
        <v>0.23</v>
      </c>
      <c r="W42">
        <v>0</v>
      </c>
      <c r="X42">
        <v>0</v>
      </c>
      <c r="Y42">
        <v>944</v>
      </c>
      <c r="Z42">
        <v>0</v>
      </c>
      <c r="AB42">
        <v>-0.33750000000000002</v>
      </c>
      <c r="AC42">
        <v>0</v>
      </c>
      <c r="AD42">
        <v>0</v>
      </c>
      <c r="AE42">
        <v>3700</v>
      </c>
      <c r="AF42">
        <v>0</v>
      </c>
      <c r="AH42">
        <v>-0.88500000000000001</v>
      </c>
      <c r="AI42">
        <v>0</v>
      </c>
      <c r="AJ42">
        <v>0</v>
      </c>
      <c r="AK42">
        <v>2821</v>
      </c>
      <c r="AL42">
        <v>0</v>
      </c>
      <c r="AN42">
        <v>-7.2499999999999995E-2</v>
      </c>
      <c r="AO42">
        <v>0</v>
      </c>
      <c r="AP42">
        <v>0</v>
      </c>
      <c r="AQ42">
        <v>5310</v>
      </c>
      <c r="AR42">
        <v>0</v>
      </c>
      <c r="AT42" t="s">
        <v>1013</v>
      </c>
      <c r="AU42" t="s">
        <v>1018</v>
      </c>
    </row>
    <row r="43" spans="1:47" x14ac:dyDescent="0.2">
      <c r="A43" t="s">
        <v>1014</v>
      </c>
      <c r="B43" t="s">
        <v>1018</v>
      </c>
      <c r="C43" s="2"/>
      <c r="D43">
        <v>-1.5525</v>
      </c>
      <c r="E43">
        <v>52</v>
      </c>
      <c r="F43">
        <v>52</v>
      </c>
      <c r="G43">
        <v>13983</v>
      </c>
      <c r="H43">
        <v>30</v>
      </c>
      <c r="J43">
        <v>-0.40749999999999997</v>
      </c>
      <c r="K43">
        <v>120</v>
      </c>
      <c r="L43">
        <v>0</v>
      </c>
      <c r="M43">
        <v>5098</v>
      </c>
      <c r="N43">
        <v>-90</v>
      </c>
      <c r="P43">
        <v>-0.78249999999999997</v>
      </c>
      <c r="Q43">
        <v>0</v>
      </c>
      <c r="R43">
        <v>0</v>
      </c>
      <c r="S43">
        <v>4026</v>
      </c>
      <c r="T43">
        <v>0</v>
      </c>
      <c r="V43">
        <v>0.2175</v>
      </c>
      <c r="W43">
        <v>0</v>
      </c>
      <c r="X43">
        <v>0</v>
      </c>
      <c r="Y43">
        <v>914</v>
      </c>
      <c r="Z43">
        <v>0</v>
      </c>
      <c r="AB43">
        <v>-0.46250000000000002</v>
      </c>
      <c r="AC43">
        <v>0</v>
      </c>
      <c r="AD43">
        <v>0</v>
      </c>
      <c r="AE43">
        <v>3570</v>
      </c>
      <c r="AF43">
        <v>0</v>
      </c>
      <c r="AH43">
        <v>-0.90749999999999997</v>
      </c>
      <c r="AI43">
        <v>0</v>
      </c>
      <c r="AJ43">
        <v>0</v>
      </c>
      <c r="AK43">
        <v>2730</v>
      </c>
      <c r="AL43">
        <v>0</v>
      </c>
      <c r="AN43">
        <v>-6.5000000000000002E-2</v>
      </c>
      <c r="AO43">
        <v>0</v>
      </c>
      <c r="AP43">
        <v>0</v>
      </c>
      <c r="AQ43">
        <v>5138</v>
      </c>
      <c r="AR43">
        <v>0</v>
      </c>
      <c r="AT43" t="s">
        <v>1014</v>
      </c>
      <c r="AU43" t="s">
        <v>1018</v>
      </c>
    </row>
    <row r="44" spans="1:47" x14ac:dyDescent="0.2">
      <c r="A44" t="s">
        <v>1015</v>
      </c>
      <c r="B44" t="s">
        <v>1018</v>
      </c>
      <c r="C44" s="2"/>
      <c r="D44">
        <v>-1.5425</v>
      </c>
      <c r="E44">
        <v>53</v>
      </c>
      <c r="F44">
        <v>53</v>
      </c>
      <c r="G44">
        <v>14442</v>
      </c>
      <c r="H44">
        <v>31</v>
      </c>
      <c r="J44">
        <v>-0.41249999999999998</v>
      </c>
      <c r="K44">
        <v>124</v>
      </c>
      <c r="L44">
        <v>0</v>
      </c>
      <c r="M44">
        <v>5140</v>
      </c>
      <c r="N44">
        <v>-93</v>
      </c>
      <c r="P44">
        <v>-0.83499999999999996</v>
      </c>
      <c r="Q44">
        <v>0</v>
      </c>
      <c r="R44">
        <v>0</v>
      </c>
      <c r="S44">
        <v>4159</v>
      </c>
      <c r="T44">
        <v>0</v>
      </c>
      <c r="V44">
        <v>0.185</v>
      </c>
      <c r="W44">
        <v>0</v>
      </c>
      <c r="X44">
        <v>0</v>
      </c>
      <c r="Y44">
        <v>944</v>
      </c>
      <c r="Z44">
        <v>0</v>
      </c>
      <c r="AB44">
        <v>-0.63</v>
      </c>
      <c r="AC44">
        <v>0</v>
      </c>
      <c r="AD44">
        <v>0</v>
      </c>
      <c r="AE44">
        <v>3688</v>
      </c>
      <c r="AF44">
        <v>0</v>
      </c>
      <c r="AH44">
        <v>-0.92249999999999999</v>
      </c>
      <c r="AI44">
        <v>0</v>
      </c>
      <c r="AJ44">
        <v>0</v>
      </c>
      <c r="AK44">
        <v>2604</v>
      </c>
      <c r="AL44">
        <v>0</v>
      </c>
      <c r="AN44">
        <v>-5.2499999999999998E-2</v>
      </c>
      <c r="AO44">
        <v>0</v>
      </c>
      <c r="AP44">
        <v>0</v>
      </c>
      <c r="AQ44">
        <v>5186</v>
      </c>
      <c r="AR44">
        <v>0</v>
      </c>
      <c r="AT44" t="s">
        <v>1015</v>
      </c>
      <c r="AU44" t="s">
        <v>1018</v>
      </c>
    </row>
    <row r="45" spans="1:47" x14ac:dyDescent="0.2">
      <c r="A45" t="s">
        <v>1016</v>
      </c>
      <c r="B45" t="s">
        <v>1018</v>
      </c>
      <c r="C45" s="2"/>
      <c r="D45">
        <v>-1.2275</v>
      </c>
      <c r="E45">
        <v>60</v>
      </c>
      <c r="F45">
        <v>60</v>
      </c>
      <c r="G45">
        <v>11926</v>
      </c>
      <c r="H45">
        <v>30</v>
      </c>
      <c r="J45">
        <v>-0.20499999999999999</v>
      </c>
      <c r="K45">
        <v>30</v>
      </c>
      <c r="L45">
        <v>0</v>
      </c>
      <c r="M45">
        <v>4258</v>
      </c>
      <c r="N45">
        <v>0</v>
      </c>
      <c r="P45">
        <v>-0.59</v>
      </c>
      <c r="Q45">
        <v>0</v>
      </c>
      <c r="R45">
        <v>0</v>
      </c>
      <c r="S45">
        <v>3136</v>
      </c>
      <c r="T45">
        <v>0</v>
      </c>
      <c r="V45">
        <v>0.155</v>
      </c>
      <c r="W45">
        <v>0</v>
      </c>
      <c r="X45">
        <v>0</v>
      </c>
      <c r="Y45">
        <v>324</v>
      </c>
      <c r="Z45">
        <v>0</v>
      </c>
      <c r="AB45">
        <v>-0.33250000000000002</v>
      </c>
      <c r="AC45">
        <v>0</v>
      </c>
      <c r="AD45">
        <v>0</v>
      </c>
      <c r="AE45">
        <v>2781</v>
      </c>
      <c r="AF45">
        <v>0</v>
      </c>
      <c r="AH45">
        <v>-0.66249999999999998</v>
      </c>
      <c r="AI45">
        <v>0</v>
      </c>
      <c r="AJ45">
        <v>0</v>
      </c>
      <c r="AK45">
        <v>1290</v>
      </c>
      <c r="AL45">
        <v>0</v>
      </c>
      <c r="AN45">
        <v>-0.1125</v>
      </c>
      <c r="AO45">
        <v>0</v>
      </c>
      <c r="AP45">
        <v>0</v>
      </c>
      <c r="AQ45">
        <v>3675</v>
      </c>
      <c r="AR45">
        <v>0</v>
      </c>
      <c r="AT45" t="s">
        <v>1016</v>
      </c>
      <c r="AU45" t="s">
        <v>1018</v>
      </c>
    </row>
    <row r="46" spans="1:47" x14ac:dyDescent="0.2">
      <c r="A46" t="s">
        <v>1017</v>
      </c>
      <c r="B46" t="s">
        <v>1018</v>
      </c>
      <c r="C46" s="2"/>
      <c r="D46">
        <v>-1.21</v>
      </c>
      <c r="E46">
        <v>62</v>
      </c>
      <c r="F46">
        <v>62</v>
      </c>
      <c r="G46">
        <v>12310</v>
      </c>
      <c r="H46">
        <v>31</v>
      </c>
      <c r="J46">
        <v>-0.105</v>
      </c>
      <c r="K46">
        <v>31</v>
      </c>
      <c r="L46">
        <v>0</v>
      </c>
      <c r="M46">
        <v>4398</v>
      </c>
      <c r="N46">
        <v>0</v>
      </c>
      <c r="P46">
        <v>-0.51</v>
      </c>
      <c r="Q46">
        <v>0</v>
      </c>
      <c r="R46">
        <v>0</v>
      </c>
      <c r="S46">
        <v>3242</v>
      </c>
      <c r="T46">
        <v>0</v>
      </c>
      <c r="V46">
        <v>0.1525</v>
      </c>
      <c r="W46">
        <v>0</v>
      </c>
      <c r="X46">
        <v>0</v>
      </c>
      <c r="Y46">
        <v>334</v>
      </c>
      <c r="Z46">
        <v>0</v>
      </c>
      <c r="AB46">
        <v>-0.14749999999999999</v>
      </c>
      <c r="AC46">
        <v>0</v>
      </c>
      <c r="AD46">
        <v>0</v>
      </c>
      <c r="AE46">
        <v>2869</v>
      </c>
      <c r="AF46">
        <v>0</v>
      </c>
      <c r="AH46">
        <v>-0.59499999999999997</v>
      </c>
      <c r="AI46">
        <v>0</v>
      </c>
      <c r="AJ46">
        <v>0</v>
      </c>
      <c r="AK46">
        <v>1333</v>
      </c>
      <c r="AL46">
        <v>0</v>
      </c>
      <c r="AN46">
        <v>-0.115</v>
      </c>
      <c r="AO46">
        <v>0</v>
      </c>
      <c r="AP46">
        <v>0</v>
      </c>
      <c r="AQ46">
        <v>3798</v>
      </c>
      <c r="AR46">
        <v>0</v>
      </c>
      <c r="AT46" t="s">
        <v>1017</v>
      </c>
      <c r="AU46" t="s">
        <v>1018</v>
      </c>
    </row>
    <row r="47" spans="1:47" x14ac:dyDescent="0.2">
      <c r="A47" t="s">
        <v>1006</v>
      </c>
      <c r="B47" t="s">
        <v>1429</v>
      </c>
      <c r="C47" s="2"/>
      <c r="D47">
        <v>-1.165</v>
      </c>
      <c r="E47">
        <v>124</v>
      </c>
      <c r="F47">
        <v>124</v>
      </c>
      <c r="G47">
        <v>8281</v>
      </c>
      <c r="H47">
        <v>31</v>
      </c>
      <c r="J47">
        <v>-4.2500000000000003E-2</v>
      </c>
      <c r="K47">
        <v>93</v>
      </c>
      <c r="L47">
        <v>62</v>
      </c>
      <c r="M47">
        <v>4340</v>
      </c>
      <c r="N47">
        <v>62</v>
      </c>
      <c r="P47">
        <v>-0.53749999999999998</v>
      </c>
      <c r="Q47">
        <v>0</v>
      </c>
      <c r="R47">
        <v>0</v>
      </c>
      <c r="S47">
        <v>2635</v>
      </c>
      <c r="T47">
        <v>0</v>
      </c>
      <c r="V47">
        <v>0.13250000000000001</v>
      </c>
      <c r="W47">
        <v>0</v>
      </c>
      <c r="X47">
        <v>0</v>
      </c>
      <c r="Y47">
        <v>186</v>
      </c>
      <c r="Z47">
        <v>0</v>
      </c>
      <c r="AB47">
        <v>-0.22750000000000001</v>
      </c>
      <c r="AC47">
        <v>0</v>
      </c>
      <c r="AD47">
        <v>0</v>
      </c>
      <c r="AE47">
        <v>2244</v>
      </c>
      <c r="AF47">
        <v>0</v>
      </c>
      <c r="AH47">
        <v>-0.62749999999999995</v>
      </c>
      <c r="AI47">
        <v>124</v>
      </c>
      <c r="AJ47">
        <v>124</v>
      </c>
      <c r="AK47">
        <v>1054</v>
      </c>
      <c r="AL47">
        <v>124</v>
      </c>
      <c r="AN47">
        <v>-0.13500000000000001</v>
      </c>
      <c r="AO47">
        <v>0</v>
      </c>
      <c r="AP47">
        <v>0</v>
      </c>
      <c r="AQ47">
        <v>1476</v>
      </c>
      <c r="AR47">
        <v>0</v>
      </c>
      <c r="AT47" t="s">
        <v>1006</v>
      </c>
      <c r="AU47" t="s">
        <v>1429</v>
      </c>
    </row>
    <row r="48" spans="1:47" x14ac:dyDescent="0.2">
      <c r="A48" t="s">
        <v>1007</v>
      </c>
      <c r="B48" t="s">
        <v>1429</v>
      </c>
      <c r="C48" s="2"/>
      <c r="D48">
        <v>-1.1399999999999999</v>
      </c>
      <c r="E48">
        <v>112</v>
      </c>
      <c r="F48">
        <v>112</v>
      </c>
      <c r="G48">
        <v>7498</v>
      </c>
      <c r="H48">
        <v>28</v>
      </c>
      <c r="J48">
        <v>-0.04</v>
      </c>
      <c r="K48">
        <v>84</v>
      </c>
      <c r="L48">
        <v>56</v>
      </c>
      <c r="M48">
        <v>3926</v>
      </c>
      <c r="N48">
        <v>56</v>
      </c>
      <c r="P48">
        <v>-0.54500000000000004</v>
      </c>
      <c r="Q48">
        <v>0</v>
      </c>
      <c r="R48">
        <v>0</v>
      </c>
      <c r="S48">
        <v>2380</v>
      </c>
      <c r="T48">
        <v>0</v>
      </c>
      <c r="V48">
        <v>0.11</v>
      </c>
      <c r="W48">
        <v>0</v>
      </c>
      <c r="X48">
        <v>0</v>
      </c>
      <c r="Y48">
        <v>168</v>
      </c>
      <c r="Z48">
        <v>0</v>
      </c>
      <c r="AB48">
        <v>-0.255</v>
      </c>
      <c r="AC48">
        <v>0</v>
      </c>
      <c r="AD48">
        <v>0</v>
      </c>
      <c r="AE48">
        <v>2031</v>
      </c>
      <c r="AF48">
        <v>0</v>
      </c>
      <c r="AH48">
        <v>-0.63749999999999996</v>
      </c>
      <c r="AI48">
        <v>112</v>
      </c>
      <c r="AJ48">
        <v>112</v>
      </c>
      <c r="AK48">
        <v>952</v>
      </c>
      <c r="AL48">
        <v>112</v>
      </c>
      <c r="AN48">
        <v>-0.13750000000000001</v>
      </c>
      <c r="AO48">
        <v>0</v>
      </c>
      <c r="AP48">
        <v>0</v>
      </c>
      <c r="AQ48">
        <v>1333</v>
      </c>
      <c r="AR48">
        <v>0</v>
      </c>
      <c r="AT48" t="s">
        <v>1007</v>
      </c>
      <c r="AU48" t="s">
        <v>1429</v>
      </c>
    </row>
    <row r="49" spans="1:47" x14ac:dyDescent="0.2">
      <c r="A49" t="s">
        <v>1008</v>
      </c>
      <c r="B49" t="s">
        <v>1429</v>
      </c>
      <c r="C49" s="2"/>
      <c r="D49">
        <v>-1.1299999999999999</v>
      </c>
      <c r="E49">
        <v>124</v>
      </c>
      <c r="F49">
        <v>124</v>
      </c>
      <c r="G49">
        <v>8281</v>
      </c>
      <c r="H49">
        <v>31</v>
      </c>
      <c r="J49">
        <v>-0.15</v>
      </c>
      <c r="K49">
        <v>93</v>
      </c>
      <c r="L49">
        <v>62</v>
      </c>
      <c r="M49">
        <v>4340</v>
      </c>
      <c r="N49">
        <v>62</v>
      </c>
      <c r="P49">
        <v>-0.57750000000000001</v>
      </c>
      <c r="Q49">
        <v>0</v>
      </c>
      <c r="R49">
        <v>0</v>
      </c>
      <c r="S49">
        <v>2635</v>
      </c>
      <c r="T49">
        <v>0</v>
      </c>
      <c r="V49">
        <v>0.1525</v>
      </c>
      <c r="W49">
        <v>0</v>
      </c>
      <c r="X49">
        <v>0</v>
      </c>
      <c r="Y49">
        <v>186</v>
      </c>
      <c r="Z49">
        <v>0</v>
      </c>
      <c r="AB49">
        <v>-0.33750000000000002</v>
      </c>
      <c r="AC49">
        <v>0</v>
      </c>
      <c r="AD49">
        <v>0</v>
      </c>
      <c r="AE49">
        <v>2244</v>
      </c>
      <c r="AF49">
        <v>0</v>
      </c>
      <c r="AH49">
        <v>-0.67</v>
      </c>
      <c r="AI49">
        <v>124</v>
      </c>
      <c r="AJ49">
        <v>124</v>
      </c>
      <c r="AK49">
        <v>1054</v>
      </c>
      <c r="AL49">
        <v>124</v>
      </c>
      <c r="AN49">
        <v>-0.1275</v>
      </c>
      <c r="AO49">
        <v>0</v>
      </c>
      <c r="AP49">
        <v>0</v>
      </c>
      <c r="AQ49">
        <v>1476</v>
      </c>
      <c r="AR49">
        <v>0</v>
      </c>
      <c r="AT49" t="s">
        <v>1008</v>
      </c>
      <c r="AU49" t="s">
        <v>1429</v>
      </c>
    </row>
    <row r="50" spans="1:47" x14ac:dyDescent="0.2">
      <c r="A50" t="s">
        <v>1009</v>
      </c>
      <c r="B50" t="s">
        <v>1429</v>
      </c>
      <c r="C50" s="2"/>
      <c r="D50">
        <v>-1.25</v>
      </c>
      <c r="E50">
        <v>270</v>
      </c>
      <c r="F50">
        <v>90</v>
      </c>
      <c r="G50">
        <v>6706</v>
      </c>
      <c r="H50">
        <v>30</v>
      </c>
      <c r="J50">
        <v>-0.29749999999999999</v>
      </c>
      <c r="K50">
        <v>180</v>
      </c>
      <c r="L50">
        <v>60</v>
      </c>
      <c r="M50">
        <v>3896</v>
      </c>
      <c r="N50">
        <v>30</v>
      </c>
      <c r="P50">
        <v>-0.83250000000000002</v>
      </c>
      <c r="Q50">
        <v>0</v>
      </c>
      <c r="R50">
        <v>0</v>
      </c>
      <c r="S50">
        <v>3510</v>
      </c>
      <c r="T50">
        <v>0</v>
      </c>
      <c r="V50">
        <v>0.26</v>
      </c>
      <c r="W50">
        <v>0</v>
      </c>
      <c r="X50">
        <v>0</v>
      </c>
      <c r="Y50">
        <v>256</v>
      </c>
      <c r="Z50">
        <v>0</v>
      </c>
      <c r="AB50">
        <v>-0.54</v>
      </c>
      <c r="AC50">
        <v>0</v>
      </c>
      <c r="AD50">
        <v>0</v>
      </c>
      <c r="AE50">
        <v>3183</v>
      </c>
      <c r="AF50">
        <v>0</v>
      </c>
      <c r="AH50">
        <v>-0.67249999999999999</v>
      </c>
      <c r="AI50">
        <v>120</v>
      </c>
      <c r="AJ50">
        <v>120</v>
      </c>
      <c r="AK50">
        <v>1140</v>
      </c>
      <c r="AL50">
        <v>120</v>
      </c>
      <c r="AN50">
        <v>-8.7499999999999994E-2</v>
      </c>
      <c r="AO50">
        <v>0</v>
      </c>
      <c r="AP50">
        <v>0</v>
      </c>
      <c r="AQ50">
        <v>1698</v>
      </c>
      <c r="AR50">
        <v>0</v>
      </c>
      <c r="AT50" t="s">
        <v>1009</v>
      </c>
      <c r="AU50" t="s">
        <v>1429</v>
      </c>
    </row>
    <row r="51" spans="1:47" x14ac:dyDescent="0.2">
      <c r="A51" t="s">
        <v>1010</v>
      </c>
      <c r="B51" t="s">
        <v>1429</v>
      </c>
      <c r="C51" s="2"/>
      <c r="D51">
        <v>-1.2625</v>
      </c>
      <c r="E51">
        <v>279</v>
      </c>
      <c r="F51">
        <v>93</v>
      </c>
      <c r="G51">
        <v>6928</v>
      </c>
      <c r="H51">
        <v>31</v>
      </c>
      <c r="J51">
        <v>-0.43</v>
      </c>
      <c r="K51">
        <v>186</v>
      </c>
      <c r="L51">
        <v>62</v>
      </c>
      <c r="M51">
        <v>4022</v>
      </c>
      <c r="N51">
        <v>31</v>
      </c>
      <c r="P51">
        <v>-0.83499999999999996</v>
      </c>
      <c r="Q51">
        <v>0</v>
      </c>
      <c r="R51">
        <v>0</v>
      </c>
      <c r="S51">
        <v>3651</v>
      </c>
      <c r="T51">
        <v>0</v>
      </c>
      <c r="V51">
        <v>0.26250000000000001</v>
      </c>
      <c r="W51">
        <v>0</v>
      </c>
      <c r="X51">
        <v>0</v>
      </c>
      <c r="Y51">
        <v>265</v>
      </c>
      <c r="Z51">
        <v>0</v>
      </c>
      <c r="AB51">
        <v>-0.52749999999999997</v>
      </c>
      <c r="AC51">
        <v>0</v>
      </c>
      <c r="AD51">
        <v>0</v>
      </c>
      <c r="AE51">
        <v>3245</v>
      </c>
      <c r="AF51">
        <v>0</v>
      </c>
      <c r="AH51">
        <v>-0.68</v>
      </c>
      <c r="AI51">
        <v>124</v>
      </c>
      <c r="AJ51">
        <v>124</v>
      </c>
      <c r="AK51">
        <v>1178</v>
      </c>
      <c r="AL51">
        <v>124</v>
      </c>
      <c r="AN51">
        <v>-0.11</v>
      </c>
      <c r="AO51">
        <v>0</v>
      </c>
      <c r="AP51">
        <v>0</v>
      </c>
      <c r="AQ51">
        <v>1754</v>
      </c>
      <c r="AR51">
        <v>0</v>
      </c>
      <c r="AT51" t="s">
        <v>1010</v>
      </c>
      <c r="AU51" t="s">
        <v>1429</v>
      </c>
    </row>
    <row r="52" spans="1:47" x14ac:dyDescent="0.2">
      <c r="A52" t="s">
        <v>1011</v>
      </c>
      <c r="B52" t="s">
        <v>1429</v>
      </c>
      <c r="C52" s="2"/>
      <c r="D52">
        <v>-1.2675000000000001</v>
      </c>
      <c r="E52">
        <v>270</v>
      </c>
      <c r="F52">
        <v>90</v>
      </c>
      <c r="G52">
        <v>6706</v>
      </c>
      <c r="H52">
        <v>30</v>
      </c>
      <c r="J52">
        <v>-0.44500000000000001</v>
      </c>
      <c r="K52">
        <v>180</v>
      </c>
      <c r="L52">
        <v>60</v>
      </c>
      <c r="M52">
        <v>3896</v>
      </c>
      <c r="N52">
        <v>30</v>
      </c>
      <c r="P52">
        <v>-0.83499999999999996</v>
      </c>
      <c r="Q52">
        <v>0</v>
      </c>
      <c r="R52">
        <v>0</v>
      </c>
      <c r="S52">
        <v>3534</v>
      </c>
      <c r="T52">
        <v>0</v>
      </c>
      <c r="V52">
        <v>0.23250000000000001</v>
      </c>
      <c r="W52">
        <v>0</v>
      </c>
      <c r="X52">
        <v>0</v>
      </c>
      <c r="Y52">
        <v>256</v>
      </c>
      <c r="Z52">
        <v>0</v>
      </c>
      <c r="AB52">
        <v>-0.52</v>
      </c>
      <c r="AC52">
        <v>0</v>
      </c>
      <c r="AD52">
        <v>0</v>
      </c>
      <c r="AE52">
        <v>3143</v>
      </c>
      <c r="AF52">
        <v>0</v>
      </c>
      <c r="AH52">
        <v>-0.67</v>
      </c>
      <c r="AI52">
        <v>120</v>
      </c>
      <c r="AJ52">
        <v>120</v>
      </c>
      <c r="AK52">
        <v>1140</v>
      </c>
      <c r="AL52">
        <v>120</v>
      </c>
      <c r="AN52">
        <v>-0.1075</v>
      </c>
      <c r="AO52">
        <v>0</v>
      </c>
      <c r="AP52">
        <v>0</v>
      </c>
      <c r="AQ52">
        <v>1698</v>
      </c>
      <c r="AR52">
        <v>0</v>
      </c>
      <c r="AT52" t="s">
        <v>1011</v>
      </c>
      <c r="AU52" t="s">
        <v>1429</v>
      </c>
    </row>
    <row r="53" spans="1:47" x14ac:dyDescent="0.2">
      <c r="A53" t="s">
        <v>1012</v>
      </c>
      <c r="B53" t="s">
        <v>1429</v>
      </c>
      <c r="C53" s="2"/>
      <c r="D53">
        <v>-1.2849999999999999</v>
      </c>
      <c r="E53">
        <v>279</v>
      </c>
      <c r="F53">
        <v>93</v>
      </c>
      <c r="G53">
        <v>6928</v>
      </c>
      <c r="H53">
        <v>31</v>
      </c>
      <c r="J53">
        <v>-0.41</v>
      </c>
      <c r="K53">
        <v>186</v>
      </c>
      <c r="L53">
        <v>62</v>
      </c>
      <c r="M53">
        <v>4022</v>
      </c>
      <c r="N53">
        <v>31</v>
      </c>
      <c r="P53">
        <v>-0.73499999999999999</v>
      </c>
      <c r="Q53">
        <v>0</v>
      </c>
      <c r="R53">
        <v>0</v>
      </c>
      <c r="S53">
        <v>3651</v>
      </c>
      <c r="T53">
        <v>0</v>
      </c>
      <c r="V53">
        <v>0.34250000000000003</v>
      </c>
      <c r="W53">
        <v>0</v>
      </c>
      <c r="X53">
        <v>0</v>
      </c>
      <c r="Y53">
        <v>265</v>
      </c>
      <c r="Z53">
        <v>0</v>
      </c>
      <c r="AB53">
        <v>-0.35</v>
      </c>
      <c r="AC53">
        <v>0</v>
      </c>
      <c r="AD53">
        <v>0</v>
      </c>
      <c r="AE53">
        <v>3245</v>
      </c>
      <c r="AF53">
        <v>0</v>
      </c>
      <c r="AH53">
        <v>-0.62749999999999995</v>
      </c>
      <c r="AI53">
        <v>124</v>
      </c>
      <c r="AJ53">
        <v>124</v>
      </c>
      <c r="AK53">
        <v>1178</v>
      </c>
      <c r="AL53">
        <v>124</v>
      </c>
      <c r="AN53">
        <v>-8.7499999999999994E-2</v>
      </c>
      <c r="AO53">
        <v>0</v>
      </c>
      <c r="AP53">
        <v>0</v>
      </c>
      <c r="AQ53">
        <v>1723</v>
      </c>
      <c r="AR53">
        <v>0</v>
      </c>
      <c r="AT53" t="s">
        <v>1012</v>
      </c>
      <c r="AU53" t="s">
        <v>1429</v>
      </c>
    </row>
    <row r="54" spans="1:47" x14ac:dyDescent="0.2">
      <c r="A54" t="s">
        <v>1013</v>
      </c>
      <c r="B54" t="s">
        <v>1429</v>
      </c>
      <c r="C54" s="2"/>
      <c r="D54">
        <v>-1.2849999999999999</v>
      </c>
      <c r="E54">
        <v>279</v>
      </c>
      <c r="F54">
        <v>93</v>
      </c>
      <c r="G54">
        <v>6928</v>
      </c>
      <c r="H54">
        <v>31</v>
      </c>
      <c r="J54">
        <v>-0.41</v>
      </c>
      <c r="K54">
        <v>186</v>
      </c>
      <c r="L54">
        <v>62</v>
      </c>
      <c r="M54">
        <v>4022</v>
      </c>
      <c r="N54">
        <v>31</v>
      </c>
      <c r="P54">
        <v>-0.73250000000000004</v>
      </c>
      <c r="Q54">
        <v>0</v>
      </c>
      <c r="R54">
        <v>0</v>
      </c>
      <c r="S54">
        <v>3651</v>
      </c>
      <c r="T54">
        <v>0</v>
      </c>
      <c r="V54">
        <v>0.375</v>
      </c>
      <c r="W54">
        <v>0</v>
      </c>
      <c r="X54">
        <v>0</v>
      </c>
      <c r="Y54">
        <v>265</v>
      </c>
      <c r="Z54">
        <v>0</v>
      </c>
      <c r="AB54">
        <v>-0.33250000000000002</v>
      </c>
      <c r="AC54">
        <v>0</v>
      </c>
      <c r="AD54">
        <v>0</v>
      </c>
      <c r="AE54">
        <v>3245</v>
      </c>
      <c r="AF54">
        <v>0</v>
      </c>
      <c r="AH54">
        <v>-0.59499999999999997</v>
      </c>
      <c r="AI54">
        <v>124</v>
      </c>
      <c r="AJ54">
        <v>124</v>
      </c>
      <c r="AK54">
        <v>1178</v>
      </c>
      <c r="AL54">
        <v>124</v>
      </c>
      <c r="AN54">
        <v>-8.5000000000000006E-2</v>
      </c>
      <c r="AO54">
        <v>0</v>
      </c>
      <c r="AP54">
        <v>0</v>
      </c>
      <c r="AQ54">
        <v>1723</v>
      </c>
      <c r="AR54">
        <v>0</v>
      </c>
      <c r="AT54" t="s">
        <v>1013</v>
      </c>
      <c r="AU54" t="s">
        <v>1429</v>
      </c>
    </row>
    <row r="55" spans="1:47" x14ac:dyDescent="0.2">
      <c r="A55" t="s">
        <v>1014</v>
      </c>
      <c r="B55" t="s">
        <v>1429</v>
      </c>
      <c r="C55" s="2"/>
      <c r="D55">
        <v>-1.2725</v>
      </c>
      <c r="E55">
        <v>270</v>
      </c>
      <c r="F55">
        <v>90</v>
      </c>
      <c r="G55">
        <v>6706</v>
      </c>
      <c r="H55">
        <v>30</v>
      </c>
      <c r="J55">
        <v>-0.40749999999999997</v>
      </c>
      <c r="K55">
        <v>180</v>
      </c>
      <c r="L55">
        <v>60</v>
      </c>
      <c r="M55">
        <v>3896</v>
      </c>
      <c r="N55">
        <v>30</v>
      </c>
      <c r="P55">
        <v>-0.745</v>
      </c>
      <c r="Q55">
        <v>0</v>
      </c>
      <c r="R55">
        <v>0</v>
      </c>
      <c r="S55">
        <v>3534</v>
      </c>
      <c r="T55">
        <v>0</v>
      </c>
      <c r="V55">
        <v>0.35499999999999998</v>
      </c>
      <c r="W55">
        <v>0</v>
      </c>
      <c r="X55">
        <v>0</v>
      </c>
      <c r="Y55">
        <v>256</v>
      </c>
      <c r="Z55">
        <v>0</v>
      </c>
      <c r="AB55">
        <v>-0.45250000000000001</v>
      </c>
      <c r="AC55">
        <v>0</v>
      </c>
      <c r="AD55">
        <v>0</v>
      </c>
      <c r="AE55">
        <v>3143</v>
      </c>
      <c r="AF55">
        <v>0</v>
      </c>
      <c r="AH55">
        <v>-0.61250000000000004</v>
      </c>
      <c r="AI55">
        <v>120</v>
      </c>
      <c r="AJ55">
        <v>120</v>
      </c>
      <c r="AK55">
        <v>1140</v>
      </c>
      <c r="AL55">
        <v>120</v>
      </c>
      <c r="AN55">
        <v>-7.4999999999999997E-2</v>
      </c>
      <c r="AO55">
        <v>0</v>
      </c>
      <c r="AP55">
        <v>0</v>
      </c>
      <c r="AQ55">
        <v>1668</v>
      </c>
      <c r="AR55">
        <v>0</v>
      </c>
      <c r="AT55" t="s">
        <v>1014</v>
      </c>
      <c r="AU55" t="s">
        <v>1429</v>
      </c>
    </row>
    <row r="56" spans="1:47" x14ac:dyDescent="0.2">
      <c r="A56" t="s">
        <v>1015</v>
      </c>
      <c r="B56" t="s">
        <v>1429</v>
      </c>
      <c r="C56" s="2"/>
      <c r="D56">
        <v>-1.2625</v>
      </c>
      <c r="E56">
        <v>279</v>
      </c>
      <c r="F56">
        <v>93</v>
      </c>
      <c r="G56">
        <v>6928</v>
      </c>
      <c r="H56">
        <v>31</v>
      </c>
      <c r="J56">
        <v>-0.41249999999999998</v>
      </c>
      <c r="K56">
        <v>186</v>
      </c>
      <c r="L56">
        <v>62</v>
      </c>
      <c r="M56">
        <v>4022</v>
      </c>
      <c r="N56">
        <v>31</v>
      </c>
      <c r="P56">
        <v>-0.79249999999999998</v>
      </c>
      <c r="Q56">
        <v>0</v>
      </c>
      <c r="R56">
        <v>0</v>
      </c>
      <c r="S56">
        <v>3627</v>
      </c>
      <c r="T56">
        <v>0</v>
      </c>
      <c r="V56">
        <v>0.31</v>
      </c>
      <c r="W56">
        <v>0</v>
      </c>
      <c r="X56">
        <v>0</v>
      </c>
      <c r="Y56">
        <v>265</v>
      </c>
      <c r="Z56">
        <v>0</v>
      </c>
      <c r="AB56">
        <v>-0.52500000000000002</v>
      </c>
      <c r="AC56">
        <v>0</v>
      </c>
      <c r="AD56">
        <v>0</v>
      </c>
      <c r="AE56">
        <v>3245</v>
      </c>
      <c r="AF56">
        <v>0</v>
      </c>
      <c r="AH56">
        <v>-0.63249999999999995</v>
      </c>
      <c r="AI56">
        <v>124</v>
      </c>
      <c r="AJ56">
        <v>124</v>
      </c>
      <c r="AK56">
        <v>1178</v>
      </c>
      <c r="AL56">
        <v>124</v>
      </c>
      <c r="AN56">
        <v>-5.7500000000000002E-2</v>
      </c>
      <c r="AO56">
        <v>0</v>
      </c>
      <c r="AP56">
        <v>0</v>
      </c>
      <c r="AQ56">
        <v>1723</v>
      </c>
      <c r="AR56">
        <v>0</v>
      </c>
      <c r="AT56" t="s">
        <v>1015</v>
      </c>
      <c r="AU56" t="s">
        <v>1429</v>
      </c>
    </row>
    <row r="57" spans="1:47" x14ac:dyDescent="0.2">
      <c r="A57" t="s">
        <v>1016</v>
      </c>
      <c r="B57" t="s">
        <v>1429</v>
      </c>
      <c r="C57" s="2"/>
      <c r="D57">
        <v>-1.0175000000000001</v>
      </c>
      <c r="E57">
        <v>180</v>
      </c>
      <c r="F57">
        <v>90</v>
      </c>
      <c r="G57">
        <v>6334</v>
      </c>
      <c r="H57">
        <v>90</v>
      </c>
      <c r="J57">
        <v>-0.17249999999999999</v>
      </c>
      <c r="K57">
        <v>120</v>
      </c>
      <c r="L57">
        <v>120</v>
      </c>
      <c r="M57">
        <v>2572</v>
      </c>
      <c r="N57">
        <v>60</v>
      </c>
      <c r="P57">
        <v>-0.5</v>
      </c>
      <c r="Q57">
        <v>0</v>
      </c>
      <c r="R57">
        <v>0</v>
      </c>
      <c r="S57">
        <v>2220</v>
      </c>
      <c r="T57">
        <v>0</v>
      </c>
      <c r="V57">
        <v>0.21249999999999999</v>
      </c>
      <c r="W57">
        <v>0</v>
      </c>
      <c r="X57">
        <v>0</v>
      </c>
      <c r="Y57">
        <v>180</v>
      </c>
      <c r="Z57">
        <v>0</v>
      </c>
      <c r="AB57">
        <v>-0.27750000000000002</v>
      </c>
      <c r="AC57">
        <v>0</v>
      </c>
      <c r="AD57">
        <v>0</v>
      </c>
      <c r="AE57">
        <v>2085</v>
      </c>
      <c r="AF57">
        <v>0</v>
      </c>
      <c r="AH57">
        <v>-0.59499999999999997</v>
      </c>
      <c r="AI57">
        <v>120</v>
      </c>
      <c r="AJ57">
        <v>120</v>
      </c>
      <c r="AK57">
        <v>720</v>
      </c>
      <c r="AL57">
        <v>120</v>
      </c>
      <c r="AN57">
        <v>-9.7500000000000003E-2</v>
      </c>
      <c r="AO57">
        <v>0</v>
      </c>
      <c r="AP57">
        <v>0</v>
      </c>
      <c r="AQ57">
        <v>1668</v>
      </c>
      <c r="AR57">
        <v>0</v>
      </c>
      <c r="AT57" t="s">
        <v>1016</v>
      </c>
      <c r="AU57" t="s">
        <v>1429</v>
      </c>
    </row>
    <row r="58" spans="1:47" x14ac:dyDescent="0.2">
      <c r="A58" t="s">
        <v>1017</v>
      </c>
      <c r="B58" t="s">
        <v>1429</v>
      </c>
      <c r="C58" s="2"/>
      <c r="D58">
        <v>-1.02</v>
      </c>
      <c r="E58">
        <v>186</v>
      </c>
      <c r="F58">
        <v>93</v>
      </c>
      <c r="G58">
        <v>6543</v>
      </c>
      <c r="H58">
        <v>93</v>
      </c>
      <c r="J58">
        <v>-0.1125</v>
      </c>
      <c r="K58">
        <v>124</v>
      </c>
      <c r="L58">
        <v>124</v>
      </c>
      <c r="M58">
        <v>2654</v>
      </c>
      <c r="N58">
        <v>62</v>
      </c>
      <c r="P58">
        <v>-0.42749999999999999</v>
      </c>
      <c r="Q58">
        <v>0</v>
      </c>
      <c r="R58">
        <v>0</v>
      </c>
      <c r="S58">
        <v>2294</v>
      </c>
      <c r="T58">
        <v>0</v>
      </c>
      <c r="V58">
        <v>0.21</v>
      </c>
      <c r="W58">
        <v>0</v>
      </c>
      <c r="X58">
        <v>0</v>
      </c>
      <c r="Y58">
        <v>186</v>
      </c>
      <c r="Z58">
        <v>0</v>
      </c>
      <c r="AB58">
        <v>-0.11749999999999999</v>
      </c>
      <c r="AC58">
        <v>0</v>
      </c>
      <c r="AD58">
        <v>0</v>
      </c>
      <c r="AE58">
        <v>2154</v>
      </c>
      <c r="AF58">
        <v>0</v>
      </c>
      <c r="AH58">
        <v>-0.56499999999999995</v>
      </c>
      <c r="AI58">
        <v>124</v>
      </c>
      <c r="AJ58">
        <v>124</v>
      </c>
      <c r="AK58">
        <v>744</v>
      </c>
      <c r="AL58">
        <v>124</v>
      </c>
      <c r="AN58">
        <v>-0.10249999999999999</v>
      </c>
      <c r="AO58">
        <v>0</v>
      </c>
      <c r="AP58">
        <v>0</v>
      </c>
      <c r="AQ58">
        <v>1723</v>
      </c>
      <c r="AR58">
        <v>0</v>
      </c>
      <c r="AT58" t="s">
        <v>1017</v>
      </c>
      <c r="AU58" t="s">
        <v>1429</v>
      </c>
    </row>
    <row r="59" spans="1:47" x14ac:dyDescent="0.2">
      <c r="A59" t="s">
        <v>1006</v>
      </c>
      <c r="B59" t="s">
        <v>1535</v>
      </c>
      <c r="C59" s="2"/>
      <c r="D59">
        <v>-1.0774999999999999</v>
      </c>
      <c r="E59">
        <v>372</v>
      </c>
      <c r="F59">
        <v>279</v>
      </c>
      <c r="G59">
        <v>6053</v>
      </c>
      <c r="H59">
        <v>-62</v>
      </c>
      <c r="J59">
        <v>-5.7500000000000002E-2</v>
      </c>
      <c r="K59">
        <v>248</v>
      </c>
      <c r="L59">
        <v>248</v>
      </c>
      <c r="M59">
        <v>2871</v>
      </c>
      <c r="N59">
        <v>-62</v>
      </c>
      <c r="P59">
        <v>-0.45250000000000001</v>
      </c>
      <c r="Q59">
        <v>0</v>
      </c>
      <c r="R59">
        <v>0</v>
      </c>
      <c r="S59">
        <v>1271</v>
      </c>
      <c r="T59">
        <v>0</v>
      </c>
      <c r="V59">
        <v>0.185</v>
      </c>
      <c r="W59">
        <v>0</v>
      </c>
      <c r="X59">
        <v>0</v>
      </c>
      <c r="Y59">
        <v>93</v>
      </c>
      <c r="Z59">
        <v>0</v>
      </c>
      <c r="AB59">
        <v>-0.1875</v>
      </c>
      <c r="AC59">
        <v>0</v>
      </c>
      <c r="AD59">
        <v>0</v>
      </c>
      <c r="AE59">
        <v>1664</v>
      </c>
      <c r="AF59">
        <v>0</v>
      </c>
      <c r="AH59">
        <v>-0.59750000000000003</v>
      </c>
      <c r="AI59">
        <v>124</v>
      </c>
      <c r="AJ59">
        <v>124</v>
      </c>
      <c r="AK59">
        <v>403</v>
      </c>
      <c r="AL59">
        <v>124</v>
      </c>
      <c r="AN59">
        <v>-0.14249999999999999</v>
      </c>
      <c r="AO59">
        <v>0</v>
      </c>
      <c r="AP59">
        <v>0</v>
      </c>
      <c r="AQ59">
        <v>824</v>
      </c>
      <c r="AR59">
        <v>0</v>
      </c>
      <c r="AT59" t="s">
        <v>1006</v>
      </c>
      <c r="AU59" t="s">
        <v>1535</v>
      </c>
    </row>
    <row r="60" spans="1:47" x14ac:dyDescent="0.2">
      <c r="A60" t="s">
        <v>1007</v>
      </c>
      <c r="B60" t="s">
        <v>1535</v>
      </c>
      <c r="C60" s="2"/>
      <c r="D60">
        <v>-1.0449999999999999</v>
      </c>
      <c r="E60">
        <v>336</v>
      </c>
      <c r="F60">
        <v>252</v>
      </c>
      <c r="G60">
        <v>5480</v>
      </c>
      <c r="H60">
        <v>-56</v>
      </c>
      <c r="J60">
        <v>-5.5E-2</v>
      </c>
      <c r="K60">
        <v>224</v>
      </c>
      <c r="L60">
        <v>224</v>
      </c>
      <c r="M60">
        <v>2604</v>
      </c>
      <c r="N60">
        <v>-56</v>
      </c>
      <c r="P60">
        <v>-0.46250000000000002</v>
      </c>
      <c r="Q60">
        <v>0</v>
      </c>
      <c r="R60">
        <v>0</v>
      </c>
      <c r="S60">
        <v>1148</v>
      </c>
      <c r="T60">
        <v>0</v>
      </c>
      <c r="V60">
        <v>0.1525</v>
      </c>
      <c r="W60">
        <v>0</v>
      </c>
      <c r="X60">
        <v>0</v>
      </c>
      <c r="Y60">
        <v>84</v>
      </c>
      <c r="Z60">
        <v>0</v>
      </c>
      <c r="AB60">
        <v>-0.21</v>
      </c>
      <c r="AC60">
        <v>0</v>
      </c>
      <c r="AD60">
        <v>0</v>
      </c>
      <c r="AE60">
        <v>1511</v>
      </c>
      <c r="AF60">
        <v>0</v>
      </c>
      <c r="AH60">
        <v>-0.60750000000000004</v>
      </c>
      <c r="AI60">
        <v>112</v>
      </c>
      <c r="AJ60">
        <v>112</v>
      </c>
      <c r="AK60">
        <v>364</v>
      </c>
      <c r="AL60">
        <v>112</v>
      </c>
      <c r="AN60">
        <v>-0.14000000000000001</v>
      </c>
      <c r="AO60">
        <v>0</v>
      </c>
      <c r="AP60">
        <v>0</v>
      </c>
      <c r="AQ60">
        <v>744</v>
      </c>
      <c r="AR60">
        <v>0</v>
      </c>
      <c r="AT60" t="s">
        <v>1007</v>
      </c>
      <c r="AU60" t="s">
        <v>1535</v>
      </c>
    </row>
    <row r="61" spans="1:47" x14ac:dyDescent="0.2">
      <c r="A61" t="s">
        <v>1008</v>
      </c>
      <c r="B61" t="s">
        <v>1535</v>
      </c>
      <c r="C61" s="2"/>
      <c r="D61">
        <v>-1.0425</v>
      </c>
      <c r="E61">
        <v>372</v>
      </c>
      <c r="F61">
        <v>279</v>
      </c>
      <c r="G61">
        <v>6053</v>
      </c>
      <c r="H61">
        <v>-62</v>
      </c>
      <c r="J61">
        <v>-0.1525</v>
      </c>
      <c r="K61">
        <v>248</v>
      </c>
      <c r="L61">
        <v>248</v>
      </c>
      <c r="M61">
        <v>2871</v>
      </c>
      <c r="N61">
        <v>-62</v>
      </c>
      <c r="P61">
        <v>-0.48749999999999999</v>
      </c>
      <c r="Q61">
        <v>0</v>
      </c>
      <c r="R61">
        <v>0</v>
      </c>
      <c r="S61">
        <v>1271</v>
      </c>
      <c r="T61">
        <v>0</v>
      </c>
      <c r="V61">
        <v>0.21</v>
      </c>
      <c r="W61">
        <v>0</v>
      </c>
      <c r="X61">
        <v>0</v>
      </c>
      <c r="Y61">
        <v>93</v>
      </c>
      <c r="Z61">
        <v>0</v>
      </c>
      <c r="AB61">
        <v>-0.28000000000000003</v>
      </c>
      <c r="AC61">
        <v>0</v>
      </c>
      <c r="AD61">
        <v>0</v>
      </c>
      <c r="AE61">
        <v>1664</v>
      </c>
      <c r="AF61">
        <v>0</v>
      </c>
      <c r="AH61">
        <v>-0.63749999999999996</v>
      </c>
      <c r="AI61">
        <v>124</v>
      </c>
      <c r="AJ61">
        <v>124</v>
      </c>
      <c r="AK61">
        <v>403</v>
      </c>
      <c r="AL61">
        <v>124</v>
      </c>
      <c r="AN61">
        <v>-0.14249999999999999</v>
      </c>
      <c r="AO61">
        <v>0</v>
      </c>
      <c r="AP61">
        <v>0</v>
      </c>
      <c r="AQ61">
        <v>824</v>
      </c>
      <c r="AR61">
        <v>0</v>
      </c>
      <c r="AT61" t="s">
        <v>1008</v>
      </c>
      <c r="AU61" t="s">
        <v>1535</v>
      </c>
    </row>
    <row r="62" spans="1:47" x14ac:dyDescent="0.2">
      <c r="A62" t="s">
        <v>1009</v>
      </c>
      <c r="B62" t="s">
        <v>1535</v>
      </c>
      <c r="C62" s="2"/>
      <c r="D62">
        <v>-1.0375000000000001</v>
      </c>
      <c r="E62">
        <v>300</v>
      </c>
      <c r="F62">
        <v>270</v>
      </c>
      <c r="G62">
        <v>4916</v>
      </c>
      <c r="H62">
        <v>90</v>
      </c>
      <c r="J62">
        <v>-0.30249999999999999</v>
      </c>
      <c r="K62">
        <v>210</v>
      </c>
      <c r="L62">
        <v>180</v>
      </c>
      <c r="M62">
        <v>2860</v>
      </c>
      <c r="N62">
        <v>-60</v>
      </c>
      <c r="P62">
        <v>-0.78</v>
      </c>
      <c r="Q62">
        <v>60</v>
      </c>
      <c r="R62">
        <v>60</v>
      </c>
      <c r="S62">
        <v>1410</v>
      </c>
      <c r="T62">
        <v>60</v>
      </c>
      <c r="V62">
        <v>0.32750000000000001</v>
      </c>
      <c r="W62">
        <v>0</v>
      </c>
      <c r="X62">
        <v>0</v>
      </c>
      <c r="Y62">
        <v>114</v>
      </c>
      <c r="Z62">
        <v>0</v>
      </c>
      <c r="AB62">
        <v>-0.48499999999999999</v>
      </c>
      <c r="AC62">
        <v>150</v>
      </c>
      <c r="AD62">
        <v>150</v>
      </c>
      <c r="AE62">
        <v>1510</v>
      </c>
      <c r="AF62">
        <v>77</v>
      </c>
      <c r="AH62">
        <v>-0.58250000000000002</v>
      </c>
      <c r="AI62">
        <v>120</v>
      </c>
      <c r="AJ62">
        <v>120</v>
      </c>
      <c r="AK62">
        <v>780</v>
      </c>
      <c r="AL62">
        <v>120</v>
      </c>
      <c r="AN62">
        <v>-7.4999999999999997E-2</v>
      </c>
      <c r="AO62">
        <v>0</v>
      </c>
      <c r="AP62">
        <v>0</v>
      </c>
      <c r="AQ62">
        <v>797</v>
      </c>
      <c r="AR62">
        <v>0</v>
      </c>
      <c r="AT62" t="s">
        <v>1009</v>
      </c>
      <c r="AU62" t="s">
        <v>1535</v>
      </c>
    </row>
    <row r="63" spans="1:47" x14ac:dyDescent="0.2">
      <c r="A63" t="s">
        <v>1010</v>
      </c>
      <c r="B63" t="s">
        <v>1535</v>
      </c>
      <c r="C63" s="2"/>
      <c r="D63">
        <v>-1.05</v>
      </c>
      <c r="E63">
        <v>310</v>
      </c>
      <c r="F63">
        <v>279</v>
      </c>
      <c r="G63">
        <v>5078</v>
      </c>
      <c r="H63">
        <v>93</v>
      </c>
      <c r="J63">
        <v>-0.43</v>
      </c>
      <c r="K63">
        <v>217</v>
      </c>
      <c r="L63">
        <v>186</v>
      </c>
      <c r="M63">
        <v>2952</v>
      </c>
      <c r="N63">
        <v>-62</v>
      </c>
      <c r="P63">
        <v>-0.75</v>
      </c>
      <c r="Q63">
        <v>93</v>
      </c>
      <c r="R63">
        <v>93</v>
      </c>
      <c r="S63">
        <v>1488</v>
      </c>
      <c r="T63">
        <v>93</v>
      </c>
      <c r="V63">
        <v>0.33250000000000002</v>
      </c>
      <c r="W63">
        <v>0</v>
      </c>
      <c r="X63">
        <v>0</v>
      </c>
      <c r="Y63">
        <v>117</v>
      </c>
      <c r="Z63">
        <v>0</v>
      </c>
      <c r="AB63">
        <v>-0.47749999999999998</v>
      </c>
      <c r="AC63">
        <v>155</v>
      </c>
      <c r="AD63">
        <v>155</v>
      </c>
      <c r="AE63">
        <v>1558</v>
      </c>
      <c r="AF63">
        <v>78</v>
      </c>
      <c r="AH63">
        <v>-0.59</v>
      </c>
      <c r="AI63">
        <v>124</v>
      </c>
      <c r="AJ63">
        <v>124</v>
      </c>
      <c r="AK63">
        <v>806</v>
      </c>
      <c r="AL63">
        <v>124</v>
      </c>
      <c r="AN63">
        <v>-0.1</v>
      </c>
      <c r="AO63">
        <v>0</v>
      </c>
      <c r="AP63">
        <v>0</v>
      </c>
      <c r="AQ63">
        <v>824</v>
      </c>
      <c r="AR63">
        <v>0</v>
      </c>
      <c r="AT63" t="s">
        <v>1010</v>
      </c>
      <c r="AU63" t="s">
        <v>1535</v>
      </c>
    </row>
    <row r="64" spans="1:47" x14ac:dyDescent="0.2">
      <c r="A64" t="s">
        <v>1011</v>
      </c>
      <c r="B64" t="s">
        <v>1535</v>
      </c>
      <c r="C64" s="2"/>
      <c r="D64">
        <v>-1.0525</v>
      </c>
      <c r="E64">
        <v>300</v>
      </c>
      <c r="F64">
        <v>270</v>
      </c>
      <c r="G64">
        <v>4916</v>
      </c>
      <c r="H64">
        <v>90</v>
      </c>
      <c r="J64">
        <v>-0.44750000000000001</v>
      </c>
      <c r="K64">
        <v>210</v>
      </c>
      <c r="L64">
        <v>180</v>
      </c>
      <c r="M64">
        <v>2860</v>
      </c>
      <c r="N64">
        <v>-60</v>
      </c>
      <c r="P64">
        <v>-0.78249999999999997</v>
      </c>
      <c r="Q64">
        <v>60</v>
      </c>
      <c r="R64">
        <v>60</v>
      </c>
      <c r="S64">
        <v>1410</v>
      </c>
      <c r="T64">
        <v>60</v>
      </c>
      <c r="V64">
        <v>0.3</v>
      </c>
      <c r="W64">
        <v>0</v>
      </c>
      <c r="X64">
        <v>0</v>
      </c>
      <c r="Y64">
        <v>114</v>
      </c>
      <c r="Z64">
        <v>0</v>
      </c>
      <c r="AB64">
        <v>-0.47</v>
      </c>
      <c r="AC64">
        <v>150</v>
      </c>
      <c r="AD64">
        <v>150</v>
      </c>
      <c r="AE64">
        <v>1510</v>
      </c>
      <c r="AF64">
        <v>77</v>
      </c>
      <c r="AH64">
        <v>-0.57999999999999996</v>
      </c>
      <c r="AI64">
        <v>120</v>
      </c>
      <c r="AJ64">
        <v>120</v>
      </c>
      <c r="AK64">
        <v>780</v>
      </c>
      <c r="AL64">
        <v>120</v>
      </c>
      <c r="AN64">
        <v>-9.7500000000000003E-2</v>
      </c>
      <c r="AO64">
        <v>0</v>
      </c>
      <c r="AP64">
        <v>0</v>
      </c>
      <c r="AQ64">
        <v>797</v>
      </c>
      <c r="AR64">
        <v>0</v>
      </c>
      <c r="AT64" t="s">
        <v>1011</v>
      </c>
      <c r="AU64" t="s">
        <v>1535</v>
      </c>
    </row>
    <row r="65" spans="1:47" x14ac:dyDescent="0.2">
      <c r="A65" t="s">
        <v>1012</v>
      </c>
      <c r="B65" t="s">
        <v>1535</v>
      </c>
      <c r="C65" s="2"/>
      <c r="D65">
        <v>-1.07</v>
      </c>
      <c r="E65">
        <v>310</v>
      </c>
      <c r="F65">
        <v>279</v>
      </c>
      <c r="G65">
        <v>5078</v>
      </c>
      <c r="H65">
        <v>93</v>
      </c>
      <c r="J65">
        <v>-0.41249999999999998</v>
      </c>
      <c r="K65">
        <v>217</v>
      </c>
      <c r="L65">
        <v>186</v>
      </c>
      <c r="M65">
        <v>2952</v>
      </c>
      <c r="N65">
        <v>-62</v>
      </c>
      <c r="P65">
        <v>-0.68500000000000005</v>
      </c>
      <c r="Q65">
        <v>62</v>
      </c>
      <c r="R65">
        <v>62</v>
      </c>
      <c r="S65">
        <v>1457</v>
      </c>
      <c r="T65">
        <v>62</v>
      </c>
      <c r="V65">
        <v>0.42</v>
      </c>
      <c r="W65">
        <v>0</v>
      </c>
      <c r="X65">
        <v>0</v>
      </c>
      <c r="Y65">
        <v>117</v>
      </c>
      <c r="Z65">
        <v>0</v>
      </c>
      <c r="AB65">
        <v>-0.32</v>
      </c>
      <c r="AC65">
        <v>155</v>
      </c>
      <c r="AD65">
        <v>155</v>
      </c>
      <c r="AE65">
        <v>1558</v>
      </c>
      <c r="AF65">
        <v>78</v>
      </c>
      <c r="AH65">
        <v>-0.54</v>
      </c>
      <c r="AI65">
        <v>124</v>
      </c>
      <c r="AJ65">
        <v>124</v>
      </c>
      <c r="AK65">
        <v>806</v>
      </c>
      <c r="AL65">
        <v>124</v>
      </c>
      <c r="AN65">
        <v>-7.7499999999999999E-2</v>
      </c>
      <c r="AO65">
        <v>0</v>
      </c>
      <c r="AP65">
        <v>0</v>
      </c>
      <c r="AQ65">
        <v>824</v>
      </c>
      <c r="AR65">
        <v>0</v>
      </c>
      <c r="AT65" t="s">
        <v>1012</v>
      </c>
      <c r="AU65" t="s">
        <v>1535</v>
      </c>
    </row>
    <row r="66" spans="1:47" x14ac:dyDescent="0.2">
      <c r="A66" t="s">
        <v>1013</v>
      </c>
      <c r="B66" t="s">
        <v>1535</v>
      </c>
      <c r="C66" s="2"/>
      <c r="D66">
        <v>-1.0725</v>
      </c>
      <c r="E66">
        <v>310</v>
      </c>
      <c r="F66">
        <v>279</v>
      </c>
      <c r="G66">
        <v>5078</v>
      </c>
      <c r="H66">
        <v>93</v>
      </c>
      <c r="J66">
        <v>-0.41249999999999998</v>
      </c>
      <c r="K66">
        <v>217</v>
      </c>
      <c r="L66">
        <v>186</v>
      </c>
      <c r="M66">
        <v>2952</v>
      </c>
      <c r="N66">
        <v>-62</v>
      </c>
      <c r="P66">
        <v>-0.68</v>
      </c>
      <c r="Q66">
        <v>62</v>
      </c>
      <c r="R66">
        <v>62</v>
      </c>
      <c r="S66">
        <v>1457</v>
      </c>
      <c r="T66">
        <v>62</v>
      </c>
      <c r="V66">
        <v>0.45500000000000002</v>
      </c>
      <c r="W66">
        <v>0</v>
      </c>
      <c r="X66">
        <v>0</v>
      </c>
      <c r="Y66">
        <v>117</v>
      </c>
      <c r="Z66">
        <v>0</v>
      </c>
      <c r="AB66">
        <v>-0.30499999999999999</v>
      </c>
      <c r="AC66">
        <v>155</v>
      </c>
      <c r="AD66">
        <v>155</v>
      </c>
      <c r="AE66">
        <v>1558</v>
      </c>
      <c r="AF66">
        <v>78</v>
      </c>
      <c r="AH66">
        <v>-0.51249999999999996</v>
      </c>
      <c r="AI66">
        <v>124</v>
      </c>
      <c r="AJ66">
        <v>124</v>
      </c>
      <c r="AK66">
        <v>806</v>
      </c>
      <c r="AL66">
        <v>124</v>
      </c>
      <c r="AN66">
        <v>-7.4999999999999997E-2</v>
      </c>
      <c r="AO66">
        <v>0</v>
      </c>
      <c r="AP66">
        <v>0</v>
      </c>
      <c r="AQ66">
        <v>824</v>
      </c>
      <c r="AR66">
        <v>0</v>
      </c>
      <c r="AT66" t="s">
        <v>1013</v>
      </c>
      <c r="AU66" t="s">
        <v>1535</v>
      </c>
    </row>
    <row r="67" spans="1:47" x14ac:dyDescent="0.2">
      <c r="A67" t="s">
        <v>1014</v>
      </c>
      <c r="B67" t="s">
        <v>1535</v>
      </c>
      <c r="C67" s="2"/>
      <c r="D67">
        <v>-1.0575000000000001</v>
      </c>
      <c r="E67">
        <v>300</v>
      </c>
      <c r="F67">
        <v>270</v>
      </c>
      <c r="G67">
        <v>4916</v>
      </c>
      <c r="H67">
        <v>90</v>
      </c>
      <c r="J67">
        <v>-0.41</v>
      </c>
      <c r="K67">
        <v>210</v>
      </c>
      <c r="L67">
        <v>180</v>
      </c>
      <c r="M67">
        <v>2860</v>
      </c>
      <c r="N67">
        <v>-60</v>
      </c>
      <c r="P67">
        <v>-0.6925</v>
      </c>
      <c r="Q67">
        <v>60</v>
      </c>
      <c r="R67">
        <v>60</v>
      </c>
      <c r="S67">
        <v>1410</v>
      </c>
      <c r="T67">
        <v>60</v>
      </c>
      <c r="V67">
        <v>0.435</v>
      </c>
      <c r="W67">
        <v>0</v>
      </c>
      <c r="X67">
        <v>0</v>
      </c>
      <c r="Y67">
        <v>114</v>
      </c>
      <c r="Z67">
        <v>0</v>
      </c>
      <c r="AB67">
        <v>-0.41</v>
      </c>
      <c r="AC67">
        <v>150</v>
      </c>
      <c r="AD67">
        <v>150</v>
      </c>
      <c r="AE67">
        <v>1510</v>
      </c>
      <c r="AF67">
        <v>77</v>
      </c>
      <c r="AH67">
        <v>-0.53</v>
      </c>
      <c r="AI67">
        <v>120</v>
      </c>
      <c r="AJ67">
        <v>120</v>
      </c>
      <c r="AK67">
        <v>780</v>
      </c>
      <c r="AL67">
        <v>120</v>
      </c>
      <c r="AN67">
        <v>-6.5000000000000002E-2</v>
      </c>
      <c r="AO67">
        <v>0</v>
      </c>
      <c r="AP67">
        <v>0</v>
      </c>
      <c r="AQ67">
        <v>797</v>
      </c>
      <c r="AR67">
        <v>0</v>
      </c>
      <c r="AT67" t="s">
        <v>1014</v>
      </c>
      <c r="AU67" t="s">
        <v>1535</v>
      </c>
    </row>
    <row r="68" spans="1:47" x14ac:dyDescent="0.2">
      <c r="A68" t="s">
        <v>1015</v>
      </c>
      <c r="B68" t="s">
        <v>1535</v>
      </c>
      <c r="C68" s="2"/>
      <c r="D68">
        <v>-1.05</v>
      </c>
      <c r="E68">
        <v>310</v>
      </c>
      <c r="F68">
        <v>279</v>
      </c>
      <c r="G68">
        <v>5078</v>
      </c>
      <c r="H68">
        <v>93</v>
      </c>
      <c r="J68">
        <v>-0.41499999999999998</v>
      </c>
      <c r="K68">
        <v>217</v>
      </c>
      <c r="L68">
        <v>186</v>
      </c>
      <c r="M68">
        <v>2952</v>
      </c>
      <c r="N68">
        <v>-62</v>
      </c>
      <c r="P68">
        <v>-0.74250000000000005</v>
      </c>
      <c r="Q68">
        <v>62</v>
      </c>
      <c r="R68">
        <v>62</v>
      </c>
      <c r="S68">
        <v>1457</v>
      </c>
      <c r="T68">
        <v>62</v>
      </c>
      <c r="V68">
        <v>0.38250000000000001</v>
      </c>
      <c r="W68">
        <v>0</v>
      </c>
      <c r="X68">
        <v>0</v>
      </c>
      <c r="Y68">
        <v>117</v>
      </c>
      <c r="Z68">
        <v>0</v>
      </c>
      <c r="AB68">
        <v>-0.47499999999999998</v>
      </c>
      <c r="AC68">
        <v>155</v>
      </c>
      <c r="AD68">
        <v>155</v>
      </c>
      <c r="AE68">
        <v>1558</v>
      </c>
      <c r="AF68">
        <v>78</v>
      </c>
      <c r="AH68">
        <v>-0.54749999999999999</v>
      </c>
      <c r="AI68">
        <v>124</v>
      </c>
      <c r="AJ68">
        <v>124</v>
      </c>
      <c r="AK68">
        <v>806</v>
      </c>
      <c r="AL68">
        <v>124</v>
      </c>
      <c r="AN68">
        <v>-4.7500000000000001E-2</v>
      </c>
      <c r="AO68">
        <v>0</v>
      </c>
      <c r="AP68">
        <v>0</v>
      </c>
      <c r="AQ68">
        <v>824</v>
      </c>
      <c r="AR68">
        <v>0</v>
      </c>
      <c r="AT68" t="s">
        <v>1015</v>
      </c>
      <c r="AU68" t="s">
        <v>1535</v>
      </c>
    </row>
    <row r="69" spans="1:47" x14ac:dyDescent="0.2">
      <c r="A69" t="s">
        <v>1016</v>
      </c>
      <c r="B69" t="s">
        <v>1535</v>
      </c>
      <c r="C69" s="2"/>
      <c r="D69">
        <v>-0.97499999999999998</v>
      </c>
      <c r="E69">
        <v>270</v>
      </c>
      <c r="F69">
        <v>270</v>
      </c>
      <c r="G69">
        <v>4406</v>
      </c>
      <c r="H69">
        <v>120</v>
      </c>
      <c r="J69">
        <v>-0.17</v>
      </c>
      <c r="K69">
        <v>240</v>
      </c>
      <c r="L69">
        <v>240</v>
      </c>
      <c r="M69">
        <v>1830</v>
      </c>
      <c r="N69">
        <v>-60</v>
      </c>
      <c r="P69">
        <v>-0.46750000000000003</v>
      </c>
      <c r="Q69">
        <v>0</v>
      </c>
      <c r="R69">
        <v>0</v>
      </c>
      <c r="S69">
        <v>990</v>
      </c>
      <c r="T69">
        <v>0</v>
      </c>
      <c r="V69">
        <v>0.23250000000000001</v>
      </c>
      <c r="W69">
        <v>0</v>
      </c>
      <c r="X69">
        <v>0</v>
      </c>
      <c r="Y69">
        <v>90</v>
      </c>
      <c r="Z69">
        <v>0</v>
      </c>
      <c r="AB69">
        <v>-0.24249999999999999</v>
      </c>
      <c r="AC69">
        <v>0</v>
      </c>
      <c r="AD69">
        <v>0</v>
      </c>
      <c r="AE69">
        <v>1523</v>
      </c>
      <c r="AF69">
        <v>0</v>
      </c>
      <c r="AH69">
        <v>-0.58750000000000002</v>
      </c>
      <c r="AI69">
        <v>120</v>
      </c>
      <c r="AJ69">
        <v>120</v>
      </c>
      <c r="AK69">
        <v>390</v>
      </c>
      <c r="AL69">
        <v>60</v>
      </c>
      <c r="AN69">
        <v>-0.11</v>
      </c>
      <c r="AO69">
        <v>0</v>
      </c>
      <c r="AP69">
        <v>0</v>
      </c>
      <c r="AQ69">
        <v>797</v>
      </c>
      <c r="AR69">
        <v>0</v>
      </c>
      <c r="AT69" t="s">
        <v>1016</v>
      </c>
      <c r="AU69" t="s">
        <v>1535</v>
      </c>
    </row>
    <row r="70" spans="1:47" x14ac:dyDescent="0.2">
      <c r="A70" t="s">
        <v>1017</v>
      </c>
      <c r="B70" t="s">
        <v>1535</v>
      </c>
      <c r="C70" s="2"/>
      <c r="D70">
        <v>-0.97</v>
      </c>
      <c r="E70">
        <v>279</v>
      </c>
      <c r="F70">
        <v>279</v>
      </c>
      <c r="G70">
        <v>4551</v>
      </c>
      <c r="H70">
        <v>124</v>
      </c>
      <c r="J70">
        <v>-0.1125</v>
      </c>
      <c r="K70">
        <v>248</v>
      </c>
      <c r="L70">
        <v>248</v>
      </c>
      <c r="M70">
        <v>1891</v>
      </c>
      <c r="N70">
        <v>-62</v>
      </c>
      <c r="P70">
        <v>-0.39750000000000002</v>
      </c>
      <c r="Q70">
        <v>0</v>
      </c>
      <c r="R70">
        <v>0</v>
      </c>
      <c r="S70">
        <v>1023</v>
      </c>
      <c r="T70">
        <v>0</v>
      </c>
      <c r="V70">
        <v>0.23</v>
      </c>
      <c r="W70">
        <v>0</v>
      </c>
      <c r="X70">
        <v>0</v>
      </c>
      <c r="Y70">
        <v>93</v>
      </c>
      <c r="Z70">
        <v>0</v>
      </c>
      <c r="AB70">
        <v>-9.7500000000000003E-2</v>
      </c>
      <c r="AC70">
        <v>0</v>
      </c>
      <c r="AD70">
        <v>0</v>
      </c>
      <c r="AE70">
        <v>1573</v>
      </c>
      <c r="AF70">
        <v>0</v>
      </c>
      <c r="AH70">
        <v>-0.56000000000000005</v>
      </c>
      <c r="AI70">
        <v>124</v>
      </c>
      <c r="AJ70">
        <v>124</v>
      </c>
      <c r="AK70">
        <v>403</v>
      </c>
      <c r="AL70">
        <v>62</v>
      </c>
      <c r="AN70">
        <v>-0.115</v>
      </c>
      <c r="AO70">
        <v>0</v>
      </c>
      <c r="AP70">
        <v>0</v>
      </c>
      <c r="AQ70">
        <v>824</v>
      </c>
      <c r="AR70">
        <v>0</v>
      </c>
      <c r="AT70" t="s">
        <v>1017</v>
      </c>
      <c r="AU70" t="s">
        <v>1535</v>
      </c>
    </row>
    <row r="71" spans="1:47" x14ac:dyDescent="0.2">
      <c r="A71" t="s">
        <v>1006</v>
      </c>
      <c r="B71" t="s">
        <v>1536</v>
      </c>
      <c r="C71" s="2"/>
      <c r="D71">
        <v>-1.0175000000000001</v>
      </c>
      <c r="E71">
        <v>217</v>
      </c>
      <c r="F71">
        <v>217</v>
      </c>
      <c r="G71">
        <v>4148</v>
      </c>
      <c r="H71">
        <v>186</v>
      </c>
      <c r="J71">
        <v>-0.06</v>
      </c>
      <c r="K71">
        <v>62</v>
      </c>
      <c r="L71">
        <v>62</v>
      </c>
      <c r="M71">
        <v>1736</v>
      </c>
      <c r="N71">
        <v>0</v>
      </c>
      <c r="P71">
        <v>-0.42249999999999999</v>
      </c>
      <c r="Q71">
        <v>0</v>
      </c>
      <c r="R71">
        <v>0</v>
      </c>
      <c r="S71">
        <v>124</v>
      </c>
      <c r="T71">
        <v>0</v>
      </c>
      <c r="V71">
        <v>0.20250000000000001</v>
      </c>
      <c r="W71">
        <v>0</v>
      </c>
      <c r="X71">
        <v>0</v>
      </c>
      <c r="Y71">
        <v>0</v>
      </c>
      <c r="Z71">
        <v>0</v>
      </c>
      <c r="AB71">
        <v>-0.16</v>
      </c>
      <c r="AC71">
        <v>0</v>
      </c>
      <c r="AD71">
        <v>0</v>
      </c>
      <c r="AE71">
        <v>658</v>
      </c>
      <c r="AF71">
        <v>0</v>
      </c>
      <c r="AH71">
        <v>-0.59</v>
      </c>
      <c r="AI71">
        <v>0</v>
      </c>
      <c r="AJ71">
        <v>0</v>
      </c>
      <c r="AK71">
        <v>0</v>
      </c>
      <c r="AL71">
        <v>0</v>
      </c>
      <c r="AN71">
        <v>-0.13500000000000001</v>
      </c>
      <c r="AO71">
        <v>0</v>
      </c>
      <c r="AP71">
        <v>0</v>
      </c>
      <c r="AQ71">
        <v>651</v>
      </c>
      <c r="AR71">
        <v>0</v>
      </c>
      <c r="AT71" t="s">
        <v>1006</v>
      </c>
      <c r="AU71" t="s">
        <v>1536</v>
      </c>
    </row>
    <row r="72" spans="1:47" x14ac:dyDescent="0.2">
      <c r="A72" t="s">
        <v>1007</v>
      </c>
      <c r="B72" t="s">
        <v>1536</v>
      </c>
      <c r="C72" s="2"/>
      <c r="D72">
        <v>-1.0024999999999999</v>
      </c>
      <c r="E72">
        <v>196</v>
      </c>
      <c r="F72">
        <v>196</v>
      </c>
      <c r="G72">
        <v>3752</v>
      </c>
      <c r="H72">
        <v>168</v>
      </c>
      <c r="J72">
        <v>-5.7500000000000002E-2</v>
      </c>
      <c r="K72">
        <v>56</v>
      </c>
      <c r="L72">
        <v>56</v>
      </c>
      <c r="M72">
        <v>1568</v>
      </c>
      <c r="N72">
        <v>0</v>
      </c>
      <c r="P72">
        <v>-0.435</v>
      </c>
      <c r="Q72">
        <v>0</v>
      </c>
      <c r="R72">
        <v>0</v>
      </c>
      <c r="S72">
        <v>112</v>
      </c>
      <c r="T72">
        <v>0</v>
      </c>
      <c r="V72">
        <v>0.17</v>
      </c>
      <c r="W72">
        <v>0</v>
      </c>
      <c r="X72">
        <v>0</v>
      </c>
      <c r="Y72">
        <v>0</v>
      </c>
      <c r="Z72">
        <v>0</v>
      </c>
      <c r="AB72">
        <v>-0.1825</v>
      </c>
      <c r="AC72">
        <v>0</v>
      </c>
      <c r="AD72">
        <v>0</v>
      </c>
      <c r="AE72">
        <v>598</v>
      </c>
      <c r="AF72">
        <v>0</v>
      </c>
      <c r="AH72">
        <v>-0.6</v>
      </c>
      <c r="AI72">
        <v>0</v>
      </c>
      <c r="AJ72">
        <v>0</v>
      </c>
      <c r="AK72">
        <v>0</v>
      </c>
      <c r="AL72">
        <v>0</v>
      </c>
      <c r="AN72">
        <v>-0.13750000000000001</v>
      </c>
      <c r="AO72">
        <v>0</v>
      </c>
      <c r="AP72">
        <v>0</v>
      </c>
      <c r="AQ72">
        <v>588</v>
      </c>
      <c r="AR72">
        <v>0</v>
      </c>
      <c r="AT72" t="s">
        <v>1007</v>
      </c>
      <c r="AU72" t="s">
        <v>1536</v>
      </c>
    </row>
    <row r="73" spans="1:47" x14ac:dyDescent="0.2">
      <c r="A73" t="s">
        <v>1008</v>
      </c>
      <c r="B73" t="s">
        <v>1536</v>
      </c>
      <c r="C73" s="2"/>
      <c r="D73">
        <v>-0.98499999999999999</v>
      </c>
      <c r="E73">
        <v>217</v>
      </c>
      <c r="F73">
        <v>217</v>
      </c>
      <c r="G73">
        <v>4148</v>
      </c>
      <c r="H73">
        <v>186</v>
      </c>
      <c r="J73">
        <v>-0.1525</v>
      </c>
      <c r="K73">
        <v>62</v>
      </c>
      <c r="L73">
        <v>62</v>
      </c>
      <c r="M73">
        <v>1736</v>
      </c>
      <c r="N73">
        <v>0</v>
      </c>
      <c r="P73">
        <v>-0.45750000000000002</v>
      </c>
      <c r="Q73">
        <v>0</v>
      </c>
      <c r="R73">
        <v>0</v>
      </c>
      <c r="S73">
        <v>124</v>
      </c>
      <c r="T73">
        <v>0</v>
      </c>
      <c r="V73">
        <v>0.23</v>
      </c>
      <c r="W73">
        <v>0</v>
      </c>
      <c r="X73">
        <v>0</v>
      </c>
      <c r="Y73">
        <v>0</v>
      </c>
      <c r="Z73">
        <v>0</v>
      </c>
      <c r="AB73">
        <v>-0.245</v>
      </c>
      <c r="AC73">
        <v>0</v>
      </c>
      <c r="AD73">
        <v>0</v>
      </c>
      <c r="AE73">
        <v>658</v>
      </c>
      <c r="AF73">
        <v>0</v>
      </c>
      <c r="AH73">
        <v>-0.63</v>
      </c>
      <c r="AI73">
        <v>0</v>
      </c>
      <c r="AJ73">
        <v>0</v>
      </c>
      <c r="AK73">
        <v>0</v>
      </c>
      <c r="AL73">
        <v>0</v>
      </c>
      <c r="AN73">
        <v>-0.1275</v>
      </c>
      <c r="AO73">
        <v>0</v>
      </c>
      <c r="AP73">
        <v>0</v>
      </c>
      <c r="AQ73">
        <v>651</v>
      </c>
      <c r="AR73">
        <v>0</v>
      </c>
      <c r="AT73" t="s">
        <v>1008</v>
      </c>
      <c r="AU73" t="s">
        <v>1536</v>
      </c>
    </row>
    <row r="74" spans="1:47" x14ac:dyDescent="0.2">
      <c r="A74" t="s">
        <v>1009</v>
      </c>
      <c r="B74" t="s">
        <v>1536</v>
      </c>
      <c r="C74" s="2"/>
      <c r="D74">
        <v>-0.99250000000000005</v>
      </c>
      <c r="E74">
        <v>210</v>
      </c>
      <c r="F74">
        <v>210</v>
      </c>
      <c r="G74">
        <v>3416</v>
      </c>
      <c r="H74">
        <v>120</v>
      </c>
      <c r="J74">
        <v>-0.26500000000000001</v>
      </c>
      <c r="K74">
        <v>90</v>
      </c>
      <c r="L74">
        <v>60</v>
      </c>
      <c r="M74">
        <v>1800</v>
      </c>
      <c r="N74">
        <v>30</v>
      </c>
      <c r="P74">
        <v>-0.71</v>
      </c>
      <c r="Q74">
        <v>0</v>
      </c>
      <c r="R74">
        <v>0</v>
      </c>
      <c r="S74">
        <v>210</v>
      </c>
      <c r="T74">
        <v>0</v>
      </c>
      <c r="V74">
        <v>0.34</v>
      </c>
      <c r="W74">
        <v>0</v>
      </c>
      <c r="X74">
        <v>0</v>
      </c>
      <c r="Y74">
        <v>0</v>
      </c>
      <c r="Z74">
        <v>0</v>
      </c>
      <c r="AB74">
        <v>-0.4375</v>
      </c>
      <c r="AC74">
        <v>0</v>
      </c>
      <c r="AD74">
        <v>0</v>
      </c>
      <c r="AE74">
        <v>638</v>
      </c>
      <c r="AF74">
        <v>0</v>
      </c>
      <c r="AH74">
        <v>-0.53500000000000003</v>
      </c>
      <c r="AI74">
        <v>0</v>
      </c>
      <c r="AJ74">
        <v>0</v>
      </c>
      <c r="AK74">
        <v>240</v>
      </c>
      <c r="AL74">
        <v>0</v>
      </c>
      <c r="AN74">
        <v>-8.2500000000000004E-2</v>
      </c>
      <c r="AO74">
        <v>0</v>
      </c>
      <c r="AP74">
        <v>0</v>
      </c>
      <c r="AQ74">
        <v>660</v>
      </c>
      <c r="AR74">
        <v>0</v>
      </c>
      <c r="AT74" t="s">
        <v>1009</v>
      </c>
      <c r="AU74" t="s">
        <v>1536</v>
      </c>
    </row>
    <row r="75" spans="1:47" x14ac:dyDescent="0.2">
      <c r="A75" t="s">
        <v>1010</v>
      </c>
      <c r="B75" t="s">
        <v>1536</v>
      </c>
      <c r="C75" s="2"/>
      <c r="D75">
        <v>-1.0024999999999999</v>
      </c>
      <c r="E75">
        <v>217</v>
      </c>
      <c r="F75">
        <v>217</v>
      </c>
      <c r="G75">
        <v>3528</v>
      </c>
      <c r="H75">
        <v>124</v>
      </c>
      <c r="J75">
        <v>-0.38500000000000001</v>
      </c>
      <c r="K75">
        <v>93</v>
      </c>
      <c r="L75">
        <v>62</v>
      </c>
      <c r="M75">
        <v>1860</v>
      </c>
      <c r="N75">
        <v>31</v>
      </c>
      <c r="P75">
        <v>-0.71250000000000002</v>
      </c>
      <c r="Q75">
        <v>0</v>
      </c>
      <c r="R75">
        <v>0</v>
      </c>
      <c r="S75">
        <v>217</v>
      </c>
      <c r="T75">
        <v>0</v>
      </c>
      <c r="V75">
        <v>0.34499999999999997</v>
      </c>
      <c r="W75">
        <v>0</v>
      </c>
      <c r="X75">
        <v>0</v>
      </c>
      <c r="Y75">
        <v>0</v>
      </c>
      <c r="Z75">
        <v>0</v>
      </c>
      <c r="AB75">
        <v>-0.43</v>
      </c>
      <c r="AC75">
        <v>0</v>
      </c>
      <c r="AD75">
        <v>0</v>
      </c>
      <c r="AE75">
        <v>658</v>
      </c>
      <c r="AF75">
        <v>0</v>
      </c>
      <c r="AH75">
        <v>-0.54249999999999998</v>
      </c>
      <c r="AI75">
        <v>0</v>
      </c>
      <c r="AJ75">
        <v>0</v>
      </c>
      <c r="AK75">
        <v>248</v>
      </c>
      <c r="AL75">
        <v>0</v>
      </c>
      <c r="AN75">
        <v>-0.105</v>
      </c>
      <c r="AO75">
        <v>0</v>
      </c>
      <c r="AP75">
        <v>0</v>
      </c>
      <c r="AQ75">
        <v>682</v>
      </c>
      <c r="AR75">
        <v>0</v>
      </c>
      <c r="AT75" t="s">
        <v>1010</v>
      </c>
      <c r="AU75" t="s">
        <v>1536</v>
      </c>
    </row>
    <row r="76" spans="1:47" x14ac:dyDescent="0.2">
      <c r="A76" t="s">
        <v>1011</v>
      </c>
      <c r="B76" t="s">
        <v>1536</v>
      </c>
      <c r="C76" s="2"/>
      <c r="D76">
        <v>-1.01</v>
      </c>
      <c r="E76">
        <v>210</v>
      </c>
      <c r="F76">
        <v>210</v>
      </c>
      <c r="G76">
        <v>3416</v>
      </c>
      <c r="H76">
        <v>120</v>
      </c>
      <c r="J76">
        <v>-0.4</v>
      </c>
      <c r="K76">
        <v>90</v>
      </c>
      <c r="L76">
        <v>60</v>
      </c>
      <c r="M76">
        <v>1800</v>
      </c>
      <c r="N76">
        <v>30</v>
      </c>
      <c r="P76">
        <v>-0.71250000000000002</v>
      </c>
      <c r="Q76">
        <v>0</v>
      </c>
      <c r="R76">
        <v>0</v>
      </c>
      <c r="S76">
        <v>210</v>
      </c>
      <c r="T76">
        <v>0</v>
      </c>
      <c r="V76">
        <v>0.3125</v>
      </c>
      <c r="W76">
        <v>0</v>
      </c>
      <c r="X76">
        <v>0</v>
      </c>
      <c r="Y76">
        <v>0</v>
      </c>
      <c r="Z76">
        <v>0</v>
      </c>
      <c r="AB76">
        <v>-0.42249999999999999</v>
      </c>
      <c r="AC76">
        <v>0</v>
      </c>
      <c r="AD76">
        <v>0</v>
      </c>
      <c r="AE76">
        <v>638</v>
      </c>
      <c r="AF76">
        <v>0</v>
      </c>
      <c r="AH76">
        <v>-0.53249999999999997</v>
      </c>
      <c r="AI76">
        <v>0</v>
      </c>
      <c r="AJ76">
        <v>0</v>
      </c>
      <c r="AK76">
        <v>240</v>
      </c>
      <c r="AL76">
        <v>0</v>
      </c>
      <c r="AN76">
        <v>-0.1</v>
      </c>
      <c r="AO76">
        <v>0</v>
      </c>
      <c r="AP76">
        <v>0</v>
      </c>
      <c r="AQ76">
        <v>660</v>
      </c>
      <c r="AR76">
        <v>0</v>
      </c>
      <c r="AT76" t="s">
        <v>1011</v>
      </c>
      <c r="AU76" t="s">
        <v>1536</v>
      </c>
    </row>
    <row r="77" spans="1:47" x14ac:dyDescent="0.2">
      <c r="A77" t="s">
        <v>1012</v>
      </c>
      <c r="B77" t="s">
        <v>1536</v>
      </c>
      <c r="C77" s="2"/>
      <c r="D77">
        <v>-1.0225</v>
      </c>
      <c r="E77">
        <v>217</v>
      </c>
      <c r="F77">
        <v>217</v>
      </c>
      <c r="G77">
        <v>3528</v>
      </c>
      <c r="H77">
        <v>124</v>
      </c>
      <c r="J77">
        <v>-0.36749999999999999</v>
      </c>
      <c r="K77">
        <v>93</v>
      </c>
      <c r="L77">
        <v>62</v>
      </c>
      <c r="M77">
        <v>1860</v>
      </c>
      <c r="N77">
        <v>31</v>
      </c>
      <c r="P77">
        <v>-0.62</v>
      </c>
      <c r="Q77">
        <v>0</v>
      </c>
      <c r="R77">
        <v>0</v>
      </c>
      <c r="S77">
        <v>217</v>
      </c>
      <c r="T77">
        <v>0</v>
      </c>
      <c r="V77">
        <v>0.4375</v>
      </c>
      <c r="W77">
        <v>0</v>
      </c>
      <c r="X77">
        <v>0</v>
      </c>
      <c r="Y77">
        <v>0</v>
      </c>
      <c r="Z77">
        <v>0</v>
      </c>
      <c r="AB77">
        <v>-0.28749999999999998</v>
      </c>
      <c r="AC77">
        <v>0</v>
      </c>
      <c r="AD77">
        <v>0</v>
      </c>
      <c r="AE77">
        <v>658</v>
      </c>
      <c r="AF77">
        <v>0</v>
      </c>
      <c r="AH77">
        <v>-0.4975</v>
      </c>
      <c r="AI77">
        <v>0</v>
      </c>
      <c r="AJ77">
        <v>0</v>
      </c>
      <c r="AK77">
        <v>248</v>
      </c>
      <c r="AL77">
        <v>0</v>
      </c>
      <c r="AN77">
        <v>-8.5000000000000006E-2</v>
      </c>
      <c r="AO77">
        <v>0</v>
      </c>
      <c r="AP77">
        <v>0</v>
      </c>
      <c r="AQ77">
        <v>682</v>
      </c>
      <c r="AR77">
        <v>0</v>
      </c>
      <c r="AT77" t="s">
        <v>1012</v>
      </c>
      <c r="AU77" t="s">
        <v>1536</v>
      </c>
    </row>
    <row r="78" spans="1:47" x14ac:dyDescent="0.2">
      <c r="A78" t="s">
        <v>1013</v>
      </c>
      <c r="B78" t="s">
        <v>1536</v>
      </c>
      <c r="C78" s="2"/>
      <c r="D78">
        <v>-1.0225</v>
      </c>
      <c r="E78">
        <v>217</v>
      </c>
      <c r="F78">
        <v>217</v>
      </c>
      <c r="G78">
        <v>3528</v>
      </c>
      <c r="H78">
        <v>124</v>
      </c>
      <c r="J78">
        <v>-0.36749999999999999</v>
      </c>
      <c r="K78">
        <v>93</v>
      </c>
      <c r="L78">
        <v>62</v>
      </c>
      <c r="M78">
        <v>1860</v>
      </c>
      <c r="N78">
        <v>31</v>
      </c>
      <c r="P78">
        <v>-0.61750000000000005</v>
      </c>
      <c r="Q78">
        <v>0</v>
      </c>
      <c r="R78">
        <v>0</v>
      </c>
      <c r="S78">
        <v>217</v>
      </c>
      <c r="T78">
        <v>0</v>
      </c>
      <c r="V78">
        <v>0.47499999999999998</v>
      </c>
      <c r="W78">
        <v>0</v>
      </c>
      <c r="X78">
        <v>0</v>
      </c>
      <c r="Y78">
        <v>0</v>
      </c>
      <c r="Z78">
        <v>0</v>
      </c>
      <c r="AB78">
        <v>-0.27250000000000002</v>
      </c>
      <c r="AC78">
        <v>0</v>
      </c>
      <c r="AD78">
        <v>0</v>
      </c>
      <c r="AE78">
        <v>658</v>
      </c>
      <c r="AF78">
        <v>0</v>
      </c>
      <c r="AH78">
        <v>-0.47</v>
      </c>
      <c r="AI78">
        <v>0</v>
      </c>
      <c r="AJ78">
        <v>0</v>
      </c>
      <c r="AK78">
        <v>248</v>
      </c>
      <c r="AL78">
        <v>0</v>
      </c>
      <c r="AN78">
        <v>-8.5000000000000006E-2</v>
      </c>
      <c r="AO78">
        <v>0</v>
      </c>
      <c r="AP78">
        <v>0</v>
      </c>
      <c r="AQ78">
        <v>682</v>
      </c>
      <c r="AR78">
        <v>0</v>
      </c>
      <c r="AT78" t="s">
        <v>1013</v>
      </c>
      <c r="AU78" t="s">
        <v>1536</v>
      </c>
    </row>
    <row r="79" spans="1:47" x14ac:dyDescent="0.2">
      <c r="A79" t="s">
        <v>1014</v>
      </c>
      <c r="B79" t="s">
        <v>1536</v>
      </c>
      <c r="C79" s="2"/>
      <c r="D79">
        <v>-1.0125</v>
      </c>
      <c r="E79">
        <v>210</v>
      </c>
      <c r="F79">
        <v>210</v>
      </c>
      <c r="G79">
        <v>3416</v>
      </c>
      <c r="H79">
        <v>120</v>
      </c>
      <c r="J79">
        <v>-0.36749999999999999</v>
      </c>
      <c r="K79">
        <v>90</v>
      </c>
      <c r="L79">
        <v>60</v>
      </c>
      <c r="M79">
        <v>1800</v>
      </c>
      <c r="N79">
        <v>30</v>
      </c>
      <c r="P79">
        <v>-0.63</v>
      </c>
      <c r="Q79">
        <v>0</v>
      </c>
      <c r="R79">
        <v>0</v>
      </c>
      <c r="S79">
        <v>210</v>
      </c>
      <c r="T79">
        <v>0</v>
      </c>
      <c r="V79">
        <v>0.45500000000000002</v>
      </c>
      <c r="W79">
        <v>0</v>
      </c>
      <c r="X79">
        <v>0</v>
      </c>
      <c r="Y79">
        <v>0</v>
      </c>
      <c r="Z79">
        <v>0</v>
      </c>
      <c r="AB79">
        <v>-0.37</v>
      </c>
      <c r="AC79">
        <v>0</v>
      </c>
      <c r="AD79">
        <v>0</v>
      </c>
      <c r="AE79">
        <v>638</v>
      </c>
      <c r="AF79">
        <v>0</v>
      </c>
      <c r="AH79">
        <v>-0.48499999999999999</v>
      </c>
      <c r="AI79">
        <v>0</v>
      </c>
      <c r="AJ79">
        <v>0</v>
      </c>
      <c r="AK79">
        <v>240</v>
      </c>
      <c r="AL79">
        <v>0</v>
      </c>
      <c r="AN79">
        <v>-7.2499999999999995E-2</v>
      </c>
      <c r="AO79">
        <v>0</v>
      </c>
      <c r="AP79">
        <v>0</v>
      </c>
      <c r="AQ79">
        <v>660</v>
      </c>
      <c r="AR79">
        <v>0</v>
      </c>
      <c r="AT79" t="s">
        <v>1014</v>
      </c>
      <c r="AU79" t="s">
        <v>1536</v>
      </c>
    </row>
    <row r="80" spans="1:47" x14ac:dyDescent="0.2">
      <c r="A80" t="s">
        <v>1015</v>
      </c>
      <c r="B80" t="s">
        <v>1536</v>
      </c>
      <c r="C80" s="2"/>
      <c r="D80">
        <v>-1.0024999999999999</v>
      </c>
      <c r="E80">
        <v>217</v>
      </c>
      <c r="F80">
        <v>217</v>
      </c>
      <c r="G80">
        <v>3528</v>
      </c>
      <c r="H80">
        <v>124</v>
      </c>
      <c r="J80">
        <v>-0.3725</v>
      </c>
      <c r="K80">
        <v>93</v>
      </c>
      <c r="L80">
        <v>62</v>
      </c>
      <c r="M80">
        <v>1860</v>
      </c>
      <c r="N80">
        <v>31</v>
      </c>
      <c r="P80">
        <v>-0.67500000000000004</v>
      </c>
      <c r="Q80">
        <v>0</v>
      </c>
      <c r="R80">
        <v>0</v>
      </c>
      <c r="S80">
        <v>217</v>
      </c>
      <c r="T80">
        <v>0</v>
      </c>
      <c r="V80">
        <v>0.4</v>
      </c>
      <c r="W80">
        <v>0</v>
      </c>
      <c r="X80">
        <v>0</v>
      </c>
      <c r="Y80">
        <v>0</v>
      </c>
      <c r="Z80">
        <v>0</v>
      </c>
      <c r="AB80">
        <v>-0.42749999999999999</v>
      </c>
      <c r="AC80">
        <v>0</v>
      </c>
      <c r="AD80">
        <v>0</v>
      </c>
      <c r="AE80">
        <v>658</v>
      </c>
      <c r="AF80">
        <v>0</v>
      </c>
      <c r="AH80">
        <v>-0.50249999999999995</v>
      </c>
      <c r="AI80">
        <v>0</v>
      </c>
      <c r="AJ80">
        <v>0</v>
      </c>
      <c r="AK80">
        <v>248</v>
      </c>
      <c r="AL80">
        <v>0</v>
      </c>
      <c r="AN80">
        <v>-6.25E-2</v>
      </c>
      <c r="AO80">
        <v>0</v>
      </c>
      <c r="AP80">
        <v>0</v>
      </c>
      <c r="AQ80">
        <v>682</v>
      </c>
      <c r="AR80">
        <v>0</v>
      </c>
      <c r="AT80" t="s">
        <v>1015</v>
      </c>
      <c r="AU80" t="s">
        <v>1536</v>
      </c>
    </row>
    <row r="81" spans="1:47" x14ac:dyDescent="0.2">
      <c r="A81" t="s">
        <v>1016</v>
      </c>
      <c r="B81" t="s">
        <v>1536</v>
      </c>
      <c r="C81" s="2"/>
      <c r="D81">
        <v>-0.96499999999999997</v>
      </c>
      <c r="E81">
        <v>210</v>
      </c>
      <c r="F81">
        <v>210</v>
      </c>
      <c r="G81">
        <v>2456</v>
      </c>
      <c r="H81">
        <v>90</v>
      </c>
      <c r="J81">
        <v>-0.14499999999999999</v>
      </c>
      <c r="K81">
        <v>0</v>
      </c>
      <c r="L81">
        <v>0</v>
      </c>
      <c r="M81">
        <v>1320</v>
      </c>
      <c r="N81">
        <v>0</v>
      </c>
      <c r="P81">
        <v>-0.45750000000000002</v>
      </c>
      <c r="Q81">
        <v>0</v>
      </c>
      <c r="R81">
        <v>0</v>
      </c>
      <c r="S81">
        <v>60</v>
      </c>
      <c r="T81">
        <v>0</v>
      </c>
      <c r="V81">
        <v>0.27250000000000002</v>
      </c>
      <c r="W81">
        <v>0</v>
      </c>
      <c r="X81">
        <v>0</v>
      </c>
      <c r="Y81">
        <v>0</v>
      </c>
      <c r="Z81">
        <v>0</v>
      </c>
      <c r="AB81">
        <v>-0.22</v>
      </c>
      <c r="AC81">
        <v>0</v>
      </c>
      <c r="AD81">
        <v>0</v>
      </c>
      <c r="AE81">
        <v>638</v>
      </c>
      <c r="AF81">
        <v>0</v>
      </c>
      <c r="AH81">
        <v>-0.56999999999999995</v>
      </c>
      <c r="AI81">
        <v>0</v>
      </c>
      <c r="AJ81">
        <v>0</v>
      </c>
      <c r="AK81">
        <v>240</v>
      </c>
      <c r="AL81">
        <v>0</v>
      </c>
      <c r="AN81">
        <v>-0.10249999999999999</v>
      </c>
      <c r="AO81">
        <v>0</v>
      </c>
      <c r="AP81">
        <v>0</v>
      </c>
      <c r="AQ81">
        <v>630</v>
      </c>
      <c r="AR81">
        <v>0</v>
      </c>
      <c r="AT81" t="s">
        <v>1016</v>
      </c>
      <c r="AU81" t="s">
        <v>1536</v>
      </c>
    </row>
    <row r="82" spans="1:47" x14ac:dyDescent="0.2">
      <c r="A82" t="s">
        <v>1017</v>
      </c>
      <c r="B82" t="s">
        <v>1536</v>
      </c>
      <c r="C82" s="2"/>
      <c r="D82">
        <v>-0.96499999999999997</v>
      </c>
      <c r="E82">
        <v>217</v>
      </c>
      <c r="F82">
        <v>217</v>
      </c>
      <c r="G82">
        <v>2536</v>
      </c>
      <c r="H82">
        <v>93</v>
      </c>
      <c r="J82">
        <v>-9.2499999999999999E-2</v>
      </c>
      <c r="K82">
        <v>0</v>
      </c>
      <c r="L82">
        <v>0</v>
      </c>
      <c r="M82">
        <v>1364</v>
      </c>
      <c r="N82">
        <v>0</v>
      </c>
      <c r="P82">
        <v>-0.38750000000000001</v>
      </c>
      <c r="Q82">
        <v>0</v>
      </c>
      <c r="R82">
        <v>0</v>
      </c>
      <c r="S82">
        <v>62</v>
      </c>
      <c r="T82">
        <v>0</v>
      </c>
      <c r="V82">
        <v>0.26750000000000002</v>
      </c>
      <c r="W82">
        <v>0</v>
      </c>
      <c r="X82">
        <v>0</v>
      </c>
      <c r="Y82">
        <v>0</v>
      </c>
      <c r="Z82">
        <v>0</v>
      </c>
      <c r="AB82">
        <v>-8.7499999999999994E-2</v>
      </c>
      <c r="AC82">
        <v>0</v>
      </c>
      <c r="AD82">
        <v>0</v>
      </c>
      <c r="AE82">
        <v>658</v>
      </c>
      <c r="AF82">
        <v>0</v>
      </c>
      <c r="AH82">
        <v>-0.54500000000000004</v>
      </c>
      <c r="AI82">
        <v>0</v>
      </c>
      <c r="AJ82">
        <v>0</v>
      </c>
      <c r="AK82">
        <v>248</v>
      </c>
      <c r="AL82">
        <v>0</v>
      </c>
      <c r="AN82">
        <v>-0.1075</v>
      </c>
      <c r="AO82">
        <v>0</v>
      </c>
      <c r="AP82">
        <v>0</v>
      </c>
      <c r="AQ82">
        <v>651</v>
      </c>
      <c r="AR82">
        <v>0</v>
      </c>
      <c r="AT82" t="s">
        <v>1017</v>
      </c>
      <c r="AU82" t="s">
        <v>1536</v>
      </c>
    </row>
    <row r="83" spans="1:47" x14ac:dyDescent="0.2">
      <c r="A83" t="s">
        <v>1006</v>
      </c>
      <c r="B83" t="s">
        <v>1537</v>
      </c>
      <c r="C83" s="2"/>
      <c r="D83">
        <v>-1.0175000000000001</v>
      </c>
      <c r="E83">
        <v>217</v>
      </c>
      <c r="F83">
        <v>217</v>
      </c>
      <c r="G83">
        <v>1978</v>
      </c>
      <c r="H83">
        <v>155</v>
      </c>
      <c r="J83">
        <v>-4.2500000000000003E-2</v>
      </c>
      <c r="K83">
        <v>0</v>
      </c>
      <c r="L83">
        <v>0</v>
      </c>
      <c r="M83">
        <v>1178</v>
      </c>
      <c r="N83">
        <v>0</v>
      </c>
      <c r="P83">
        <v>-0.41</v>
      </c>
      <c r="Q83">
        <v>0</v>
      </c>
      <c r="R83">
        <v>0</v>
      </c>
      <c r="S83">
        <v>0</v>
      </c>
      <c r="T83">
        <v>0</v>
      </c>
      <c r="V83">
        <v>0.23749999999999999</v>
      </c>
      <c r="W83">
        <v>0</v>
      </c>
      <c r="X83">
        <v>0</v>
      </c>
      <c r="Y83">
        <v>0</v>
      </c>
      <c r="Z83">
        <v>0</v>
      </c>
      <c r="AB83">
        <v>-0.14499999999999999</v>
      </c>
      <c r="AC83">
        <v>0</v>
      </c>
      <c r="AD83">
        <v>0</v>
      </c>
      <c r="AE83">
        <v>689</v>
      </c>
      <c r="AF83">
        <v>0</v>
      </c>
      <c r="AH83">
        <v>-0.57499999999999996</v>
      </c>
      <c r="AI83">
        <v>0</v>
      </c>
      <c r="AJ83">
        <v>0</v>
      </c>
      <c r="AK83">
        <v>248</v>
      </c>
      <c r="AL83">
        <v>0</v>
      </c>
      <c r="AN83">
        <v>-0.13250000000000001</v>
      </c>
      <c r="AO83">
        <v>0</v>
      </c>
      <c r="AP83">
        <v>0</v>
      </c>
      <c r="AQ83">
        <v>17</v>
      </c>
      <c r="AR83">
        <v>0</v>
      </c>
      <c r="AT83" t="s">
        <v>1006</v>
      </c>
      <c r="AU83" t="s">
        <v>1537</v>
      </c>
    </row>
    <row r="84" spans="1:47" x14ac:dyDescent="0.2">
      <c r="A84" t="s">
        <v>1007</v>
      </c>
      <c r="B84" t="s">
        <v>1537</v>
      </c>
      <c r="C84" s="2"/>
      <c r="D84">
        <v>-0.98750000000000004</v>
      </c>
      <c r="E84">
        <v>203</v>
      </c>
      <c r="F84">
        <v>203</v>
      </c>
      <c r="G84">
        <v>1854</v>
      </c>
      <c r="H84">
        <v>145</v>
      </c>
      <c r="J84">
        <v>-0.04</v>
      </c>
      <c r="K84">
        <v>0</v>
      </c>
      <c r="L84">
        <v>0</v>
      </c>
      <c r="M84">
        <v>1102</v>
      </c>
      <c r="N84">
        <v>0</v>
      </c>
      <c r="P84">
        <v>-0.42</v>
      </c>
      <c r="Q84">
        <v>0</v>
      </c>
      <c r="R84">
        <v>0</v>
      </c>
      <c r="S84">
        <v>0</v>
      </c>
      <c r="T84">
        <v>0</v>
      </c>
      <c r="V84">
        <v>0.19750000000000001</v>
      </c>
      <c r="W84">
        <v>0</v>
      </c>
      <c r="X84">
        <v>0</v>
      </c>
      <c r="Y84">
        <v>0</v>
      </c>
      <c r="Z84">
        <v>0</v>
      </c>
      <c r="AB84">
        <v>-0.16500000000000001</v>
      </c>
      <c r="AC84">
        <v>0</v>
      </c>
      <c r="AD84">
        <v>0</v>
      </c>
      <c r="AE84">
        <v>647</v>
      </c>
      <c r="AF84">
        <v>0</v>
      </c>
      <c r="AH84">
        <v>-0.58250000000000002</v>
      </c>
      <c r="AI84">
        <v>0</v>
      </c>
      <c r="AJ84">
        <v>0</v>
      </c>
      <c r="AK84">
        <v>232</v>
      </c>
      <c r="AL84">
        <v>0</v>
      </c>
      <c r="AN84">
        <v>-0.13250000000000001</v>
      </c>
      <c r="AO84">
        <v>0</v>
      </c>
      <c r="AP84">
        <v>0</v>
      </c>
      <c r="AQ84">
        <v>16</v>
      </c>
      <c r="AR84">
        <v>0</v>
      </c>
      <c r="AT84" t="s">
        <v>1007</v>
      </c>
      <c r="AU84" t="s">
        <v>1537</v>
      </c>
    </row>
    <row r="85" spans="1:47" x14ac:dyDescent="0.2">
      <c r="A85" t="s">
        <v>1008</v>
      </c>
      <c r="B85" t="s">
        <v>1537</v>
      </c>
      <c r="C85" s="2"/>
      <c r="D85">
        <v>-0.98499999999999999</v>
      </c>
      <c r="E85">
        <v>217</v>
      </c>
      <c r="F85">
        <v>217</v>
      </c>
      <c r="G85">
        <v>1978</v>
      </c>
      <c r="H85">
        <v>155</v>
      </c>
      <c r="J85">
        <v>-0.1275</v>
      </c>
      <c r="K85">
        <v>0</v>
      </c>
      <c r="L85">
        <v>0</v>
      </c>
      <c r="M85">
        <v>1178</v>
      </c>
      <c r="N85">
        <v>0</v>
      </c>
      <c r="P85">
        <v>-0.44500000000000001</v>
      </c>
      <c r="Q85">
        <v>0</v>
      </c>
      <c r="R85">
        <v>0</v>
      </c>
      <c r="S85">
        <v>0</v>
      </c>
      <c r="T85">
        <v>0</v>
      </c>
      <c r="V85">
        <v>0.26750000000000002</v>
      </c>
      <c r="W85">
        <v>0</v>
      </c>
      <c r="X85">
        <v>0</v>
      </c>
      <c r="Y85">
        <v>0</v>
      </c>
      <c r="Z85">
        <v>0</v>
      </c>
      <c r="AB85">
        <v>-0.2225</v>
      </c>
      <c r="AC85">
        <v>0</v>
      </c>
      <c r="AD85">
        <v>0</v>
      </c>
      <c r="AE85">
        <v>689</v>
      </c>
      <c r="AF85">
        <v>0</v>
      </c>
      <c r="AH85">
        <v>-0.61</v>
      </c>
      <c r="AI85">
        <v>0</v>
      </c>
      <c r="AJ85">
        <v>0</v>
      </c>
      <c r="AK85">
        <v>248</v>
      </c>
      <c r="AL85">
        <v>0</v>
      </c>
      <c r="AN85">
        <v>-0.125</v>
      </c>
      <c r="AO85">
        <v>0</v>
      </c>
      <c r="AP85">
        <v>0</v>
      </c>
      <c r="AQ85">
        <v>17</v>
      </c>
      <c r="AR85">
        <v>0</v>
      </c>
      <c r="AT85" t="s">
        <v>1008</v>
      </c>
      <c r="AU85" t="s">
        <v>1537</v>
      </c>
    </row>
    <row r="86" spans="1:47" x14ac:dyDescent="0.2">
      <c r="A86" t="s">
        <v>1009</v>
      </c>
      <c r="B86" t="s">
        <v>1537</v>
      </c>
      <c r="C86" s="2"/>
      <c r="D86">
        <v>-0.97</v>
      </c>
      <c r="E86">
        <v>210</v>
      </c>
      <c r="F86">
        <v>210</v>
      </c>
      <c r="G86">
        <v>2246</v>
      </c>
      <c r="H86">
        <v>210</v>
      </c>
      <c r="J86">
        <v>-0.2475</v>
      </c>
      <c r="K86">
        <v>0</v>
      </c>
      <c r="L86">
        <v>0</v>
      </c>
      <c r="M86">
        <v>1560</v>
      </c>
      <c r="N86">
        <v>0</v>
      </c>
      <c r="P86">
        <v>-0.67749999999999999</v>
      </c>
      <c r="Q86">
        <v>0</v>
      </c>
      <c r="R86">
        <v>0</v>
      </c>
      <c r="S86">
        <v>0</v>
      </c>
      <c r="T86">
        <v>0</v>
      </c>
      <c r="V86">
        <v>0.3775</v>
      </c>
      <c r="W86">
        <v>0</v>
      </c>
      <c r="X86">
        <v>0</v>
      </c>
      <c r="Y86">
        <v>0</v>
      </c>
      <c r="Z86">
        <v>0</v>
      </c>
      <c r="AB86">
        <v>-0.42249999999999999</v>
      </c>
      <c r="AC86">
        <v>0</v>
      </c>
      <c r="AD86">
        <v>0</v>
      </c>
      <c r="AE86">
        <v>668</v>
      </c>
      <c r="AF86">
        <v>0</v>
      </c>
      <c r="AH86">
        <v>-0.54749999999999999</v>
      </c>
      <c r="AI86">
        <v>0</v>
      </c>
      <c r="AJ86">
        <v>0</v>
      </c>
      <c r="AK86">
        <v>0</v>
      </c>
      <c r="AL86">
        <v>0</v>
      </c>
      <c r="AN86">
        <v>-7.2499999999999995E-2</v>
      </c>
      <c r="AO86">
        <v>0</v>
      </c>
      <c r="AP86">
        <v>0</v>
      </c>
      <c r="AQ86">
        <v>17</v>
      </c>
      <c r="AR86">
        <v>0</v>
      </c>
      <c r="AT86" t="s">
        <v>1009</v>
      </c>
      <c r="AU86" t="s">
        <v>1537</v>
      </c>
    </row>
    <row r="87" spans="1:47" x14ac:dyDescent="0.2">
      <c r="A87" t="s">
        <v>1010</v>
      </c>
      <c r="B87" t="s">
        <v>1537</v>
      </c>
      <c r="C87" s="2"/>
      <c r="D87">
        <v>-0.98250000000000004</v>
      </c>
      <c r="E87">
        <v>217</v>
      </c>
      <c r="F87">
        <v>217</v>
      </c>
      <c r="G87">
        <v>2319</v>
      </c>
      <c r="H87">
        <v>217</v>
      </c>
      <c r="J87">
        <v>-0.36249999999999999</v>
      </c>
      <c r="K87">
        <v>0</v>
      </c>
      <c r="L87">
        <v>0</v>
      </c>
      <c r="M87">
        <v>1612</v>
      </c>
      <c r="N87">
        <v>0</v>
      </c>
      <c r="P87">
        <v>-0.67500000000000004</v>
      </c>
      <c r="Q87">
        <v>0</v>
      </c>
      <c r="R87">
        <v>0</v>
      </c>
      <c r="S87">
        <v>0</v>
      </c>
      <c r="T87">
        <v>0</v>
      </c>
      <c r="V87">
        <v>0.38250000000000001</v>
      </c>
      <c r="W87">
        <v>0</v>
      </c>
      <c r="X87">
        <v>0</v>
      </c>
      <c r="Y87">
        <v>0</v>
      </c>
      <c r="Z87">
        <v>0</v>
      </c>
      <c r="AB87">
        <v>-0.41249999999999998</v>
      </c>
      <c r="AC87">
        <v>0</v>
      </c>
      <c r="AD87">
        <v>0</v>
      </c>
      <c r="AE87">
        <v>689</v>
      </c>
      <c r="AF87">
        <v>0</v>
      </c>
      <c r="AH87">
        <v>-0.55500000000000005</v>
      </c>
      <c r="AI87">
        <v>0</v>
      </c>
      <c r="AJ87">
        <v>0</v>
      </c>
      <c r="AK87">
        <v>0</v>
      </c>
      <c r="AL87">
        <v>0</v>
      </c>
      <c r="AN87">
        <v>-8.7499999999999994E-2</v>
      </c>
      <c r="AO87">
        <v>0</v>
      </c>
      <c r="AP87">
        <v>0</v>
      </c>
      <c r="AQ87">
        <v>17</v>
      </c>
      <c r="AR87">
        <v>0</v>
      </c>
      <c r="AT87" t="s">
        <v>1010</v>
      </c>
      <c r="AU87" t="s">
        <v>1537</v>
      </c>
    </row>
    <row r="88" spans="1:47" x14ac:dyDescent="0.2">
      <c r="A88" t="s">
        <v>1011</v>
      </c>
      <c r="B88" t="s">
        <v>1537</v>
      </c>
      <c r="C88" s="2"/>
      <c r="D88">
        <v>-0.98499999999999999</v>
      </c>
      <c r="E88">
        <v>210</v>
      </c>
      <c r="F88">
        <v>210</v>
      </c>
      <c r="G88">
        <v>2246</v>
      </c>
      <c r="H88">
        <v>210</v>
      </c>
      <c r="J88">
        <v>-0.3775</v>
      </c>
      <c r="K88">
        <v>0</v>
      </c>
      <c r="L88">
        <v>0</v>
      </c>
      <c r="M88">
        <v>1560</v>
      </c>
      <c r="N88">
        <v>0</v>
      </c>
      <c r="P88">
        <v>-0.68</v>
      </c>
      <c r="Q88">
        <v>0</v>
      </c>
      <c r="R88">
        <v>0</v>
      </c>
      <c r="S88">
        <v>0</v>
      </c>
      <c r="T88">
        <v>0</v>
      </c>
      <c r="V88">
        <v>0.34499999999999997</v>
      </c>
      <c r="W88">
        <v>0</v>
      </c>
      <c r="X88">
        <v>0</v>
      </c>
      <c r="Y88">
        <v>0</v>
      </c>
      <c r="Z88">
        <v>0</v>
      </c>
      <c r="AB88">
        <v>-0.40749999999999997</v>
      </c>
      <c r="AC88">
        <v>0</v>
      </c>
      <c r="AD88">
        <v>0</v>
      </c>
      <c r="AE88">
        <v>668</v>
      </c>
      <c r="AF88">
        <v>0</v>
      </c>
      <c r="AH88">
        <v>-0.54500000000000004</v>
      </c>
      <c r="AI88">
        <v>0</v>
      </c>
      <c r="AJ88">
        <v>0</v>
      </c>
      <c r="AK88">
        <v>0</v>
      </c>
      <c r="AL88">
        <v>0</v>
      </c>
      <c r="AN88">
        <v>-8.5000000000000006E-2</v>
      </c>
      <c r="AO88">
        <v>0</v>
      </c>
      <c r="AP88">
        <v>0</v>
      </c>
      <c r="AQ88">
        <v>17</v>
      </c>
      <c r="AR88">
        <v>0</v>
      </c>
      <c r="AT88" t="s">
        <v>1011</v>
      </c>
      <c r="AU88" t="s">
        <v>1537</v>
      </c>
    </row>
    <row r="89" spans="1:47" x14ac:dyDescent="0.2">
      <c r="A89" t="s">
        <v>1012</v>
      </c>
      <c r="B89" t="s">
        <v>1537</v>
      </c>
      <c r="C89" s="2"/>
      <c r="D89">
        <v>-1</v>
      </c>
      <c r="E89">
        <v>217</v>
      </c>
      <c r="F89">
        <v>217</v>
      </c>
      <c r="G89">
        <v>2319</v>
      </c>
      <c r="H89">
        <v>217</v>
      </c>
      <c r="J89">
        <v>-0.34749999999999998</v>
      </c>
      <c r="K89">
        <v>0</v>
      </c>
      <c r="L89">
        <v>0</v>
      </c>
      <c r="M89">
        <v>1612</v>
      </c>
      <c r="N89">
        <v>0</v>
      </c>
      <c r="P89">
        <v>-0.58750000000000002</v>
      </c>
      <c r="Q89">
        <v>0</v>
      </c>
      <c r="R89">
        <v>0</v>
      </c>
      <c r="S89">
        <v>0</v>
      </c>
      <c r="T89">
        <v>0</v>
      </c>
      <c r="V89">
        <v>0.48499999999999999</v>
      </c>
      <c r="W89">
        <v>0</v>
      </c>
      <c r="X89">
        <v>0</v>
      </c>
      <c r="Y89">
        <v>0</v>
      </c>
      <c r="Z89">
        <v>0</v>
      </c>
      <c r="AB89">
        <v>-0.27500000000000002</v>
      </c>
      <c r="AC89">
        <v>0</v>
      </c>
      <c r="AD89">
        <v>0</v>
      </c>
      <c r="AE89">
        <v>657</v>
      </c>
      <c r="AF89">
        <v>0</v>
      </c>
      <c r="AH89">
        <v>-0.51</v>
      </c>
      <c r="AI89">
        <v>0</v>
      </c>
      <c r="AJ89">
        <v>0</v>
      </c>
      <c r="AK89">
        <v>0</v>
      </c>
      <c r="AL89">
        <v>0</v>
      </c>
      <c r="AN89">
        <v>-7.2499999999999995E-2</v>
      </c>
      <c r="AO89">
        <v>0</v>
      </c>
      <c r="AP89">
        <v>0</v>
      </c>
      <c r="AQ89">
        <v>17</v>
      </c>
      <c r="AR89">
        <v>0</v>
      </c>
      <c r="AT89" t="s">
        <v>1012</v>
      </c>
      <c r="AU89" t="s">
        <v>1537</v>
      </c>
    </row>
    <row r="90" spans="1:47" x14ac:dyDescent="0.2">
      <c r="A90" t="s">
        <v>1013</v>
      </c>
      <c r="B90" t="s">
        <v>1537</v>
      </c>
      <c r="C90" s="2"/>
      <c r="D90">
        <v>-1.0024999999999999</v>
      </c>
      <c r="E90">
        <v>217</v>
      </c>
      <c r="F90">
        <v>217</v>
      </c>
      <c r="G90">
        <v>2319</v>
      </c>
      <c r="H90">
        <v>217</v>
      </c>
      <c r="J90">
        <v>-0.34749999999999998</v>
      </c>
      <c r="K90">
        <v>0</v>
      </c>
      <c r="L90">
        <v>0</v>
      </c>
      <c r="M90">
        <v>1612</v>
      </c>
      <c r="N90">
        <v>0</v>
      </c>
      <c r="P90">
        <v>-0.58499999999999996</v>
      </c>
      <c r="Q90">
        <v>0</v>
      </c>
      <c r="R90">
        <v>0</v>
      </c>
      <c r="S90">
        <v>0</v>
      </c>
      <c r="T90">
        <v>0</v>
      </c>
      <c r="V90">
        <v>0.52749999999999997</v>
      </c>
      <c r="W90">
        <v>0</v>
      </c>
      <c r="X90">
        <v>0</v>
      </c>
      <c r="Y90">
        <v>0</v>
      </c>
      <c r="Z90">
        <v>0</v>
      </c>
      <c r="AB90">
        <v>-0.26250000000000001</v>
      </c>
      <c r="AC90">
        <v>0</v>
      </c>
      <c r="AD90">
        <v>0</v>
      </c>
      <c r="AE90">
        <v>657</v>
      </c>
      <c r="AF90">
        <v>0</v>
      </c>
      <c r="AH90">
        <v>-0.48499999999999999</v>
      </c>
      <c r="AI90">
        <v>0</v>
      </c>
      <c r="AJ90">
        <v>0</v>
      </c>
      <c r="AK90">
        <v>0</v>
      </c>
      <c r="AL90">
        <v>0</v>
      </c>
      <c r="AN90">
        <v>-7.0000000000000007E-2</v>
      </c>
      <c r="AO90">
        <v>0</v>
      </c>
      <c r="AP90">
        <v>0</v>
      </c>
      <c r="AQ90">
        <v>17</v>
      </c>
      <c r="AR90">
        <v>0</v>
      </c>
      <c r="AT90" t="s">
        <v>1013</v>
      </c>
      <c r="AU90" t="s">
        <v>1537</v>
      </c>
    </row>
    <row r="91" spans="1:47" x14ac:dyDescent="0.2">
      <c r="A91" t="s">
        <v>1014</v>
      </c>
      <c r="B91" t="s">
        <v>1537</v>
      </c>
      <c r="C91" s="2"/>
      <c r="D91">
        <v>-0.99</v>
      </c>
      <c r="E91">
        <v>210</v>
      </c>
      <c r="F91">
        <v>210</v>
      </c>
      <c r="G91">
        <v>2246</v>
      </c>
      <c r="H91">
        <v>210</v>
      </c>
      <c r="J91">
        <v>-0.34499999999999997</v>
      </c>
      <c r="K91">
        <v>0</v>
      </c>
      <c r="L91">
        <v>0</v>
      </c>
      <c r="M91">
        <v>1560</v>
      </c>
      <c r="N91">
        <v>0</v>
      </c>
      <c r="P91">
        <v>-0.6</v>
      </c>
      <c r="Q91">
        <v>0</v>
      </c>
      <c r="R91">
        <v>0</v>
      </c>
      <c r="S91">
        <v>0</v>
      </c>
      <c r="T91">
        <v>0</v>
      </c>
      <c r="V91">
        <v>0.50249999999999995</v>
      </c>
      <c r="W91">
        <v>0</v>
      </c>
      <c r="X91">
        <v>0</v>
      </c>
      <c r="Y91">
        <v>0</v>
      </c>
      <c r="Z91">
        <v>0</v>
      </c>
      <c r="AB91">
        <v>-0.35499999999999998</v>
      </c>
      <c r="AC91">
        <v>0</v>
      </c>
      <c r="AD91">
        <v>0</v>
      </c>
      <c r="AE91">
        <v>636</v>
      </c>
      <c r="AF91">
        <v>0</v>
      </c>
      <c r="AH91">
        <v>-0.5</v>
      </c>
      <c r="AI91">
        <v>0</v>
      </c>
      <c r="AJ91">
        <v>0</v>
      </c>
      <c r="AK91">
        <v>0</v>
      </c>
      <c r="AL91">
        <v>0</v>
      </c>
      <c r="AN91">
        <v>-6.5000000000000002E-2</v>
      </c>
      <c r="AO91">
        <v>0</v>
      </c>
      <c r="AP91">
        <v>0</v>
      </c>
      <c r="AQ91">
        <v>17</v>
      </c>
      <c r="AR91">
        <v>0</v>
      </c>
      <c r="AT91" t="s">
        <v>1014</v>
      </c>
      <c r="AU91" t="s">
        <v>1537</v>
      </c>
    </row>
    <row r="92" spans="1:47" x14ac:dyDescent="0.2">
      <c r="A92" t="s">
        <v>1015</v>
      </c>
      <c r="B92" t="s">
        <v>1537</v>
      </c>
      <c r="C92" s="2"/>
      <c r="D92">
        <v>-0.98</v>
      </c>
      <c r="E92">
        <v>217</v>
      </c>
      <c r="F92">
        <v>217</v>
      </c>
      <c r="G92">
        <v>2319</v>
      </c>
      <c r="H92">
        <v>217</v>
      </c>
      <c r="J92">
        <v>-0.35</v>
      </c>
      <c r="K92">
        <v>0</v>
      </c>
      <c r="L92">
        <v>0</v>
      </c>
      <c r="M92">
        <v>1612</v>
      </c>
      <c r="N92">
        <v>0</v>
      </c>
      <c r="P92">
        <v>-0.64</v>
      </c>
      <c r="Q92">
        <v>0</v>
      </c>
      <c r="R92">
        <v>0</v>
      </c>
      <c r="S92">
        <v>0</v>
      </c>
      <c r="T92">
        <v>0</v>
      </c>
      <c r="V92">
        <v>0.4425</v>
      </c>
      <c r="W92">
        <v>0</v>
      </c>
      <c r="X92">
        <v>0</v>
      </c>
      <c r="Y92">
        <v>0</v>
      </c>
      <c r="Z92">
        <v>0</v>
      </c>
      <c r="AB92">
        <v>-0.41</v>
      </c>
      <c r="AC92">
        <v>0</v>
      </c>
      <c r="AD92">
        <v>0</v>
      </c>
      <c r="AE92">
        <v>657</v>
      </c>
      <c r="AF92">
        <v>0</v>
      </c>
      <c r="AH92">
        <v>-0.51500000000000001</v>
      </c>
      <c r="AI92">
        <v>0</v>
      </c>
      <c r="AJ92">
        <v>0</v>
      </c>
      <c r="AK92">
        <v>0</v>
      </c>
      <c r="AL92">
        <v>0</v>
      </c>
      <c r="AN92">
        <v>-5.2499999999999998E-2</v>
      </c>
      <c r="AO92">
        <v>0</v>
      </c>
      <c r="AP92">
        <v>0</v>
      </c>
      <c r="AQ92">
        <v>17</v>
      </c>
      <c r="AR92">
        <v>0</v>
      </c>
      <c r="AT92" t="s">
        <v>1015</v>
      </c>
      <c r="AU92" t="s">
        <v>1537</v>
      </c>
    </row>
    <row r="93" spans="1:47" x14ac:dyDescent="0.2">
      <c r="A93" t="s">
        <v>1016</v>
      </c>
      <c r="B93" t="s">
        <v>1537</v>
      </c>
      <c r="C93" s="2"/>
      <c r="D93">
        <v>-0.92500000000000004</v>
      </c>
      <c r="E93">
        <v>210</v>
      </c>
      <c r="F93">
        <v>210</v>
      </c>
      <c r="G93">
        <v>1736</v>
      </c>
      <c r="H93">
        <v>150</v>
      </c>
      <c r="J93">
        <v>-0.1275</v>
      </c>
      <c r="K93">
        <v>0</v>
      </c>
      <c r="L93">
        <v>0</v>
      </c>
      <c r="M93">
        <v>1200</v>
      </c>
      <c r="N93">
        <v>0</v>
      </c>
      <c r="P93">
        <v>-0.45500000000000002</v>
      </c>
      <c r="Q93">
        <v>0</v>
      </c>
      <c r="R93">
        <v>0</v>
      </c>
      <c r="S93">
        <v>0</v>
      </c>
      <c r="T93">
        <v>0</v>
      </c>
      <c r="V93">
        <v>0.3</v>
      </c>
      <c r="W93">
        <v>0</v>
      </c>
      <c r="X93">
        <v>0</v>
      </c>
      <c r="Y93">
        <v>0</v>
      </c>
      <c r="Z93">
        <v>0</v>
      </c>
      <c r="AB93">
        <v>-0.20250000000000001</v>
      </c>
      <c r="AC93">
        <v>0</v>
      </c>
      <c r="AD93">
        <v>0</v>
      </c>
      <c r="AE93">
        <v>636</v>
      </c>
      <c r="AF93">
        <v>0</v>
      </c>
      <c r="AH93">
        <v>-0.51749999999999996</v>
      </c>
      <c r="AI93">
        <v>0</v>
      </c>
      <c r="AJ93">
        <v>0</v>
      </c>
      <c r="AK93">
        <v>0</v>
      </c>
      <c r="AL93">
        <v>0</v>
      </c>
      <c r="AN93">
        <v>-0.10249999999999999</v>
      </c>
      <c r="AO93">
        <v>0</v>
      </c>
      <c r="AP93">
        <v>0</v>
      </c>
      <c r="AQ93">
        <v>16</v>
      </c>
      <c r="AR93">
        <v>0</v>
      </c>
      <c r="AT93" t="s">
        <v>1016</v>
      </c>
      <c r="AU93" t="s">
        <v>1537</v>
      </c>
    </row>
    <row r="94" spans="1:47" x14ac:dyDescent="0.2">
      <c r="A94" t="s">
        <v>1017</v>
      </c>
      <c r="B94" t="s">
        <v>1537</v>
      </c>
      <c r="C94" s="2"/>
      <c r="D94">
        <v>-0.92500000000000004</v>
      </c>
      <c r="E94">
        <v>217</v>
      </c>
      <c r="F94">
        <v>217</v>
      </c>
      <c r="G94">
        <v>1792</v>
      </c>
      <c r="H94">
        <v>155</v>
      </c>
      <c r="J94">
        <v>-0.08</v>
      </c>
      <c r="K94">
        <v>0</v>
      </c>
      <c r="L94">
        <v>0</v>
      </c>
      <c r="M94">
        <v>1240</v>
      </c>
      <c r="N94">
        <v>0</v>
      </c>
      <c r="P94">
        <v>-0.38750000000000001</v>
      </c>
      <c r="Q94">
        <v>0</v>
      </c>
      <c r="R94">
        <v>0</v>
      </c>
      <c r="S94">
        <v>0</v>
      </c>
      <c r="T94">
        <v>0</v>
      </c>
      <c r="V94">
        <v>0.29499999999999998</v>
      </c>
      <c r="W94">
        <v>0</v>
      </c>
      <c r="X94">
        <v>0</v>
      </c>
      <c r="Y94">
        <v>0</v>
      </c>
      <c r="Z94">
        <v>0</v>
      </c>
      <c r="AB94">
        <v>-0.08</v>
      </c>
      <c r="AC94">
        <v>0</v>
      </c>
      <c r="AD94">
        <v>0</v>
      </c>
      <c r="AE94">
        <v>657</v>
      </c>
      <c r="AF94">
        <v>0</v>
      </c>
      <c r="AH94">
        <v>-0.49</v>
      </c>
      <c r="AI94">
        <v>0</v>
      </c>
      <c r="AJ94">
        <v>0</v>
      </c>
      <c r="AK94">
        <v>0</v>
      </c>
      <c r="AL94">
        <v>0</v>
      </c>
      <c r="AN94">
        <v>-0.1075</v>
      </c>
      <c r="AO94">
        <v>0</v>
      </c>
      <c r="AP94">
        <v>0</v>
      </c>
      <c r="AQ94">
        <v>17</v>
      </c>
      <c r="AR94">
        <v>0</v>
      </c>
      <c r="AT94" t="s">
        <v>1017</v>
      </c>
      <c r="AU94" t="s">
        <v>1537</v>
      </c>
    </row>
    <row r="95" spans="1:47" x14ac:dyDescent="0.2">
      <c r="C95" s="2"/>
      <c r="D95">
        <v>-0.97750000000000004</v>
      </c>
      <c r="E95">
        <v>0</v>
      </c>
      <c r="F95">
        <v>0</v>
      </c>
      <c r="G95">
        <v>124</v>
      </c>
      <c r="H95">
        <v>0</v>
      </c>
      <c r="J95">
        <v>-3.7499999999999999E-2</v>
      </c>
      <c r="K95">
        <v>0</v>
      </c>
      <c r="L95">
        <v>0</v>
      </c>
      <c r="M95">
        <v>124</v>
      </c>
      <c r="N95">
        <v>0</v>
      </c>
      <c r="P95">
        <v>-0.2225</v>
      </c>
      <c r="Q95">
        <v>0</v>
      </c>
      <c r="R95">
        <v>0</v>
      </c>
      <c r="S95">
        <v>12</v>
      </c>
      <c r="T95">
        <v>0</v>
      </c>
      <c r="V95">
        <v>0.41</v>
      </c>
      <c r="W95">
        <v>0</v>
      </c>
      <c r="X95">
        <v>0</v>
      </c>
      <c r="Y95">
        <v>0</v>
      </c>
      <c r="Z95">
        <v>0</v>
      </c>
      <c r="AB95">
        <v>-0.13250000000000001</v>
      </c>
      <c r="AC95">
        <v>0</v>
      </c>
      <c r="AD95">
        <v>0</v>
      </c>
      <c r="AE95">
        <v>157</v>
      </c>
      <c r="AF95">
        <v>0</v>
      </c>
      <c r="AH95">
        <v>-0.17749999999999999</v>
      </c>
      <c r="AI95">
        <v>0</v>
      </c>
      <c r="AJ95">
        <v>0</v>
      </c>
      <c r="AK95">
        <v>0</v>
      </c>
      <c r="AL95">
        <v>0</v>
      </c>
      <c r="AN95">
        <v>-0.13250000000000001</v>
      </c>
      <c r="AO95">
        <v>0</v>
      </c>
      <c r="AP95">
        <v>0</v>
      </c>
      <c r="AQ95">
        <v>17</v>
      </c>
      <c r="AR95">
        <v>0</v>
      </c>
    </row>
    <row r="96" spans="1:47" x14ac:dyDescent="0.2">
      <c r="C96" s="2"/>
      <c r="D96">
        <v>-0.95</v>
      </c>
      <c r="E96">
        <v>0</v>
      </c>
      <c r="F96">
        <v>0</v>
      </c>
      <c r="G96">
        <v>112</v>
      </c>
      <c r="H96">
        <v>0</v>
      </c>
      <c r="J96">
        <v>-3.7499999999999999E-2</v>
      </c>
      <c r="K96">
        <v>0</v>
      </c>
      <c r="L96">
        <v>0</v>
      </c>
      <c r="M96">
        <v>112</v>
      </c>
      <c r="N96">
        <v>0</v>
      </c>
      <c r="P96">
        <v>-0.2225</v>
      </c>
      <c r="Q96">
        <v>0</v>
      </c>
      <c r="R96">
        <v>0</v>
      </c>
      <c r="S96">
        <v>0</v>
      </c>
      <c r="T96">
        <v>0</v>
      </c>
      <c r="V96">
        <v>0.41</v>
      </c>
      <c r="W96">
        <v>0</v>
      </c>
      <c r="X96">
        <v>0</v>
      </c>
      <c r="Y96">
        <v>0</v>
      </c>
      <c r="Z96">
        <v>0</v>
      </c>
      <c r="AB96">
        <v>-0.15</v>
      </c>
      <c r="AC96">
        <v>0</v>
      </c>
      <c r="AD96">
        <v>0</v>
      </c>
      <c r="AE96">
        <v>142</v>
      </c>
      <c r="AF96">
        <v>0</v>
      </c>
      <c r="AH96">
        <v>-0.17749999999999999</v>
      </c>
      <c r="AI96">
        <v>0</v>
      </c>
      <c r="AJ96">
        <v>0</v>
      </c>
      <c r="AK96">
        <v>0</v>
      </c>
      <c r="AL96">
        <v>0</v>
      </c>
      <c r="AN96">
        <v>-0.13250000000000001</v>
      </c>
      <c r="AO96">
        <v>0</v>
      </c>
      <c r="AP96">
        <v>0</v>
      </c>
      <c r="AQ96">
        <v>15</v>
      </c>
      <c r="AR96">
        <v>0</v>
      </c>
    </row>
    <row r="97" spans="3:44" x14ac:dyDescent="0.2">
      <c r="C97" s="2"/>
      <c r="D97">
        <v>-0.94750000000000001</v>
      </c>
      <c r="E97">
        <v>0</v>
      </c>
      <c r="F97">
        <v>0</v>
      </c>
      <c r="G97">
        <v>124</v>
      </c>
      <c r="H97">
        <v>0</v>
      </c>
      <c r="J97">
        <v>-0.11</v>
      </c>
      <c r="K97">
        <v>0</v>
      </c>
      <c r="L97">
        <v>0</v>
      </c>
      <c r="M97">
        <v>124</v>
      </c>
      <c r="N97">
        <v>0</v>
      </c>
      <c r="P97">
        <v>-8.2500000000000004E-2</v>
      </c>
      <c r="Q97">
        <v>0</v>
      </c>
      <c r="R97">
        <v>0</v>
      </c>
      <c r="S97">
        <v>0</v>
      </c>
      <c r="T97">
        <v>0</v>
      </c>
      <c r="V97">
        <v>0.40250000000000002</v>
      </c>
      <c r="W97">
        <v>0</v>
      </c>
      <c r="X97">
        <v>0</v>
      </c>
      <c r="Y97">
        <v>0</v>
      </c>
      <c r="Z97">
        <v>0</v>
      </c>
      <c r="AB97">
        <v>-0.20499999999999999</v>
      </c>
      <c r="AC97">
        <v>0</v>
      </c>
      <c r="AD97">
        <v>0</v>
      </c>
      <c r="AE97">
        <v>157</v>
      </c>
      <c r="AF97">
        <v>0</v>
      </c>
      <c r="AH97">
        <v>-0.125</v>
      </c>
      <c r="AI97">
        <v>0</v>
      </c>
      <c r="AJ97">
        <v>0</v>
      </c>
      <c r="AK97">
        <v>0</v>
      </c>
      <c r="AL97">
        <v>0</v>
      </c>
      <c r="AN97">
        <v>-0.125</v>
      </c>
      <c r="AO97">
        <v>0</v>
      </c>
      <c r="AP97">
        <v>0</v>
      </c>
      <c r="AQ97">
        <v>17</v>
      </c>
      <c r="AR97">
        <v>0</v>
      </c>
    </row>
    <row r="98" spans="3:44" x14ac:dyDescent="0.2">
      <c r="C98" s="2"/>
      <c r="D98">
        <v>-0.92</v>
      </c>
      <c r="E98">
        <v>0</v>
      </c>
      <c r="F98">
        <v>0</v>
      </c>
      <c r="G98">
        <v>90</v>
      </c>
      <c r="H98">
        <v>0</v>
      </c>
      <c r="J98">
        <v>-0.2</v>
      </c>
      <c r="K98">
        <v>0</v>
      </c>
      <c r="L98">
        <v>0</v>
      </c>
      <c r="M98">
        <v>210</v>
      </c>
      <c r="N98">
        <v>0</v>
      </c>
      <c r="P98">
        <v>-8.2500000000000004E-2</v>
      </c>
      <c r="Q98">
        <v>0</v>
      </c>
      <c r="R98">
        <v>0</v>
      </c>
      <c r="S98">
        <v>0</v>
      </c>
      <c r="T98">
        <v>0</v>
      </c>
      <c r="V98">
        <v>0.40250000000000002</v>
      </c>
      <c r="W98">
        <v>0</v>
      </c>
      <c r="X98">
        <v>0</v>
      </c>
      <c r="Y98">
        <v>0</v>
      </c>
      <c r="Z98">
        <v>0</v>
      </c>
      <c r="AB98">
        <v>-0.40749999999999997</v>
      </c>
      <c r="AC98">
        <v>0</v>
      </c>
      <c r="AD98">
        <v>0</v>
      </c>
      <c r="AE98">
        <v>152</v>
      </c>
      <c r="AF98">
        <v>0</v>
      </c>
      <c r="AH98">
        <v>-0.125</v>
      </c>
      <c r="AI98">
        <v>0</v>
      </c>
      <c r="AJ98">
        <v>0</v>
      </c>
      <c r="AK98">
        <v>0</v>
      </c>
      <c r="AL98">
        <v>0</v>
      </c>
      <c r="AN98">
        <v>-5.7500000000000002E-2</v>
      </c>
      <c r="AO98">
        <v>0</v>
      </c>
      <c r="AP98">
        <v>0</v>
      </c>
      <c r="AQ98">
        <v>16</v>
      </c>
      <c r="AR98">
        <v>0</v>
      </c>
    </row>
    <row r="99" spans="3:44" x14ac:dyDescent="0.2">
      <c r="C99" s="2"/>
      <c r="D99">
        <v>-0.93</v>
      </c>
      <c r="E99">
        <v>0</v>
      </c>
      <c r="F99">
        <v>0</v>
      </c>
      <c r="G99">
        <v>93</v>
      </c>
      <c r="H99">
        <v>0</v>
      </c>
      <c r="J99">
        <v>-0.3125</v>
      </c>
      <c r="K99">
        <v>0</v>
      </c>
      <c r="L99">
        <v>0</v>
      </c>
      <c r="M99">
        <v>217</v>
      </c>
      <c r="N99">
        <v>0</v>
      </c>
      <c r="P99">
        <v>-8.2500000000000004E-2</v>
      </c>
      <c r="Q99">
        <v>0</v>
      </c>
      <c r="R99">
        <v>0</v>
      </c>
      <c r="S99">
        <v>0</v>
      </c>
      <c r="T99">
        <v>0</v>
      </c>
      <c r="V99">
        <v>0.40250000000000002</v>
      </c>
      <c r="W99">
        <v>0</v>
      </c>
      <c r="X99">
        <v>0</v>
      </c>
      <c r="Y99">
        <v>0</v>
      </c>
      <c r="Z99">
        <v>0</v>
      </c>
      <c r="AB99">
        <v>-0.4</v>
      </c>
      <c r="AC99">
        <v>0</v>
      </c>
      <c r="AD99">
        <v>0</v>
      </c>
      <c r="AE99">
        <v>157</v>
      </c>
      <c r="AF99">
        <v>0</v>
      </c>
      <c r="AH99">
        <v>-0.125</v>
      </c>
      <c r="AI99">
        <v>0</v>
      </c>
      <c r="AJ99">
        <v>0</v>
      </c>
      <c r="AK99">
        <v>0</v>
      </c>
      <c r="AL99">
        <v>0</v>
      </c>
      <c r="AN99">
        <v>-7.2499999999999995E-2</v>
      </c>
      <c r="AO99">
        <v>0</v>
      </c>
      <c r="AP99">
        <v>0</v>
      </c>
      <c r="AQ99">
        <v>17</v>
      </c>
      <c r="AR99">
        <v>0</v>
      </c>
    </row>
    <row r="100" spans="3:44" x14ac:dyDescent="0.2">
      <c r="C100" s="2"/>
      <c r="D100">
        <v>-0.9325</v>
      </c>
      <c r="E100">
        <v>0</v>
      </c>
      <c r="F100">
        <v>0</v>
      </c>
      <c r="G100">
        <v>90</v>
      </c>
      <c r="H100">
        <v>0</v>
      </c>
      <c r="J100">
        <v>-0.32500000000000001</v>
      </c>
      <c r="K100">
        <v>0</v>
      </c>
      <c r="L100">
        <v>0</v>
      </c>
      <c r="M100">
        <v>210</v>
      </c>
      <c r="N100">
        <v>0</v>
      </c>
      <c r="P100">
        <v>-8.2500000000000004E-2</v>
      </c>
      <c r="Q100">
        <v>0</v>
      </c>
      <c r="R100">
        <v>0</v>
      </c>
      <c r="S100">
        <v>0</v>
      </c>
      <c r="T100">
        <v>0</v>
      </c>
      <c r="V100">
        <v>0.40250000000000002</v>
      </c>
      <c r="W100">
        <v>0</v>
      </c>
      <c r="X100">
        <v>0</v>
      </c>
      <c r="Y100">
        <v>0</v>
      </c>
      <c r="Z100">
        <v>0</v>
      </c>
      <c r="AB100">
        <v>-0.39500000000000002</v>
      </c>
      <c r="AC100">
        <v>0</v>
      </c>
      <c r="AD100">
        <v>0</v>
      </c>
      <c r="AE100">
        <v>152</v>
      </c>
      <c r="AF100">
        <v>0</v>
      </c>
      <c r="AH100">
        <v>-0.125</v>
      </c>
      <c r="AI100">
        <v>0</v>
      </c>
      <c r="AJ100">
        <v>0</v>
      </c>
      <c r="AK100">
        <v>0</v>
      </c>
      <c r="AL100">
        <v>0</v>
      </c>
      <c r="AN100">
        <v>-7.0000000000000007E-2</v>
      </c>
      <c r="AO100">
        <v>0</v>
      </c>
      <c r="AP100">
        <v>0</v>
      </c>
      <c r="AQ100">
        <v>16</v>
      </c>
      <c r="AR100">
        <v>0</v>
      </c>
    </row>
    <row r="101" spans="3:44" x14ac:dyDescent="0.2">
      <c r="C101" s="2"/>
      <c r="D101">
        <v>-0.94750000000000001</v>
      </c>
      <c r="E101">
        <v>0</v>
      </c>
      <c r="F101">
        <v>0</v>
      </c>
      <c r="G101">
        <v>93</v>
      </c>
      <c r="H101">
        <v>0</v>
      </c>
      <c r="J101">
        <v>-0.29499999999999998</v>
      </c>
      <c r="K101">
        <v>0</v>
      </c>
      <c r="L101">
        <v>0</v>
      </c>
      <c r="M101">
        <v>217</v>
      </c>
      <c r="N101">
        <v>0</v>
      </c>
      <c r="P101">
        <v>-8.2500000000000004E-2</v>
      </c>
      <c r="Q101">
        <v>0</v>
      </c>
      <c r="R101">
        <v>0</v>
      </c>
      <c r="S101">
        <v>0</v>
      </c>
      <c r="T101">
        <v>0</v>
      </c>
      <c r="V101">
        <v>0.40250000000000002</v>
      </c>
      <c r="W101">
        <v>0</v>
      </c>
      <c r="X101">
        <v>0</v>
      </c>
      <c r="Y101">
        <v>0</v>
      </c>
      <c r="Z101">
        <v>0</v>
      </c>
      <c r="AB101">
        <v>-0.26750000000000002</v>
      </c>
      <c r="AC101">
        <v>0</v>
      </c>
      <c r="AD101">
        <v>0</v>
      </c>
      <c r="AE101">
        <v>157</v>
      </c>
      <c r="AF101">
        <v>0</v>
      </c>
      <c r="AH101">
        <v>-0.125</v>
      </c>
      <c r="AI101">
        <v>0</v>
      </c>
      <c r="AJ101">
        <v>0</v>
      </c>
      <c r="AK101">
        <v>0</v>
      </c>
      <c r="AL101">
        <v>0</v>
      </c>
      <c r="AN101">
        <v>-5.7500000000000002E-2</v>
      </c>
      <c r="AO101">
        <v>0</v>
      </c>
      <c r="AP101">
        <v>0</v>
      </c>
      <c r="AQ101">
        <v>17</v>
      </c>
      <c r="AR101">
        <v>0</v>
      </c>
    </row>
    <row r="102" spans="3:44" x14ac:dyDescent="0.2">
      <c r="C102" s="2"/>
      <c r="D102">
        <v>-0.95</v>
      </c>
      <c r="E102">
        <v>0</v>
      </c>
      <c r="F102">
        <v>0</v>
      </c>
      <c r="G102">
        <v>93</v>
      </c>
      <c r="H102">
        <v>0</v>
      </c>
      <c r="J102">
        <v>-0.29499999999999998</v>
      </c>
      <c r="K102">
        <v>0</v>
      </c>
      <c r="L102">
        <v>0</v>
      </c>
      <c r="M102">
        <v>217</v>
      </c>
      <c r="N102">
        <v>0</v>
      </c>
      <c r="P102">
        <v>-0.13750000000000001</v>
      </c>
      <c r="Q102">
        <v>0</v>
      </c>
      <c r="R102">
        <v>0</v>
      </c>
      <c r="S102">
        <v>0</v>
      </c>
      <c r="T102">
        <v>0</v>
      </c>
      <c r="V102">
        <v>0.42499999999999999</v>
      </c>
      <c r="W102">
        <v>0</v>
      </c>
      <c r="X102">
        <v>0</v>
      </c>
      <c r="Y102">
        <v>0</v>
      </c>
      <c r="Z102">
        <v>0</v>
      </c>
      <c r="AB102">
        <v>-0.2525</v>
      </c>
      <c r="AC102">
        <v>0</v>
      </c>
      <c r="AD102">
        <v>0</v>
      </c>
      <c r="AE102">
        <v>157</v>
      </c>
      <c r="AF102">
        <v>0</v>
      </c>
      <c r="AH102">
        <v>-0.17249999999999999</v>
      </c>
      <c r="AI102">
        <v>0</v>
      </c>
      <c r="AJ102">
        <v>0</v>
      </c>
      <c r="AK102">
        <v>0</v>
      </c>
      <c r="AL102">
        <v>0</v>
      </c>
      <c r="AN102">
        <v>-5.7500000000000002E-2</v>
      </c>
      <c r="AO102">
        <v>0</v>
      </c>
      <c r="AP102">
        <v>0</v>
      </c>
      <c r="AQ102">
        <v>17</v>
      </c>
      <c r="AR102">
        <v>0</v>
      </c>
    </row>
    <row r="103" spans="3:44" x14ac:dyDescent="0.2">
      <c r="C103" s="2"/>
      <c r="D103">
        <v>-0.9375</v>
      </c>
      <c r="E103">
        <v>0</v>
      </c>
      <c r="F103">
        <v>0</v>
      </c>
      <c r="G103">
        <v>90</v>
      </c>
      <c r="H103">
        <v>0</v>
      </c>
      <c r="J103">
        <v>-0.29499999999999998</v>
      </c>
      <c r="K103">
        <v>0</v>
      </c>
      <c r="L103">
        <v>0</v>
      </c>
      <c r="M103">
        <v>210</v>
      </c>
      <c r="N103">
        <v>0</v>
      </c>
      <c r="P103">
        <v>-0.13750000000000001</v>
      </c>
      <c r="Q103">
        <v>0</v>
      </c>
      <c r="R103">
        <v>0</v>
      </c>
      <c r="S103">
        <v>24</v>
      </c>
      <c r="T103">
        <v>0</v>
      </c>
      <c r="V103">
        <v>0.42499999999999999</v>
      </c>
      <c r="W103">
        <v>0</v>
      </c>
      <c r="X103">
        <v>0</v>
      </c>
      <c r="Y103">
        <v>0</v>
      </c>
      <c r="Z103">
        <v>0</v>
      </c>
      <c r="AB103">
        <v>-0.34499999999999997</v>
      </c>
      <c r="AC103">
        <v>0</v>
      </c>
      <c r="AD103">
        <v>0</v>
      </c>
      <c r="AE103">
        <v>152</v>
      </c>
      <c r="AF103">
        <v>0</v>
      </c>
      <c r="AH103">
        <v>-0.17249999999999999</v>
      </c>
      <c r="AI103">
        <v>0</v>
      </c>
      <c r="AJ103">
        <v>0</v>
      </c>
      <c r="AK103">
        <v>0</v>
      </c>
      <c r="AL103">
        <v>0</v>
      </c>
      <c r="AN103">
        <v>-0.05</v>
      </c>
      <c r="AO103">
        <v>0</v>
      </c>
      <c r="AP103">
        <v>0</v>
      </c>
      <c r="AQ103">
        <v>16</v>
      </c>
      <c r="AR103">
        <v>0</v>
      </c>
    </row>
    <row r="104" spans="3:44" x14ac:dyDescent="0.2">
      <c r="C104" s="2"/>
      <c r="D104">
        <v>-0.93</v>
      </c>
      <c r="E104">
        <v>0</v>
      </c>
      <c r="F104">
        <v>0</v>
      </c>
      <c r="G104">
        <v>93</v>
      </c>
      <c r="H104">
        <v>0</v>
      </c>
      <c r="J104">
        <v>-0.29749999999999999</v>
      </c>
      <c r="K104">
        <v>0</v>
      </c>
      <c r="L104">
        <v>0</v>
      </c>
      <c r="M104">
        <v>217</v>
      </c>
      <c r="N104">
        <v>0</v>
      </c>
      <c r="P104">
        <v>-0.13750000000000001</v>
      </c>
      <c r="Q104">
        <v>0</v>
      </c>
      <c r="R104">
        <v>0</v>
      </c>
      <c r="S104">
        <v>24</v>
      </c>
      <c r="T104">
        <v>0</v>
      </c>
      <c r="V104">
        <v>0.42499999999999999</v>
      </c>
      <c r="W104">
        <v>0</v>
      </c>
      <c r="X104">
        <v>0</v>
      </c>
      <c r="Y104">
        <v>0</v>
      </c>
      <c r="Z104">
        <v>0</v>
      </c>
      <c r="AB104">
        <v>-0.39750000000000002</v>
      </c>
      <c r="AC104">
        <v>0</v>
      </c>
      <c r="AD104">
        <v>0</v>
      </c>
      <c r="AE104">
        <v>157</v>
      </c>
      <c r="AF104">
        <v>0</v>
      </c>
      <c r="AH104">
        <v>-0.17249999999999999</v>
      </c>
      <c r="AI104">
        <v>0</v>
      </c>
      <c r="AJ104">
        <v>0</v>
      </c>
      <c r="AK104">
        <v>0</v>
      </c>
      <c r="AL104">
        <v>0</v>
      </c>
      <c r="AN104">
        <v>-0.04</v>
      </c>
      <c r="AO104">
        <v>0</v>
      </c>
      <c r="AP104">
        <v>0</v>
      </c>
      <c r="AQ104">
        <v>17</v>
      </c>
      <c r="AR104">
        <v>0</v>
      </c>
    </row>
    <row r="105" spans="3:44" x14ac:dyDescent="0.2">
      <c r="C105" s="2"/>
      <c r="D105">
        <v>-0.84250000000000003</v>
      </c>
      <c r="E105">
        <v>0</v>
      </c>
      <c r="F105">
        <v>0</v>
      </c>
      <c r="G105">
        <v>60</v>
      </c>
      <c r="H105">
        <v>0</v>
      </c>
      <c r="J105">
        <v>-0.1075</v>
      </c>
      <c r="K105">
        <v>0</v>
      </c>
      <c r="L105">
        <v>0</v>
      </c>
      <c r="M105">
        <v>120</v>
      </c>
      <c r="N105">
        <v>0</v>
      </c>
      <c r="P105">
        <v>-0.13750000000000001</v>
      </c>
      <c r="Q105">
        <v>0</v>
      </c>
      <c r="R105">
        <v>0</v>
      </c>
      <c r="S105">
        <v>24</v>
      </c>
      <c r="T105">
        <v>0</v>
      </c>
      <c r="V105">
        <v>0.42499999999999999</v>
      </c>
      <c r="W105">
        <v>0</v>
      </c>
      <c r="X105">
        <v>0</v>
      </c>
      <c r="Y105">
        <v>0</v>
      </c>
      <c r="Z105">
        <v>0</v>
      </c>
      <c r="AB105">
        <v>-0.2</v>
      </c>
      <c r="AC105">
        <v>0</v>
      </c>
      <c r="AD105">
        <v>0</v>
      </c>
      <c r="AE105">
        <v>152</v>
      </c>
      <c r="AF105">
        <v>0</v>
      </c>
      <c r="AH105">
        <v>-0.17249999999999999</v>
      </c>
      <c r="AI105">
        <v>0</v>
      </c>
      <c r="AJ105">
        <v>0</v>
      </c>
      <c r="AK105">
        <v>0</v>
      </c>
      <c r="AL105">
        <v>0</v>
      </c>
      <c r="AN105">
        <v>-0.10249999999999999</v>
      </c>
      <c r="AO105">
        <v>0</v>
      </c>
      <c r="AP105">
        <v>0</v>
      </c>
      <c r="AQ105">
        <v>16</v>
      </c>
      <c r="AR105">
        <v>0</v>
      </c>
    </row>
    <row r="106" spans="3:44" x14ac:dyDescent="0.2">
      <c r="C106" s="2"/>
      <c r="D106">
        <v>-0.84250000000000003</v>
      </c>
      <c r="E106">
        <v>0</v>
      </c>
      <c r="F106">
        <v>0</v>
      </c>
      <c r="G106">
        <v>62</v>
      </c>
      <c r="H106">
        <v>0</v>
      </c>
      <c r="J106">
        <v>-7.0000000000000007E-2</v>
      </c>
      <c r="K106">
        <v>0</v>
      </c>
      <c r="L106">
        <v>0</v>
      </c>
      <c r="M106">
        <v>124</v>
      </c>
      <c r="N106">
        <v>0</v>
      </c>
      <c r="P106">
        <v>-0.13750000000000001</v>
      </c>
      <c r="Q106">
        <v>0</v>
      </c>
      <c r="R106">
        <v>0</v>
      </c>
      <c r="S106">
        <v>24</v>
      </c>
      <c r="T106">
        <v>0</v>
      </c>
      <c r="V106">
        <v>0.42499999999999999</v>
      </c>
      <c r="W106">
        <v>0</v>
      </c>
      <c r="X106">
        <v>0</v>
      </c>
      <c r="Y106">
        <v>0</v>
      </c>
      <c r="Z106">
        <v>0</v>
      </c>
      <c r="AB106">
        <v>-0.08</v>
      </c>
      <c r="AC106">
        <v>0</v>
      </c>
      <c r="AD106">
        <v>0</v>
      </c>
      <c r="AE106">
        <v>157</v>
      </c>
      <c r="AF106">
        <v>0</v>
      </c>
      <c r="AH106">
        <v>-0.17249999999999999</v>
      </c>
      <c r="AI106">
        <v>0</v>
      </c>
      <c r="AJ106">
        <v>0</v>
      </c>
      <c r="AK106">
        <v>0</v>
      </c>
      <c r="AL106">
        <v>0</v>
      </c>
      <c r="AN106">
        <v>-0.1075</v>
      </c>
      <c r="AO106">
        <v>0</v>
      </c>
      <c r="AP106">
        <v>0</v>
      </c>
      <c r="AQ106">
        <v>17</v>
      </c>
      <c r="AR106">
        <v>0</v>
      </c>
    </row>
    <row r="107" spans="3:44" x14ac:dyDescent="0.2">
      <c r="C107" s="2"/>
      <c r="D107">
        <v>-0.89249999999999996</v>
      </c>
      <c r="E107">
        <v>0</v>
      </c>
      <c r="F107">
        <v>0</v>
      </c>
      <c r="G107">
        <v>31</v>
      </c>
      <c r="H107">
        <v>0</v>
      </c>
      <c r="J107">
        <v>-3.5000000000000003E-2</v>
      </c>
      <c r="K107">
        <v>0</v>
      </c>
      <c r="L107">
        <v>0</v>
      </c>
      <c r="M107">
        <v>124</v>
      </c>
      <c r="N107">
        <v>0</v>
      </c>
      <c r="P107">
        <v>-0.13750000000000001</v>
      </c>
      <c r="Q107">
        <v>0</v>
      </c>
      <c r="R107">
        <v>0</v>
      </c>
      <c r="S107">
        <v>24</v>
      </c>
      <c r="T107">
        <v>0</v>
      </c>
      <c r="V107">
        <v>0.42499999999999999</v>
      </c>
      <c r="W107">
        <v>0</v>
      </c>
      <c r="X107">
        <v>0</v>
      </c>
      <c r="Y107">
        <v>0</v>
      </c>
      <c r="Z107">
        <v>0</v>
      </c>
      <c r="AB107">
        <v>-0.13250000000000001</v>
      </c>
      <c r="AC107">
        <v>0</v>
      </c>
      <c r="AD107">
        <v>0</v>
      </c>
      <c r="AE107">
        <v>2</v>
      </c>
      <c r="AF107">
        <v>0</v>
      </c>
      <c r="AH107">
        <v>-0.17249999999999999</v>
      </c>
      <c r="AI107">
        <v>0</v>
      </c>
      <c r="AJ107">
        <v>0</v>
      </c>
      <c r="AK107">
        <v>0</v>
      </c>
      <c r="AL107">
        <v>0</v>
      </c>
      <c r="AN107">
        <v>-0.13250000000000001</v>
      </c>
      <c r="AO107">
        <v>0</v>
      </c>
      <c r="AP107">
        <v>0</v>
      </c>
      <c r="AQ107">
        <v>17</v>
      </c>
      <c r="AR107">
        <v>0</v>
      </c>
    </row>
    <row r="108" spans="3:44" x14ac:dyDescent="0.2">
      <c r="C108" s="2"/>
      <c r="D108">
        <v>-0.87</v>
      </c>
      <c r="E108">
        <v>0</v>
      </c>
      <c r="F108">
        <v>0</v>
      </c>
      <c r="G108">
        <v>28</v>
      </c>
      <c r="H108">
        <v>0</v>
      </c>
      <c r="J108">
        <v>-3.5000000000000003E-2</v>
      </c>
      <c r="K108">
        <v>0</v>
      </c>
      <c r="L108">
        <v>0</v>
      </c>
      <c r="M108">
        <v>112</v>
      </c>
      <c r="N108">
        <v>0</v>
      </c>
      <c r="P108">
        <v>-0.13750000000000001</v>
      </c>
      <c r="Q108">
        <v>0</v>
      </c>
      <c r="R108">
        <v>0</v>
      </c>
      <c r="S108">
        <v>0</v>
      </c>
      <c r="T108">
        <v>0</v>
      </c>
      <c r="V108">
        <v>0.42499999999999999</v>
      </c>
      <c r="W108">
        <v>0</v>
      </c>
      <c r="X108">
        <v>0</v>
      </c>
      <c r="Y108">
        <v>0</v>
      </c>
      <c r="Z108">
        <v>0</v>
      </c>
      <c r="AB108">
        <v>-0.15</v>
      </c>
      <c r="AC108">
        <v>0</v>
      </c>
      <c r="AD108">
        <v>0</v>
      </c>
      <c r="AE108">
        <v>2</v>
      </c>
      <c r="AF108">
        <v>0</v>
      </c>
      <c r="AH108">
        <v>-0.17249999999999999</v>
      </c>
      <c r="AI108">
        <v>0</v>
      </c>
      <c r="AJ108">
        <v>0</v>
      </c>
      <c r="AK108">
        <v>0</v>
      </c>
      <c r="AL108">
        <v>0</v>
      </c>
      <c r="AN108">
        <v>-0.13250000000000001</v>
      </c>
      <c r="AO108">
        <v>0</v>
      </c>
      <c r="AP108">
        <v>0</v>
      </c>
      <c r="AQ108">
        <v>15</v>
      </c>
      <c r="AR108">
        <v>0</v>
      </c>
    </row>
    <row r="109" spans="3:44" x14ac:dyDescent="0.2">
      <c r="C109" s="2"/>
      <c r="D109">
        <v>-0.86250000000000004</v>
      </c>
      <c r="E109">
        <v>0</v>
      </c>
      <c r="F109">
        <v>0</v>
      </c>
      <c r="G109">
        <v>31</v>
      </c>
      <c r="H109">
        <v>0</v>
      </c>
      <c r="J109">
        <v>-9.5000000000000001E-2</v>
      </c>
      <c r="K109">
        <v>0</v>
      </c>
      <c r="L109">
        <v>0</v>
      </c>
      <c r="M109">
        <v>124</v>
      </c>
      <c r="N109">
        <v>0</v>
      </c>
      <c r="P109">
        <v>-5.7500000000000002E-2</v>
      </c>
      <c r="Q109">
        <v>0</v>
      </c>
      <c r="R109">
        <v>0</v>
      </c>
      <c r="S109">
        <v>0</v>
      </c>
      <c r="T109">
        <v>0</v>
      </c>
      <c r="V109">
        <v>0.41249999999999998</v>
      </c>
      <c r="W109">
        <v>0</v>
      </c>
      <c r="X109">
        <v>0</v>
      </c>
      <c r="Y109">
        <v>0</v>
      </c>
      <c r="Z109">
        <v>0</v>
      </c>
      <c r="AB109">
        <v>-0.20250000000000001</v>
      </c>
      <c r="AC109">
        <v>0</v>
      </c>
      <c r="AD109">
        <v>0</v>
      </c>
      <c r="AE109">
        <v>2</v>
      </c>
      <c r="AF109">
        <v>0</v>
      </c>
      <c r="AH109">
        <v>-0.12</v>
      </c>
      <c r="AI109">
        <v>0</v>
      </c>
      <c r="AJ109">
        <v>0</v>
      </c>
      <c r="AK109">
        <v>0</v>
      </c>
      <c r="AL109">
        <v>0</v>
      </c>
      <c r="AN109">
        <v>-0.125</v>
      </c>
      <c r="AO109">
        <v>0</v>
      </c>
      <c r="AP109">
        <v>0</v>
      </c>
      <c r="AQ109">
        <v>16</v>
      </c>
      <c r="AR109">
        <v>0</v>
      </c>
    </row>
    <row r="110" spans="3:44" x14ac:dyDescent="0.2">
      <c r="C110" s="2"/>
      <c r="D110">
        <v>-0.83250000000000002</v>
      </c>
      <c r="E110">
        <v>0</v>
      </c>
      <c r="F110">
        <v>0</v>
      </c>
      <c r="G110">
        <v>30</v>
      </c>
      <c r="H110">
        <v>0</v>
      </c>
      <c r="J110">
        <v>-0.1825</v>
      </c>
      <c r="K110">
        <v>0</v>
      </c>
      <c r="L110">
        <v>0</v>
      </c>
      <c r="M110">
        <v>0</v>
      </c>
      <c r="N110">
        <v>0</v>
      </c>
      <c r="P110">
        <v>-5.7500000000000002E-2</v>
      </c>
      <c r="Q110">
        <v>0</v>
      </c>
      <c r="R110">
        <v>0</v>
      </c>
      <c r="S110">
        <v>0</v>
      </c>
      <c r="T110">
        <v>0</v>
      </c>
      <c r="V110">
        <v>0.41249999999999998</v>
      </c>
      <c r="W110">
        <v>0</v>
      </c>
      <c r="X110">
        <v>0</v>
      </c>
      <c r="Y110">
        <v>0</v>
      </c>
      <c r="Z110">
        <v>0</v>
      </c>
      <c r="AB110">
        <v>-0.41499999999999998</v>
      </c>
      <c r="AC110">
        <v>0</v>
      </c>
      <c r="AD110">
        <v>0</v>
      </c>
      <c r="AE110">
        <v>2</v>
      </c>
      <c r="AF110">
        <v>0</v>
      </c>
      <c r="AH110">
        <v>-0.12</v>
      </c>
      <c r="AI110">
        <v>0</v>
      </c>
      <c r="AJ110">
        <v>0</v>
      </c>
      <c r="AK110">
        <v>0</v>
      </c>
      <c r="AL110">
        <v>0</v>
      </c>
      <c r="AN110">
        <v>-0.05</v>
      </c>
      <c r="AO110">
        <v>0</v>
      </c>
      <c r="AP110">
        <v>0</v>
      </c>
      <c r="AQ110">
        <v>16</v>
      </c>
      <c r="AR110">
        <v>0</v>
      </c>
    </row>
    <row r="111" spans="3:44" x14ac:dyDescent="0.2">
      <c r="C111" s="2"/>
      <c r="D111">
        <v>-0.84750000000000003</v>
      </c>
      <c r="E111">
        <v>0</v>
      </c>
      <c r="F111">
        <v>0</v>
      </c>
      <c r="G111">
        <v>31</v>
      </c>
      <c r="H111">
        <v>0</v>
      </c>
      <c r="J111">
        <v>-0.29249999999999998</v>
      </c>
      <c r="K111">
        <v>0</v>
      </c>
      <c r="L111">
        <v>0</v>
      </c>
      <c r="M111">
        <v>0</v>
      </c>
      <c r="N111">
        <v>0</v>
      </c>
      <c r="P111">
        <v>-5.7500000000000002E-2</v>
      </c>
      <c r="Q111">
        <v>0</v>
      </c>
      <c r="R111">
        <v>0</v>
      </c>
      <c r="S111">
        <v>0</v>
      </c>
      <c r="T111">
        <v>0</v>
      </c>
      <c r="V111">
        <v>0.41249999999999998</v>
      </c>
      <c r="W111">
        <v>0</v>
      </c>
      <c r="X111">
        <v>0</v>
      </c>
      <c r="Y111">
        <v>0</v>
      </c>
      <c r="Z111">
        <v>0</v>
      </c>
      <c r="AB111">
        <v>-0.40500000000000003</v>
      </c>
      <c r="AC111">
        <v>0</v>
      </c>
      <c r="AD111">
        <v>0</v>
      </c>
      <c r="AE111">
        <v>2</v>
      </c>
      <c r="AF111">
        <v>0</v>
      </c>
      <c r="AH111">
        <v>-0.12</v>
      </c>
      <c r="AI111">
        <v>0</v>
      </c>
      <c r="AJ111">
        <v>0</v>
      </c>
      <c r="AK111">
        <v>0</v>
      </c>
      <c r="AL111">
        <v>0</v>
      </c>
      <c r="AN111">
        <v>-6.5000000000000002E-2</v>
      </c>
      <c r="AO111">
        <v>0</v>
      </c>
      <c r="AP111">
        <v>0</v>
      </c>
      <c r="AQ111">
        <v>16</v>
      </c>
      <c r="AR111">
        <v>0</v>
      </c>
    </row>
    <row r="112" spans="3:44" x14ac:dyDescent="0.2">
      <c r="C112" s="2"/>
      <c r="D112">
        <v>-0.84750000000000003</v>
      </c>
      <c r="E112">
        <v>0</v>
      </c>
      <c r="F112">
        <v>0</v>
      </c>
      <c r="G112">
        <v>30</v>
      </c>
      <c r="H112">
        <v>0</v>
      </c>
      <c r="J112">
        <v>-0.30499999999999999</v>
      </c>
      <c r="K112">
        <v>0</v>
      </c>
      <c r="L112">
        <v>0</v>
      </c>
      <c r="M112">
        <v>0</v>
      </c>
      <c r="N112">
        <v>0</v>
      </c>
      <c r="P112">
        <v>-5.7500000000000002E-2</v>
      </c>
      <c r="Q112">
        <v>0</v>
      </c>
      <c r="R112">
        <v>0</v>
      </c>
      <c r="S112">
        <v>0</v>
      </c>
      <c r="T112">
        <v>0</v>
      </c>
      <c r="V112">
        <v>0.41249999999999998</v>
      </c>
      <c r="W112">
        <v>0</v>
      </c>
      <c r="X112">
        <v>0</v>
      </c>
      <c r="Y112">
        <v>0</v>
      </c>
      <c r="Z112">
        <v>0</v>
      </c>
      <c r="AB112">
        <v>-0.4</v>
      </c>
      <c r="AC112">
        <v>0</v>
      </c>
      <c r="AD112">
        <v>0</v>
      </c>
      <c r="AE112">
        <v>2</v>
      </c>
      <c r="AF112">
        <v>0</v>
      </c>
      <c r="AH112">
        <v>-0.12</v>
      </c>
      <c r="AI112">
        <v>0</v>
      </c>
      <c r="AJ112">
        <v>0</v>
      </c>
      <c r="AK112">
        <v>0</v>
      </c>
      <c r="AL112">
        <v>0</v>
      </c>
      <c r="AN112">
        <v>-6.25E-2</v>
      </c>
      <c r="AO112">
        <v>0</v>
      </c>
      <c r="AP112">
        <v>0</v>
      </c>
      <c r="AQ112">
        <v>16</v>
      </c>
      <c r="AR112">
        <v>0</v>
      </c>
    </row>
    <row r="113" spans="3:44" x14ac:dyDescent="0.2">
      <c r="C113" s="2"/>
      <c r="D113">
        <v>-0.86250000000000004</v>
      </c>
      <c r="E113">
        <v>0</v>
      </c>
      <c r="F113">
        <v>0</v>
      </c>
      <c r="G113">
        <v>31</v>
      </c>
      <c r="H113">
        <v>0</v>
      </c>
      <c r="J113">
        <v>-0.27750000000000002</v>
      </c>
      <c r="K113">
        <v>0</v>
      </c>
      <c r="L113">
        <v>0</v>
      </c>
      <c r="M113">
        <v>0</v>
      </c>
      <c r="N113">
        <v>0</v>
      </c>
      <c r="P113">
        <v>-5.7500000000000002E-2</v>
      </c>
      <c r="Q113">
        <v>0</v>
      </c>
      <c r="R113">
        <v>0</v>
      </c>
      <c r="S113">
        <v>0</v>
      </c>
      <c r="T113">
        <v>0</v>
      </c>
      <c r="V113">
        <v>0.41249999999999998</v>
      </c>
      <c r="W113">
        <v>0</v>
      </c>
      <c r="X113">
        <v>0</v>
      </c>
      <c r="Y113">
        <v>0</v>
      </c>
      <c r="Z113">
        <v>0</v>
      </c>
      <c r="AB113">
        <v>-0.27</v>
      </c>
      <c r="AC113">
        <v>0</v>
      </c>
      <c r="AD113">
        <v>0</v>
      </c>
      <c r="AE113">
        <v>2</v>
      </c>
      <c r="AF113">
        <v>0</v>
      </c>
      <c r="AH113">
        <v>-0.12</v>
      </c>
      <c r="AI113">
        <v>0</v>
      </c>
      <c r="AJ113">
        <v>0</v>
      </c>
      <c r="AK113">
        <v>0</v>
      </c>
      <c r="AL113">
        <v>0</v>
      </c>
      <c r="AN113">
        <v>-0.05</v>
      </c>
      <c r="AO113">
        <v>0</v>
      </c>
      <c r="AP113">
        <v>0</v>
      </c>
      <c r="AQ113">
        <v>16</v>
      </c>
      <c r="AR113">
        <v>0</v>
      </c>
    </row>
    <row r="114" spans="3:44" x14ac:dyDescent="0.2">
      <c r="C114" s="2"/>
      <c r="D114">
        <v>-0.86499999999999999</v>
      </c>
      <c r="E114">
        <v>0</v>
      </c>
      <c r="F114">
        <v>0</v>
      </c>
      <c r="G114">
        <v>31</v>
      </c>
      <c r="H114">
        <v>0</v>
      </c>
      <c r="J114">
        <v>-0.27750000000000002</v>
      </c>
      <c r="K114">
        <v>0</v>
      </c>
      <c r="L114">
        <v>0</v>
      </c>
      <c r="M114">
        <v>0</v>
      </c>
      <c r="N114">
        <v>0</v>
      </c>
      <c r="P114">
        <v>-7.2499999999999995E-2</v>
      </c>
      <c r="Q114">
        <v>0</v>
      </c>
      <c r="R114">
        <v>0</v>
      </c>
      <c r="S114">
        <v>0</v>
      </c>
      <c r="T114">
        <v>0</v>
      </c>
      <c r="V114">
        <v>0.435</v>
      </c>
      <c r="W114">
        <v>0</v>
      </c>
      <c r="X114">
        <v>0</v>
      </c>
      <c r="Y114">
        <v>0</v>
      </c>
      <c r="Z114">
        <v>0</v>
      </c>
      <c r="AB114">
        <v>-0.25750000000000001</v>
      </c>
      <c r="AC114">
        <v>0</v>
      </c>
      <c r="AD114">
        <v>0</v>
      </c>
      <c r="AE114">
        <v>2</v>
      </c>
      <c r="AF114">
        <v>0</v>
      </c>
      <c r="AH114">
        <v>-0.16750000000000001</v>
      </c>
      <c r="AI114">
        <v>0</v>
      </c>
      <c r="AJ114">
        <v>0</v>
      </c>
      <c r="AK114">
        <v>0</v>
      </c>
      <c r="AL114">
        <v>0</v>
      </c>
      <c r="AN114">
        <v>-0.05</v>
      </c>
      <c r="AO114">
        <v>0</v>
      </c>
      <c r="AP114">
        <v>0</v>
      </c>
      <c r="AQ114">
        <v>16</v>
      </c>
      <c r="AR114">
        <v>0</v>
      </c>
    </row>
    <row r="115" spans="3:44" x14ac:dyDescent="0.2">
      <c r="C115" s="2"/>
      <c r="D115">
        <v>-0.85</v>
      </c>
      <c r="E115">
        <v>0</v>
      </c>
      <c r="F115">
        <v>0</v>
      </c>
      <c r="G115">
        <v>30</v>
      </c>
      <c r="H115">
        <v>0</v>
      </c>
      <c r="J115">
        <v>-0.27500000000000002</v>
      </c>
      <c r="K115">
        <v>0</v>
      </c>
      <c r="L115">
        <v>0</v>
      </c>
      <c r="M115">
        <v>0</v>
      </c>
      <c r="N115">
        <v>0</v>
      </c>
      <c r="P115">
        <v>-7.2499999999999995E-2</v>
      </c>
      <c r="Q115">
        <v>0</v>
      </c>
      <c r="R115">
        <v>0</v>
      </c>
      <c r="S115">
        <v>0</v>
      </c>
      <c r="T115">
        <v>0</v>
      </c>
      <c r="V115">
        <v>0.435</v>
      </c>
      <c r="W115">
        <v>0</v>
      </c>
      <c r="X115">
        <v>0</v>
      </c>
      <c r="Y115">
        <v>0</v>
      </c>
      <c r="Z115">
        <v>0</v>
      </c>
      <c r="AB115">
        <v>-0.34749999999999998</v>
      </c>
      <c r="AC115">
        <v>0</v>
      </c>
      <c r="AD115">
        <v>0</v>
      </c>
      <c r="AE115">
        <v>2</v>
      </c>
      <c r="AF115">
        <v>0</v>
      </c>
      <c r="AH115">
        <v>-0.16750000000000001</v>
      </c>
      <c r="AI115">
        <v>0</v>
      </c>
      <c r="AJ115">
        <v>0</v>
      </c>
      <c r="AK115">
        <v>0</v>
      </c>
      <c r="AL115">
        <v>0</v>
      </c>
      <c r="AN115">
        <v>-4.2500000000000003E-2</v>
      </c>
      <c r="AO115">
        <v>0</v>
      </c>
      <c r="AP115">
        <v>0</v>
      </c>
      <c r="AQ115">
        <v>16</v>
      </c>
      <c r="AR115">
        <v>0</v>
      </c>
    </row>
    <row r="116" spans="3:44" x14ac:dyDescent="0.2">
      <c r="C116" s="2"/>
      <c r="D116">
        <v>-0.84499999999999997</v>
      </c>
      <c r="E116">
        <v>0</v>
      </c>
      <c r="F116">
        <v>0</v>
      </c>
      <c r="G116">
        <v>31</v>
      </c>
      <c r="H116">
        <v>0</v>
      </c>
      <c r="J116">
        <v>-0.28000000000000003</v>
      </c>
      <c r="K116">
        <v>0</v>
      </c>
      <c r="L116">
        <v>0</v>
      </c>
      <c r="M116">
        <v>0</v>
      </c>
      <c r="N116">
        <v>0</v>
      </c>
      <c r="P116">
        <v>-7.2499999999999995E-2</v>
      </c>
      <c r="Q116">
        <v>0</v>
      </c>
      <c r="R116">
        <v>0</v>
      </c>
      <c r="S116">
        <v>0</v>
      </c>
      <c r="T116">
        <v>0</v>
      </c>
      <c r="V116">
        <v>0.435</v>
      </c>
      <c r="W116">
        <v>0</v>
      </c>
      <c r="X116">
        <v>0</v>
      </c>
      <c r="Y116">
        <v>0</v>
      </c>
      <c r="Z116">
        <v>0</v>
      </c>
      <c r="AB116">
        <v>-0.40250000000000002</v>
      </c>
      <c r="AC116">
        <v>0</v>
      </c>
      <c r="AD116">
        <v>0</v>
      </c>
      <c r="AE116">
        <v>2</v>
      </c>
      <c r="AF116">
        <v>0</v>
      </c>
      <c r="AH116">
        <v>-0.16750000000000001</v>
      </c>
      <c r="AI116">
        <v>0</v>
      </c>
      <c r="AJ116">
        <v>0</v>
      </c>
      <c r="AK116">
        <v>0</v>
      </c>
      <c r="AL116">
        <v>0</v>
      </c>
      <c r="AN116">
        <v>-3.2500000000000001E-2</v>
      </c>
      <c r="AO116">
        <v>0</v>
      </c>
      <c r="AP116">
        <v>0</v>
      </c>
      <c r="AQ116">
        <v>16</v>
      </c>
      <c r="AR116">
        <v>0</v>
      </c>
    </row>
    <row r="117" spans="3:44" x14ac:dyDescent="0.2">
      <c r="C117" s="2"/>
      <c r="D117">
        <v>-0.81499999999999995</v>
      </c>
      <c r="E117">
        <v>0</v>
      </c>
      <c r="F117">
        <v>0</v>
      </c>
      <c r="G117">
        <v>30</v>
      </c>
      <c r="H117">
        <v>0</v>
      </c>
      <c r="J117">
        <v>-0.10249999999999999</v>
      </c>
      <c r="K117">
        <v>0</v>
      </c>
      <c r="L117">
        <v>0</v>
      </c>
      <c r="M117">
        <v>0</v>
      </c>
      <c r="N117">
        <v>0</v>
      </c>
      <c r="P117">
        <v>-7.2499999999999995E-2</v>
      </c>
      <c r="Q117">
        <v>0</v>
      </c>
      <c r="R117">
        <v>0</v>
      </c>
      <c r="S117">
        <v>0</v>
      </c>
      <c r="T117">
        <v>0</v>
      </c>
      <c r="V117">
        <v>0.435</v>
      </c>
      <c r="W117">
        <v>0</v>
      </c>
      <c r="X117">
        <v>0</v>
      </c>
      <c r="Y117">
        <v>0</v>
      </c>
      <c r="Z117">
        <v>0</v>
      </c>
      <c r="AB117">
        <v>-0.2175</v>
      </c>
      <c r="AC117">
        <v>0</v>
      </c>
      <c r="AD117">
        <v>0</v>
      </c>
      <c r="AE117">
        <v>2</v>
      </c>
      <c r="AF117">
        <v>0</v>
      </c>
      <c r="AH117">
        <v>-0.16750000000000001</v>
      </c>
      <c r="AI117">
        <v>0</v>
      </c>
      <c r="AJ117">
        <v>0</v>
      </c>
      <c r="AK117">
        <v>0</v>
      </c>
      <c r="AL117">
        <v>0</v>
      </c>
      <c r="AN117">
        <v>-0.10249999999999999</v>
      </c>
      <c r="AO117">
        <v>0</v>
      </c>
      <c r="AP117">
        <v>0</v>
      </c>
      <c r="AQ117">
        <v>16</v>
      </c>
      <c r="AR117">
        <v>0</v>
      </c>
    </row>
    <row r="118" spans="3:44" x14ac:dyDescent="0.2">
      <c r="C118" s="2"/>
      <c r="D118">
        <v>-0.8125</v>
      </c>
      <c r="E118">
        <v>0</v>
      </c>
      <c r="F118">
        <v>0</v>
      </c>
      <c r="G118">
        <v>31</v>
      </c>
      <c r="H118">
        <v>0</v>
      </c>
      <c r="J118">
        <v>-6.25E-2</v>
      </c>
      <c r="K118">
        <v>0</v>
      </c>
      <c r="L118">
        <v>0</v>
      </c>
      <c r="M118">
        <v>0</v>
      </c>
      <c r="N118">
        <v>0</v>
      </c>
      <c r="P118">
        <v>-7.2499999999999995E-2</v>
      </c>
      <c r="Q118">
        <v>0</v>
      </c>
      <c r="R118">
        <v>0</v>
      </c>
      <c r="S118">
        <v>0</v>
      </c>
      <c r="T118">
        <v>0</v>
      </c>
      <c r="V118">
        <v>0.435</v>
      </c>
      <c r="W118">
        <v>0</v>
      </c>
      <c r="X118">
        <v>0</v>
      </c>
      <c r="Y118">
        <v>0</v>
      </c>
      <c r="Z118">
        <v>0</v>
      </c>
      <c r="AB118">
        <v>-8.7499999999999994E-2</v>
      </c>
      <c r="AC118">
        <v>0</v>
      </c>
      <c r="AD118">
        <v>0</v>
      </c>
      <c r="AE118">
        <v>2</v>
      </c>
      <c r="AF118">
        <v>0</v>
      </c>
      <c r="AH118">
        <v>-0.16750000000000001</v>
      </c>
      <c r="AI118">
        <v>0</v>
      </c>
      <c r="AJ118">
        <v>0</v>
      </c>
      <c r="AK118">
        <v>0</v>
      </c>
      <c r="AL118">
        <v>0</v>
      </c>
      <c r="AN118">
        <v>-0.1075</v>
      </c>
      <c r="AO118">
        <v>0</v>
      </c>
      <c r="AP118">
        <v>0</v>
      </c>
      <c r="AQ118">
        <v>16</v>
      </c>
      <c r="AR118">
        <v>0</v>
      </c>
    </row>
    <row r="119" spans="3:44" x14ac:dyDescent="0.2">
      <c r="C119" s="2"/>
      <c r="D119">
        <v>-0.86250000000000004</v>
      </c>
      <c r="E119">
        <v>0</v>
      </c>
      <c r="F119">
        <v>0</v>
      </c>
      <c r="G119">
        <v>0</v>
      </c>
      <c r="H119">
        <v>0</v>
      </c>
      <c r="J119">
        <v>-2.5000000000000001E-2</v>
      </c>
      <c r="K119">
        <v>0</v>
      </c>
      <c r="L119">
        <v>0</v>
      </c>
      <c r="M119">
        <v>0</v>
      </c>
      <c r="N119">
        <v>0</v>
      </c>
      <c r="P119">
        <v>-7.2499999999999995E-2</v>
      </c>
      <c r="Q119">
        <v>0</v>
      </c>
      <c r="R119">
        <v>0</v>
      </c>
      <c r="S119">
        <v>0</v>
      </c>
      <c r="T119">
        <v>0</v>
      </c>
      <c r="V119">
        <v>0.435</v>
      </c>
      <c r="W119">
        <v>0</v>
      </c>
      <c r="X119">
        <v>0</v>
      </c>
      <c r="Y119">
        <v>0</v>
      </c>
      <c r="Z119">
        <v>0</v>
      </c>
      <c r="AB119">
        <v>-0.14499999999999999</v>
      </c>
      <c r="AC119">
        <v>0</v>
      </c>
      <c r="AD119">
        <v>0</v>
      </c>
      <c r="AE119">
        <v>2</v>
      </c>
      <c r="AF119">
        <v>0</v>
      </c>
      <c r="AH119">
        <v>-0.16750000000000001</v>
      </c>
      <c r="AI119">
        <v>0</v>
      </c>
      <c r="AJ119">
        <v>0</v>
      </c>
      <c r="AK119">
        <v>0</v>
      </c>
      <c r="AL119">
        <v>0</v>
      </c>
      <c r="AN119">
        <v>-0.13250000000000001</v>
      </c>
      <c r="AO119">
        <v>0</v>
      </c>
      <c r="AP119">
        <v>0</v>
      </c>
      <c r="AQ119">
        <v>0</v>
      </c>
      <c r="AR119">
        <v>0</v>
      </c>
    </row>
    <row r="120" spans="3:44" x14ac:dyDescent="0.2">
      <c r="C120" s="2"/>
      <c r="D120">
        <v>-0.83250000000000002</v>
      </c>
      <c r="E120">
        <v>0</v>
      </c>
      <c r="F120">
        <v>0</v>
      </c>
      <c r="G120">
        <v>0</v>
      </c>
      <c r="H120">
        <v>0</v>
      </c>
      <c r="J120">
        <v>-2.2499999999999999E-2</v>
      </c>
      <c r="K120">
        <v>0</v>
      </c>
      <c r="L120">
        <v>0</v>
      </c>
      <c r="M120">
        <v>0</v>
      </c>
      <c r="N120">
        <v>0</v>
      </c>
      <c r="P120">
        <v>-7.2499999999999995E-2</v>
      </c>
      <c r="Q120">
        <v>0</v>
      </c>
      <c r="R120">
        <v>0</v>
      </c>
      <c r="S120">
        <v>0</v>
      </c>
      <c r="T120">
        <v>0</v>
      </c>
      <c r="V120">
        <v>0.435</v>
      </c>
      <c r="W120">
        <v>0</v>
      </c>
      <c r="X120">
        <v>0</v>
      </c>
      <c r="Y120">
        <v>0</v>
      </c>
      <c r="Z120">
        <v>0</v>
      </c>
      <c r="AB120">
        <v>-0.16250000000000001</v>
      </c>
      <c r="AC120">
        <v>0</v>
      </c>
      <c r="AD120">
        <v>0</v>
      </c>
      <c r="AE120">
        <v>2</v>
      </c>
      <c r="AF120">
        <v>0</v>
      </c>
      <c r="AH120">
        <v>-0.16750000000000001</v>
      </c>
      <c r="AI120">
        <v>0</v>
      </c>
      <c r="AJ120">
        <v>0</v>
      </c>
      <c r="AK120">
        <v>0</v>
      </c>
      <c r="AL120">
        <v>0</v>
      </c>
      <c r="AN120">
        <v>-0.13250000000000001</v>
      </c>
      <c r="AO120">
        <v>0</v>
      </c>
      <c r="AP120">
        <v>0</v>
      </c>
      <c r="AQ120">
        <v>0</v>
      </c>
      <c r="AR120">
        <v>0</v>
      </c>
    </row>
    <row r="121" spans="3:44" x14ac:dyDescent="0.2">
      <c r="C121" s="2"/>
      <c r="D121">
        <v>-0.83499999999999996</v>
      </c>
      <c r="E121">
        <v>0</v>
      </c>
      <c r="F121">
        <v>0</v>
      </c>
      <c r="G121">
        <v>0</v>
      </c>
      <c r="H121">
        <v>0</v>
      </c>
      <c r="J121">
        <v>-0.09</v>
      </c>
      <c r="K121">
        <v>0</v>
      </c>
      <c r="L121">
        <v>0</v>
      </c>
      <c r="M121">
        <v>0</v>
      </c>
      <c r="N121">
        <v>0</v>
      </c>
      <c r="P121">
        <v>-5.7500000000000002E-2</v>
      </c>
      <c r="Q121">
        <v>0</v>
      </c>
      <c r="R121">
        <v>0</v>
      </c>
      <c r="S121">
        <v>0</v>
      </c>
      <c r="T121">
        <v>0</v>
      </c>
      <c r="V121">
        <v>0.42249999999999999</v>
      </c>
      <c r="W121">
        <v>0</v>
      </c>
      <c r="X121">
        <v>0</v>
      </c>
      <c r="Y121">
        <v>0</v>
      </c>
      <c r="Z121">
        <v>0</v>
      </c>
      <c r="AB121">
        <v>-0.2225</v>
      </c>
      <c r="AC121">
        <v>0</v>
      </c>
      <c r="AD121">
        <v>0</v>
      </c>
      <c r="AE121">
        <v>2</v>
      </c>
      <c r="AF121">
        <v>0</v>
      </c>
      <c r="AH121">
        <v>-0.115</v>
      </c>
      <c r="AI121">
        <v>0</v>
      </c>
      <c r="AJ121">
        <v>0</v>
      </c>
      <c r="AK121">
        <v>0</v>
      </c>
      <c r="AL121">
        <v>0</v>
      </c>
      <c r="AN121">
        <v>-0.125</v>
      </c>
      <c r="AO121">
        <v>0</v>
      </c>
      <c r="AP121">
        <v>0</v>
      </c>
      <c r="AQ121">
        <v>0</v>
      </c>
      <c r="AR121">
        <v>0</v>
      </c>
    </row>
    <row r="122" spans="3:44" x14ac:dyDescent="0.2">
      <c r="C122" s="2"/>
      <c r="D122">
        <v>-0.78500000000000003</v>
      </c>
      <c r="E122">
        <v>0</v>
      </c>
      <c r="F122">
        <v>0</v>
      </c>
      <c r="G122">
        <v>0</v>
      </c>
      <c r="H122">
        <v>0</v>
      </c>
      <c r="J122">
        <v>-0.17749999999999999</v>
      </c>
      <c r="K122">
        <v>0</v>
      </c>
      <c r="L122">
        <v>0</v>
      </c>
      <c r="M122">
        <v>0</v>
      </c>
      <c r="N122">
        <v>0</v>
      </c>
      <c r="P122">
        <v>-5.7500000000000002E-2</v>
      </c>
      <c r="Q122">
        <v>0</v>
      </c>
      <c r="R122">
        <v>0</v>
      </c>
      <c r="S122">
        <v>0</v>
      </c>
      <c r="T122">
        <v>0</v>
      </c>
      <c r="V122">
        <v>0.42249999999999999</v>
      </c>
      <c r="W122">
        <v>0</v>
      </c>
      <c r="X122">
        <v>0</v>
      </c>
      <c r="Y122">
        <v>0</v>
      </c>
      <c r="Z122">
        <v>0</v>
      </c>
      <c r="AB122">
        <v>-0.41499999999999998</v>
      </c>
      <c r="AC122">
        <v>0</v>
      </c>
      <c r="AD122">
        <v>0</v>
      </c>
      <c r="AE122">
        <v>2</v>
      </c>
      <c r="AF122">
        <v>0</v>
      </c>
      <c r="AH122">
        <v>-0.115</v>
      </c>
      <c r="AI122">
        <v>0</v>
      </c>
      <c r="AJ122">
        <v>0</v>
      </c>
      <c r="AK122">
        <v>0</v>
      </c>
      <c r="AL122">
        <v>0</v>
      </c>
      <c r="AN122">
        <v>-4.2500000000000003E-2</v>
      </c>
      <c r="AO122">
        <v>0</v>
      </c>
      <c r="AP122">
        <v>0</v>
      </c>
      <c r="AQ122">
        <v>0</v>
      </c>
      <c r="AR122">
        <v>0</v>
      </c>
    </row>
    <row r="123" spans="3:44" x14ac:dyDescent="0.2">
      <c r="D123">
        <v>-0.79500000000000004</v>
      </c>
      <c r="E123">
        <v>0</v>
      </c>
      <c r="F123">
        <v>0</v>
      </c>
      <c r="G123">
        <v>0</v>
      </c>
      <c r="H123">
        <v>0</v>
      </c>
      <c r="J123">
        <v>-0.28000000000000003</v>
      </c>
      <c r="K123">
        <v>0</v>
      </c>
      <c r="L123">
        <v>0</v>
      </c>
      <c r="M123">
        <v>0</v>
      </c>
      <c r="N123">
        <v>0</v>
      </c>
      <c r="P123">
        <v>-5.7500000000000002E-2</v>
      </c>
      <c r="Q123">
        <v>0</v>
      </c>
      <c r="R123">
        <v>0</v>
      </c>
      <c r="S123">
        <v>0</v>
      </c>
      <c r="T123">
        <v>0</v>
      </c>
      <c r="V123">
        <v>0.42249999999999999</v>
      </c>
      <c r="W123">
        <v>0</v>
      </c>
      <c r="X123">
        <v>0</v>
      </c>
      <c r="Y123">
        <v>0</v>
      </c>
      <c r="Z123">
        <v>0</v>
      </c>
      <c r="AB123">
        <v>-0.40500000000000003</v>
      </c>
      <c r="AC123">
        <v>0</v>
      </c>
      <c r="AD123">
        <v>0</v>
      </c>
      <c r="AE123">
        <v>2</v>
      </c>
      <c r="AF123">
        <v>0</v>
      </c>
      <c r="AH123">
        <v>-0.115</v>
      </c>
      <c r="AI123">
        <v>0</v>
      </c>
      <c r="AJ123">
        <v>0</v>
      </c>
      <c r="AK123">
        <v>0</v>
      </c>
      <c r="AL123">
        <v>0</v>
      </c>
      <c r="AN123">
        <v>-5.5E-2</v>
      </c>
      <c r="AO123">
        <v>0</v>
      </c>
      <c r="AP123">
        <v>0</v>
      </c>
      <c r="AQ123">
        <v>0</v>
      </c>
      <c r="AR123">
        <v>0</v>
      </c>
    </row>
    <row r="124" spans="3:44" x14ac:dyDescent="0.2">
      <c r="D124">
        <v>-0.79749999999999999</v>
      </c>
      <c r="E124">
        <v>0</v>
      </c>
      <c r="F124">
        <v>0</v>
      </c>
      <c r="G124">
        <v>0</v>
      </c>
      <c r="H124">
        <v>0</v>
      </c>
      <c r="J124">
        <v>-0.29249999999999998</v>
      </c>
      <c r="K124">
        <v>0</v>
      </c>
      <c r="L124">
        <v>0</v>
      </c>
      <c r="M124">
        <v>0</v>
      </c>
      <c r="N124">
        <v>0</v>
      </c>
      <c r="P124">
        <v>-5.7500000000000002E-2</v>
      </c>
      <c r="Q124">
        <v>0</v>
      </c>
      <c r="R124">
        <v>0</v>
      </c>
      <c r="S124">
        <v>0</v>
      </c>
      <c r="T124">
        <v>0</v>
      </c>
      <c r="V124">
        <v>0.42249999999999999</v>
      </c>
      <c r="W124">
        <v>0</v>
      </c>
      <c r="X124">
        <v>0</v>
      </c>
      <c r="Y124">
        <v>0</v>
      </c>
      <c r="Z124">
        <v>0</v>
      </c>
      <c r="AB124">
        <v>-0.4</v>
      </c>
      <c r="AC124">
        <v>0</v>
      </c>
      <c r="AD124">
        <v>0</v>
      </c>
      <c r="AE124">
        <v>2</v>
      </c>
      <c r="AF124">
        <v>0</v>
      </c>
      <c r="AH124">
        <v>-0.115</v>
      </c>
      <c r="AI124">
        <v>0</v>
      </c>
      <c r="AJ124">
        <v>0</v>
      </c>
      <c r="AK124">
        <v>0</v>
      </c>
      <c r="AL124">
        <v>0</v>
      </c>
      <c r="AN124">
        <v>-5.2499999999999998E-2</v>
      </c>
      <c r="AO124">
        <v>0</v>
      </c>
      <c r="AP124">
        <v>0</v>
      </c>
      <c r="AQ124">
        <v>0</v>
      </c>
      <c r="AR124">
        <v>0</v>
      </c>
    </row>
    <row r="125" spans="3:44" x14ac:dyDescent="0.2">
      <c r="D125">
        <v>-0.81</v>
      </c>
      <c r="E125">
        <v>0</v>
      </c>
      <c r="F125">
        <v>0</v>
      </c>
      <c r="G125">
        <v>0</v>
      </c>
      <c r="H125">
        <v>0</v>
      </c>
      <c r="J125">
        <v>-0.26500000000000001</v>
      </c>
      <c r="K125">
        <v>0</v>
      </c>
      <c r="L125">
        <v>0</v>
      </c>
      <c r="M125">
        <v>0</v>
      </c>
      <c r="N125">
        <v>0</v>
      </c>
      <c r="P125">
        <v>-5.7500000000000002E-2</v>
      </c>
      <c r="Q125">
        <v>0</v>
      </c>
      <c r="R125">
        <v>0</v>
      </c>
      <c r="S125">
        <v>0</v>
      </c>
      <c r="T125">
        <v>0</v>
      </c>
      <c r="V125">
        <v>0.42249999999999999</v>
      </c>
      <c r="W125">
        <v>0</v>
      </c>
      <c r="X125">
        <v>0</v>
      </c>
      <c r="Y125">
        <v>0</v>
      </c>
      <c r="Z125">
        <v>0</v>
      </c>
      <c r="AB125">
        <v>-0.27</v>
      </c>
      <c r="AC125">
        <v>0</v>
      </c>
      <c r="AD125">
        <v>0</v>
      </c>
      <c r="AE125">
        <v>2</v>
      </c>
      <c r="AF125">
        <v>0</v>
      </c>
      <c r="AH125">
        <v>-0.115</v>
      </c>
      <c r="AI125">
        <v>0</v>
      </c>
      <c r="AJ125">
        <v>0</v>
      </c>
      <c r="AK125">
        <v>0</v>
      </c>
      <c r="AL125">
        <v>0</v>
      </c>
      <c r="AN125">
        <v>-4.2500000000000003E-2</v>
      </c>
      <c r="AO125">
        <v>0</v>
      </c>
      <c r="AP125">
        <v>0</v>
      </c>
      <c r="AQ125">
        <v>0</v>
      </c>
      <c r="AR125">
        <v>0</v>
      </c>
    </row>
    <row r="126" spans="3:44" x14ac:dyDescent="0.2">
      <c r="D126">
        <v>-0.8125</v>
      </c>
      <c r="E126">
        <v>0</v>
      </c>
      <c r="F126">
        <v>0</v>
      </c>
      <c r="G126">
        <v>0</v>
      </c>
      <c r="H126">
        <v>0</v>
      </c>
      <c r="J126">
        <v>-0.26500000000000001</v>
      </c>
      <c r="K126">
        <v>0</v>
      </c>
      <c r="L126">
        <v>0</v>
      </c>
      <c r="M126">
        <v>0</v>
      </c>
      <c r="N126">
        <v>0</v>
      </c>
      <c r="P126">
        <v>-5.2499999999999998E-2</v>
      </c>
      <c r="Q126">
        <v>0</v>
      </c>
      <c r="R126">
        <v>0</v>
      </c>
      <c r="S126">
        <v>0</v>
      </c>
      <c r="T126">
        <v>0</v>
      </c>
      <c r="V126">
        <v>0.38500000000000001</v>
      </c>
      <c r="W126">
        <v>0</v>
      </c>
      <c r="X126">
        <v>0</v>
      </c>
      <c r="Y126">
        <v>0</v>
      </c>
      <c r="Z126">
        <v>0</v>
      </c>
      <c r="AB126">
        <v>-0.25750000000000001</v>
      </c>
      <c r="AC126">
        <v>0</v>
      </c>
      <c r="AD126">
        <v>0</v>
      </c>
      <c r="AE126">
        <v>2</v>
      </c>
      <c r="AF126">
        <v>0</v>
      </c>
      <c r="AH126">
        <v>-0.16250000000000001</v>
      </c>
      <c r="AI126">
        <v>0</v>
      </c>
      <c r="AJ126">
        <v>0</v>
      </c>
      <c r="AK126">
        <v>0</v>
      </c>
      <c r="AL126">
        <v>0</v>
      </c>
      <c r="AN126">
        <v>-4.2500000000000003E-2</v>
      </c>
      <c r="AO126">
        <v>0</v>
      </c>
      <c r="AP126">
        <v>0</v>
      </c>
      <c r="AQ126">
        <v>0</v>
      </c>
      <c r="AR126">
        <v>0</v>
      </c>
    </row>
    <row r="127" spans="3:44" x14ac:dyDescent="0.2">
      <c r="D127">
        <v>-0.80249999999999999</v>
      </c>
      <c r="E127">
        <v>0</v>
      </c>
      <c r="F127">
        <v>0</v>
      </c>
      <c r="G127">
        <v>0</v>
      </c>
      <c r="H127">
        <v>0</v>
      </c>
      <c r="J127">
        <v>-0.26500000000000001</v>
      </c>
      <c r="K127">
        <v>0</v>
      </c>
      <c r="L127">
        <v>0</v>
      </c>
      <c r="M127">
        <v>0</v>
      </c>
      <c r="N127">
        <v>0</v>
      </c>
      <c r="P127">
        <v>-5.2499999999999998E-2</v>
      </c>
      <c r="Q127">
        <v>0</v>
      </c>
      <c r="R127">
        <v>0</v>
      </c>
      <c r="S127">
        <v>0</v>
      </c>
      <c r="T127">
        <v>0</v>
      </c>
      <c r="V127">
        <v>0.38500000000000001</v>
      </c>
      <c r="W127">
        <v>0</v>
      </c>
      <c r="X127">
        <v>0</v>
      </c>
      <c r="Y127">
        <v>0</v>
      </c>
      <c r="Z127">
        <v>0</v>
      </c>
      <c r="AB127">
        <v>-0.34749999999999998</v>
      </c>
      <c r="AC127">
        <v>0</v>
      </c>
      <c r="AD127">
        <v>0</v>
      </c>
      <c r="AE127">
        <v>2</v>
      </c>
      <c r="AF127">
        <v>0</v>
      </c>
      <c r="AH127">
        <v>-0.16250000000000001</v>
      </c>
      <c r="AI127">
        <v>0</v>
      </c>
      <c r="AJ127">
        <v>0</v>
      </c>
      <c r="AK127">
        <v>0</v>
      </c>
      <c r="AL127">
        <v>0</v>
      </c>
      <c r="AN127">
        <v>-3.5000000000000003E-2</v>
      </c>
      <c r="AO127">
        <v>0</v>
      </c>
      <c r="AP127">
        <v>0</v>
      </c>
      <c r="AQ127">
        <v>0</v>
      </c>
      <c r="AR127">
        <v>0</v>
      </c>
    </row>
    <row r="128" spans="3:44" x14ac:dyDescent="0.2">
      <c r="D128">
        <v>-0.79500000000000004</v>
      </c>
      <c r="E128">
        <v>0</v>
      </c>
      <c r="F128">
        <v>0</v>
      </c>
      <c r="G128">
        <v>0</v>
      </c>
      <c r="H128">
        <v>0</v>
      </c>
      <c r="J128">
        <v>-0.26750000000000002</v>
      </c>
      <c r="K128">
        <v>0</v>
      </c>
      <c r="L128">
        <v>0</v>
      </c>
      <c r="M128">
        <v>0</v>
      </c>
      <c r="N128">
        <v>0</v>
      </c>
      <c r="P128">
        <v>-5.2499999999999998E-2</v>
      </c>
      <c r="Q128">
        <v>0</v>
      </c>
      <c r="R128">
        <v>0</v>
      </c>
      <c r="S128">
        <v>0</v>
      </c>
      <c r="T128">
        <v>0</v>
      </c>
      <c r="V128">
        <v>0.38500000000000001</v>
      </c>
      <c r="W128">
        <v>0</v>
      </c>
      <c r="X128">
        <v>0</v>
      </c>
      <c r="Y128">
        <v>0</v>
      </c>
      <c r="Z128">
        <v>0</v>
      </c>
      <c r="AB128">
        <v>-0.40250000000000002</v>
      </c>
      <c r="AC128">
        <v>0</v>
      </c>
      <c r="AD128">
        <v>0</v>
      </c>
      <c r="AE128">
        <v>2</v>
      </c>
      <c r="AF128">
        <v>0</v>
      </c>
      <c r="AH128">
        <v>-0.16250000000000001</v>
      </c>
      <c r="AI128">
        <v>0</v>
      </c>
      <c r="AJ128">
        <v>0</v>
      </c>
      <c r="AK128">
        <v>0</v>
      </c>
      <c r="AL128">
        <v>0</v>
      </c>
      <c r="AN128">
        <v>-2.75E-2</v>
      </c>
      <c r="AO128">
        <v>0</v>
      </c>
      <c r="AP128">
        <v>0</v>
      </c>
      <c r="AQ128">
        <v>0</v>
      </c>
      <c r="AR128">
        <v>0</v>
      </c>
    </row>
    <row r="129" spans="4:44" x14ac:dyDescent="0.2">
      <c r="D129">
        <v>-0.85250000000000004</v>
      </c>
      <c r="E129">
        <v>0</v>
      </c>
      <c r="F129">
        <v>0</v>
      </c>
      <c r="G129">
        <v>0</v>
      </c>
      <c r="H129">
        <v>0</v>
      </c>
      <c r="J129">
        <v>-5.5E-2</v>
      </c>
      <c r="K129">
        <v>0</v>
      </c>
      <c r="L129">
        <v>0</v>
      </c>
      <c r="M129">
        <v>0</v>
      </c>
      <c r="N129">
        <v>0</v>
      </c>
      <c r="P129">
        <v>-5.2499999999999998E-2</v>
      </c>
      <c r="Q129">
        <v>0</v>
      </c>
      <c r="R129">
        <v>0</v>
      </c>
      <c r="S129">
        <v>0</v>
      </c>
      <c r="T129">
        <v>0</v>
      </c>
      <c r="V129">
        <v>0.38500000000000001</v>
      </c>
      <c r="W129">
        <v>0</v>
      </c>
      <c r="X129">
        <v>0</v>
      </c>
      <c r="Y129">
        <v>0</v>
      </c>
      <c r="Z129">
        <v>0</v>
      </c>
      <c r="AB129">
        <v>-0.2175</v>
      </c>
      <c r="AC129">
        <v>0</v>
      </c>
      <c r="AD129">
        <v>0</v>
      </c>
      <c r="AE129">
        <v>2</v>
      </c>
      <c r="AF129">
        <v>0</v>
      </c>
      <c r="AH129">
        <v>-0.16250000000000001</v>
      </c>
      <c r="AI129">
        <v>0</v>
      </c>
      <c r="AJ129">
        <v>0</v>
      </c>
      <c r="AK129">
        <v>0</v>
      </c>
      <c r="AL129">
        <v>0</v>
      </c>
      <c r="AN129">
        <v>-0.11</v>
      </c>
      <c r="AO129">
        <v>0</v>
      </c>
      <c r="AP129">
        <v>0</v>
      </c>
      <c r="AQ129">
        <v>0</v>
      </c>
      <c r="AR129">
        <v>0</v>
      </c>
    </row>
    <row r="130" spans="4:44" x14ac:dyDescent="0.2">
      <c r="D130">
        <v>-0.85250000000000004</v>
      </c>
      <c r="E130">
        <v>0</v>
      </c>
      <c r="F130">
        <v>0</v>
      </c>
      <c r="G130">
        <v>0</v>
      </c>
      <c r="H130">
        <v>0</v>
      </c>
      <c r="J130">
        <v>-1.4999999999999999E-2</v>
      </c>
      <c r="K130">
        <v>0</v>
      </c>
      <c r="L130">
        <v>0</v>
      </c>
      <c r="M130">
        <v>0</v>
      </c>
      <c r="N130">
        <v>0</v>
      </c>
      <c r="P130">
        <v>-5.2499999999999998E-2</v>
      </c>
      <c r="Q130">
        <v>0</v>
      </c>
      <c r="R130">
        <v>0</v>
      </c>
      <c r="S130">
        <v>0</v>
      </c>
      <c r="T130">
        <v>0</v>
      </c>
      <c r="V130">
        <v>0.38500000000000001</v>
      </c>
      <c r="W130">
        <v>0</v>
      </c>
      <c r="X130">
        <v>0</v>
      </c>
      <c r="Y130">
        <v>0</v>
      </c>
      <c r="Z130">
        <v>0</v>
      </c>
      <c r="AB130">
        <v>-8.7499999999999994E-2</v>
      </c>
      <c r="AC130">
        <v>0</v>
      </c>
      <c r="AD130">
        <v>0</v>
      </c>
      <c r="AE130">
        <v>2</v>
      </c>
      <c r="AF130">
        <v>0</v>
      </c>
      <c r="AH130">
        <v>-0.16250000000000001</v>
      </c>
      <c r="AI130">
        <v>0</v>
      </c>
      <c r="AJ130">
        <v>0</v>
      </c>
      <c r="AK130">
        <v>0</v>
      </c>
      <c r="AL130">
        <v>0</v>
      </c>
      <c r="AN130">
        <v>-0.115</v>
      </c>
      <c r="AO130">
        <v>0</v>
      </c>
      <c r="AP130">
        <v>0</v>
      </c>
      <c r="AQ130">
        <v>0</v>
      </c>
      <c r="AR130">
        <v>0</v>
      </c>
    </row>
    <row r="131" spans="4:44" x14ac:dyDescent="0.2">
      <c r="D131">
        <v>-0.36249999999999999</v>
      </c>
      <c r="E131">
        <v>0</v>
      </c>
      <c r="F131">
        <v>0</v>
      </c>
      <c r="G131">
        <v>0</v>
      </c>
      <c r="H131">
        <v>0</v>
      </c>
      <c r="J131">
        <v>-0.15</v>
      </c>
      <c r="K131">
        <v>0</v>
      </c>
      <c r="L131">
        <v>0</v>
      </c>
      <c r="M131">
        <v>0</v>
      </c>
      <c r="N131">
        <v>0</v>
      </c>
      <c r="P131">
        <v>-5.2499999999999998E-2</v>
      </c>
      <c r="Q131">
        <v>0</v>
      </c>
      <c r="R131">
        <v>0</v>
      </c>
      <c r="S131">
        <v>0</v>
      </c>
      <c r="T131">
        <v>0</v>
      </c>
      <c r="V131">
        <v>0.38500000000000001</v>
      </c>
      <c r="W131">
        <v>0</v>
      </c>
      <c r="X131">
        <v>0</v>
      </c>
      <c r="Y131">
        <v>0</v>
      </c>
      <c r="Z131">
        <v>0</v>
      </c>
      <c r="AB131">
        <v>-0.14499999999999999</v>
      </c>
      <c r="AC131">
        <v>0</v>
      </c>
      <c r="AD131">
        <v>0</v>
      </c>
      <c r="AE131">
        <v>0</v>
      </c>
      <c r="AF131">
        <v>0</v>
      </c>
      <c r="AH131">
        <v>-0.16250000000000001</v>
      </c>
      <c r="AI131">
        <v>0</v>
      </c>
      <c r="AJ131">
        <v>0</v>
      </c>
      <c r="AK131">
        <v>0</v>
      </c>
      <c r="AL131">
        <v>0</v>
      </c>
      <c r="AN131">
        <v>-5.7500000000000002E-2</v>
      </c>
      <c r="AO131">
        <v>0</v>
      </c>
      <c r="AP131">
        <v>0</v>
      </c>
      <c r="AQ131">
        <v>0</v>
      </c>
      <c r="AR131">
        <v>0</v>
      </c>
    </row>
    <row r="132" spans="4:44" x14ac:dyDescent="0.2">
      <c r="D132">
        <v>-0.35499999999999998</v>
      </c>
      <c r="E132">
        <v>0</v>
      </c>
      <c r="F132">
        <v>0</v>
      </c>
      <c r="G132">
        <v>0</v>
      </c>
      <c r="H132">
        <v>0</v>
      </c>
      <c r="J132">
        <v>-0.15</v>
      </c>
      <c r="K132">
        <v>0</v>
      </c>
      <c r="L132">
        <v>0</v>
      </c>
      <c r="M132">
        <v>0</v>
      </c>
      <c r="N132">
        <v>0</v>
      </c>
      <c r="P132">
        <v>-5.2499999999999998E-2</v>
      </c>
      <c r="Q132">
        <v>0</v>
      </c>
      <c r="R132">
        <v>0</v>
      </c>
      <c r="S132">
        <v>0</v>
      </c>
      <c r="T132">
        <v>0</v>
      </c>
      <c r="V132">
        <v>0.38500000000000001</v>
      </c>
      <c r="W132">
        <v>0</v>
      </c>
      <c r="X132">
        <v>0</v>
      </c>
      <c r="Y132">
        <v>0</v>
      </c>
      <c r="Z132">
        <v>0</v>
      </c>
      <c r="AB132">
        <v>-0.16250000000000001</v>
      </c>
      <c r="AC132">
        <v>0</v>
      </c>
      <c r="AD132">
        <v>0</v>
      </c>
      <c r="AE132">
        <v>0</v>
      </c>
      <c r="AF132">
        <v>0</v>
      </c>
      <c r="AH132">
        <v>-0.16250000000000001</v>
      </c>
      <c r="AI132">
        <v>0</v>
      </c>
      <c r="AJ132">
        <v>0</v>
      </c>
      <c r="AK132">
        <v>0</v>
      </c>
      <c r="AL132">
        <v>0</v>
      </c>
      <c r="AN132">
        <v>-5.7500000000000002E-2</v>
      </c>
      <c r="AO132">
        <v>0</v>
      </c>
      <c r="AP132">
        <v>0</v>
      </c>
      <c r="AQ132">
        <v>0</v>
      </c>
      <c r="AR132">
        <v>0</v>
      </c>
    </row>
    <row r="133" spans="4:44" x14ac:dyDescent="0.2">
      <c r="D133">
        <v>-0.27250000000000002</v>
      </c>
      <c r="E133">
        <v>0</v>
      </c>
      <c r="F133">
        <v>0</v>
      </c>
      <c r="G133">
        <v>0</v>
      </c>
      <c r="H133">
        <v>0</v>
      </c>
      <c r="J133">
        <v>-7.0000000000000007E-2</v>
      </c>
      <c r="K133">
        <v>0</v>
      </c>
      <c r="L133">
        <v>0</v>
      </c>
      <c r="M133">
        <v>0</v>
      </c>
      <c r="N133">
        <v>0</v>
      </c>
      <c r="P133">
        <v>-3.7499999999999999E-2</v>
      </c>
      <c r="Q133">
        <v>0</v>
      </c>
      <c r="R133">
        <v>0</v>
      </c>
      <c r="S133">
        <v>0</v>
      </c>
      <c r="T133">
        <v>0</v>
      </c>
      <c r="V133">
        <v>0.4325</v>
      </c>
      <c r="W133">
        <v>0</v>
      </c>
      <c r="X133">
        <v>0</v>
      </c>
      <c r="Y133">
        <v>0</v>
      </c>
      <c r="Z133">
        <v>0</v>
      </c>
      <c r="AB133">
        <v>-0.2225</v>
      </c>
      <c r="AC133">
        <v>0</v>
      </c>
      <c r="AD133">
        <v>0</v>
      </c>
      <c r="AE133">
        <v>0</v>
      </c>
      <c r="AF133">
        <v>0</v>
      </c>
      <c r="AH133">
        <v>-0.11</v>
      </c>
      <c r="AI133">
        <v>0</v>
      </c>
      <c r="AJ133">
        <v>0</v>
      </c>
      <c r="AK133">
        <v>0</v>
      </c>
      <c r="AL133">
        <v>0</v>
      </c>
      <c r="AN133">
        <v>-5.2499999999999998E-2</v>
      </c>
      <c r="AO133">
        <v>0</v>
      </c>
      <c r="AP133">
        <v>0</v>
      </c>
      <c r="AQ133">
        <v>0</v>
      </c>
      <c r="AR133">
        <v>0</v>
      </c>
    </row>
    <row r="134" spans="4:44" x14ac:dyDescent="0.2">
      <c r="D134">
        <v>-0.29499999999999998</v>
      </c>
      <c r="E134">
        <v>0</v>
      </c>
      <c r="F134">
        <v>0</v>
      </c>
      <c r="G134">
        <v>0</v>
      </c>
      <c r="H134">
        <v>0</v>
      </c>
      <c r="J134">
        <v>-7.0000000000000007E-2</v>
      </c>
      <c r="K134">
        <v>0</v>
      </c>
      <c r="L134">
        <v>0</v>
      </c>
      <c r="M134">
        <v>0</v>
      </c>
      <c r="N134">
        <v>0</v>
      </c>
      <c r="P134">
        <v>-3.7499999999999999E-2</v>
      </c>
      <c r="Q134">
        <v>0</v>
      </c>
      <c r="R134">
        <v>0</v>
      </c>
      <c r="S134">
        <v>0</v>
      </c>
      <c r="T134">
        <v>0</v>
      </c>
      <c r="V134">
        <v>0.4325</v>
      </c>
      <c r="W134">
        <v>0</v>
      </c>
      <c r="X134">
        <v>0</v>
      </c>
      <c r="Y134">
        <v>0</v>
      </c>
      <c r="Z134">
        <v>0</v>
      </c>
      <c r="AB134">
        <v>-0.41249999999999998</v>
      </c>
      <c r="AC134">
        <v>0</v>
      </c>
      <c r="AD134">
        <v>0</v>
      </c>
      <c r="AE134">
        <v>0</v>
      </c>
      <c r="AF134">
        <v>0</v>
      </c>
      <c r="AH134">
        <v>-0.11</v>
      </c>
      <c r="AI134">
        <v>0</v>
      </c>
      <c r="AJ134">
        <v>0</v>
      </c>
      <c r="AK134">
        <v>0</v>
      </c>
      <c r="AL134">
        <v>0</v>
      </c>
      <c r="AN134">
        <v>-5.2499999999999998E-2</v>
      </c>
      <c r="AO134">
        <v>0</v>
      </c>
      <c r="AP134">
        <v>0</v>
      </c>
      <c r="AQ134">
        <v>0</v>
      </c>
      <c r="AR134">
        <v>0</v>
      </c>
    </row>
    <row r="135" spans="4:44" x14ac:dyDescent="0.2">
      <c r="D135" t="str">
        <f>IF(ISERROR(VLOOKUP("ICE."&amp;$B135&amp;"."&amp;$A135,AEC!records,D$1,FALSE)),"",VLOOKUP("ICE."&amp;$B135&amp;"."&amp;$A135,AEC!records,D$1,FALSE))</f>
        <v/>
      </c>
      <c r="E135" t="str">
        <f>IF(ISERROR(VLOOKUP("ICE."&amp;$B135&amp;"."&amp;$A135,AEC!records,E$1,FALSE)),"",VLOOKUP("ICE."&amp;$B135&amp;"."&amp;$A135,AEC!records,E$1,FALSE))</f>
        <v/>
      </c>
      <c r="F135" t="str">
        <f>IF(ISERROR(VLOOKUP("ICE."&amp;$B135&amp;"."&amp;$A135,AEC!records,F$1,FALSE)),"",VLOOKUP("ICE."&amp;$B135&amp;"."&amp;$A135,AEC!records,F$1,FALSE))</f>
        <v/>
      </c>
      <c r="J135" t="str">
        <f>IF(ISERROR(VLOOKUP("ICE."&amp;$B135&amp;"."&amp;$A135,DGD!records,J$1,FALSE)),"",VLOOKUP("ICE."&amp;$B135&amp;"."&amp;$A135,DGD!records,J$1,FALSE))</f>
        <v/>
      </c>
      <c r="K135" t="str">
        <f>IF(ISERROR(VLOOKUP("ICE."&amp;$B135&amp;"."&amp;$A135,DGD!records,K$1,FALSE)),"",VLOOKUP("ICE."&amp;$B135&amp;"."&amp;$A135,DGD!records,K$1,FALSE))</f>
        <v/>
      </c>
      <c r="L135" t="str">
        <f>IF(ISERROR(VLOOKUP("ICE."&amp;$B135&amp;"."&amp;$A135,DGD!records,L$1,FALSE)),"",VLOOKUP("ICE."&amp;$B135&amp;"."&amp;$A135,DGD!records,L$1,FALSE))</f>
        <v/>
      </c>
      <c r="P135" t="str">
        <f>IF(ISERROR(VLOOKUP("ICE."&amp;$B135&amp;"."&amp;$A135,NWR!records,P$1,FALSE)),"",VLOOKUP("ICE."&amp;$B135&amp;"."&amp;$A135,NWR!records,P$1,FALSE))</f>
        <v/>
      </c>
      <c r="Q135" t="str">
        <f>IF(ISERROR(VLOOKUP("ICE."&amp;$B135&amp;"."&amp;$A135,NWR!records,Q$1,FALSE)),"",VLOOKUP("ICE."&amp;$B135&amp;"."&amp;$A135,NWR!records,Q$1,FALSE))</f>
        <v/>
      </c>
      <c r="R135" t="str">
        <f>IF(ISERROR(VLOOKUP("ICE."&amp;$B135&amp;"."&amp;$A135,NWR!records,R$1,FALSE)),"",VLOOKUP("ICE."&amp;$B135&amp;"."&amp;$A135,NWR!records,R$1,FALSE))</f>
        <v/>
      </c>
      <c r="V135" t="str">
        <f>IF(ISERROR(VLOOKUP("ICE."&amp;$B135&amp;"."&amp;$A135,PGE!records,V$1,FALSE)),"",VLOOKUP("ICE."&amp;$B135&amp;"."&amp;$A135,PGE!records,V$1,FALSE))</f>
        <v/>
      </c>
      <c r="W135" t="str">
        <f>IF(ISERROR(VLOOKUP("ICE."&amp;$B135&amp;"."&amp;$A135,PGE!records,W$1,FALSE)),"",VLOOKUP("ICE."&amp;$B135&amp;"."&amp;$A135,PGE!records,W$1,FALSE))</f>
        <v/>
      </c>
      <c r="X135" t="str">
        <f>IF(ISERROR(VLOOKUP("ICE."&amp;$B135&amp;"."&amp;$A135,PGE!records,X$1,FALSE)),"",VLOOKUP("ICE."&amp;$B135&amp;"."&amp;$A135,PGE!records,X$1,FALSE))</f>
        <v/>
      </c>
      <c r="AB135">
        <v>-0.40500000000000003</v>
      </c>
      <c r="AC135">
        <v>0</v>
      </c>
      <c r="AD135">
        <v>0</v>
      </c>
      <c r="AE135">
        <v>0</v>
      </c>
      <c r="AF135">
        <v>0</v>
      </c>
      <c r="AH135" t="str">
        <f>IF(ISERROR(VLOOKUP("ICE."&amp;$B135&amp;"."&amp;$A135,WAH!records,AH$1,FALSE)),"",VLOOKUP("ICE."&amp;$B135&amp;"."&amp;$A135,WAH!records,AH$1,FALSE))</f>
        <v/>
      </c>
      <c r="AI135" t="str">
        <f>IF(ISERROR(VLOOKUP("ICE."&amp;$B135&amp;"."&amp;$A135,WAH!records,AI$1,FALSE)),"",VLOOKUP("ICE."&amp;$B135&amp;"."&amp;$A135,WAH!records,AI$1,FALSE))</f>
        <v/>
      </c>
      <c r="AJ135" t="str">
        <f>IF(ISERROR(VLOOKUP("ICE."&amp;$B135&amp;"."&amp;$A135,WAH!records,AJ$1,FALSE)),"",VLOOKUP("ICE."&amp;$B135&amp;"."&amp;$A135,WAH!records,AJ$1,FALSE))</f>
        <v/>
      </c>
      <c r="AN135" t="str">
        <f>IF(ISERROR(VLOOKUP("ICE."&amp;$B135&amp;"."&amp;$A135,HSC!records,AN$1,FALSE)),"",VLOOKUP("ICE."&amp;$B135&amp;"."&amp;$A135,HSC!records,AN$1,FALSE))</f>
        <v/>
      </c>
      <c r="AO135" t="str">
        <f>IF(ISERROR(VLOOKUP("ICE."&amp;$B135&amp;"."&amp;$A135,HSC!records,AO$1,FALSE)),"",VLOOKUP("ICE."&amp;$B135&amp;"."&amp;$A135,HSC!records,AO$1,FALSE))</f>
        <v/>
      </c>
      <c r="AP135" t="str">
        <f>IF(ISERROR(VLOOKUP("ICE."&amp;$B135&amp;"."&amp;$A135,HSC!records,AP$1,FALSE)),"",VLOOKUP("ICE."&amp;$B135&amp;"."&amp;$A135,HSC!records,AP$1,FALSE))</f>
        <v/>
      </c>
    </row>
    <row r="136" spans="4:44" x14ac:dyDescent="0.2">
      <c r="D136" t="str">
        <f>IF(ISERROR(VLOOKUP("ICE."&amp;$B136&amp;"."&amp;$A136,AEC!records,D$1,FALSE)),"",VLOOKUP("ICE."&amp;$B136&amp;"."&amp;$A136,AEC!records,D$1,FALSE))</f>
        <v/>
      </c>
      <c r="E136" t="str">
        <f>IF(ISERROR(VLOOKUP("ICE."&amp;$B136&amp;"."&amp;$A136,AEC!records,E$1,FALSE)),"",VLOOKUP("ICE."&amp;$B136&amp;"."&amp;$A136,AEC!records,E$1,FALSE))</f>
        <v/>
      </c>
      <c r="F136" t="str">
        <f>IF(ISERROR(VLOOKUP("ICE."&amp;$B136&amp;"."&amp;$A136,AEC!records,F$1,FALSE)),"",VLOOKUP("ICE."&amp;$B136&amp;"."&amp;$A136,AEC!records,F$1,FALSE))</f>
        <v/>
      </c>
      <c r="J136" t="str">
        <f>IF(ISERROR(VLOOKUP("ICE."&amp;$B136&amp;"."&amp;$A136,DGD!records,J$1,FALSE)),"",VLOOKUP("ICE."&amp;$B136&amp;"."&amp;$A136,DGD!records,J$1,FALSE))</f>
        <v/>
      </c>
      <c r="K136" t="str">
        <f>IF(ISERROR(VLOOKUP("ICE."&amp;$B136&amp;"."&amp;$A136,DGD!records,K$1,FALSE)),"",VLOOKUP("ICE."&amp;$B136&amp;"."&amp;$A136,DGD!records,K$1,FALSE))</f>
        <v/>
      </c>
      <c r="L136" t="str">
        <f>IF(ISERROR(VLOOKUP("ICE."&amp;$B136&amp;"."&amp;$A136,DGD!records,L$1,FALSE)),"",VLOOKUP("ICE."&amp;$B136&amp;"."&amp;$A136,DGD!records,L$1,FALSE))</f>
        <v/>
      </c>
      <c r="P136" t="str">
        <f>IF(ISERROR(VLOOKUP("ICE."&amp;$B136&amp;"."&amp;$A136,NWR!records,P$1,FALSE)),"",VLOOKUP("ICE."&amp;$B136&amp;"."&amp;$A136,NWR!records,P$1,FALSE))</f>
        <v/>
      </c>
      <c r="Q136" t="str">
        <f>IF(ISERROR(VLOOKUP("ICE."&amp;$B136&amp;"."&amp;$A136,NWR!records,Q$1,FALSE)),"",VLOOKUP("ICE."&amp;$B136&amp;"."&amp;$A136,NWR!records,Q$1,FALSE))</f>
        <v/>
      </c>
      <c r="R136" t="str">
        <f>IF(ISERROR(VLOOKUP("ICE."&amp;$B136&amp;"."&amp;$A136,NWR!records,R$1,FALSE)),"",VLOOKUP("ICE."&amp;$B136&amp;"."&amp;$A136,NWR!records,R$1,FALSE))</f>
        <v/>
      </c>
      <c r="V136" t="str">
        <f>IF(ISERROR(VLOOKUP("ICE."&amp;$B136&amp;"."&amp;$A136,PGE!records,V$1,FALSE)),"",VLOOKUP("ICE."&amp;$B136&amp;"."&amp;$A136,PGE!records,V$1,FALSE))</f>
        <v/>
      </c>
      <c r="W136" t="str">
        <f>IF(ISERROR(VLOOKUP("ICE."&amp;$B136&amp;"."&amp;$A136,PGE!records,W$1,FALSE)),"",VLOOKUP("ICE."&amp;$B136&amp;"."&amp;$A136,PGE!records,W$1,FALSE))</f>
        <v/>
      </c>
      <c r="X136" t="str">
        <f>IF(ISERROR(VLOOKUP("ICE."&amp;$B136&amp;"."&amp;$A136,PGE!records,X$1,FALSE)),"",VLOOKUP("ICE."&amp;$B136&amp;"."&amp;$A136,PGE!records,X$1,FALSE))</f>
        <v/>
      </c>
      <c r="AB136">
        <v>-0.39750000000000002</v>
      </c>
      <c r="AC136">
        <v>0</v>
      </c>
      <c r="AD136">
        <v>0</v>
      </c>
      <c r="AE136">
        <v>0</v>
      </c>
      <c r="AF136">
        <v>0</v>
      </c>
      <c r="AH136" t="str">
        <f>IF(ISERROR(VLOOKUP("ICE."&amp;$B136&amp;"."&amp;$A136,WAH!records,AH$1,FALSE)),"",VLOOKUP("ICE."&amp;$B136&amp;"."&amp;$A136,WAH!records,AH$1,FALSE))</f>
        <v/>
      </c>
      <c r="AI136" t="str">
        <f>IF(ISERROR(VLOOKUP("ICE."&amp;$B136&amp;"."&amp;$A136,WAH!records,AI$1,FALSE)),"",VLOOKUP("ICE."&amp;$B136&amp;"."&amp;$A136,WAH!records,AI$1,FALSE))</f>
        <v/>
      </c>
      <c r="AJ136" t="str">
        <f>IF(ISERROR(VLOOKUP("ICE."&amp;$B136&amp;"."&amp;$A136,WAH!records,AJ$1,FALSE)),"",VLOOKUP("ICE."&amp;$B136&amp;"."&amp;$A136,WAH!records,AJ$1,FALSE))</f>
        <v/>
      </c>
      <c r="AN136" t="str">
        <f>IF(ISERROR(VLOOKUP("ICE."&amp;$B136&amp;"."&amp;$A136,HSC!records,AN$1,FALSE)),"",VLOOKUP("ICE."&amp;$B136&amp;"."&amp;$A136,HSC!records,AN$1,FALSE))</f>
        <v/>
      </c>
      <c r="AO136" t="str">
        <f>IF(ISERROR(VLOOKUP("ICE."&amp;$B136&amp;"."&amp;$A136,HSC!records,AO$1,FALSE)),"",VLOOKUP("ICE."&amp;$B136&amp;"."&amp;$A136,HSC!records,AO$1,FALSE))</f>
        <v/>
      </c>
      <c r="AP136" t="str">
        <f>IF(ISERROR(VLOOKUP("ICE."&amp;$B136&amp;"."&amp;$A136,HSC!records,AP$1,FALSE)),"",VLOOKUP("ICE."&amp;$B136&amp;"."&amp;$A136,HSC!records,AP$1,FALSE))</f>
        <v/>
      </c>
    </row>
    <row r="137" spans="4:44" x14ac:dyDescent="0.2">
      <c r="D137" t="str">
        <f>IF(ISERROR(VLOOKUP("ICE."&amp;$B137&amp;"."&amp;$A137,AEC!records,D$1,FALSE)),"",VLOOKUP("ICE."&amp;$B137&amp;"."&amp;$A137,AEC!records,D$1,FALSE))</f>
        <v/>
      </c>
      <c r="E137" t="str">
        <f>IF(ISERROR(VLOOKUP("ICE."&amp;$B137&amp;"."&amp;$A137,AEC!records,E$1,FALSE)),"",VLOOKUP("ICE."&amp;$B137&amp;"."&amp;$A137,AEC!records,E$1,FALSE))</f>
        <v/>
      </c>
      <c r="F137" t="str">
        <f>IF(ISERROR(VLOOKUP("ICE."&amp;$B137&amp;"."&amp;$A137,AEC!records,F$1,FALSE)),"",VLOOKUP("ICE."&amp;$B137&amp;"."&amp;$A137,AEC!records,F$1,FALSE))</f>
        <v/>
      </c>
      <c r="J137" t="str">
        <f>IF(ISERROR(VLOOKUP("ICE."&amp;$B137&amp;"."&amp;$A137,DGD!records,J$1,FALSE)),"",VLOOKUP("ICE."&amp;$B137&amp;"."&amp;$A137,DGD!records,J$1,FALSE))</f>
        <v/>
      </c>
      <c r="K137" t="str">
        <f>IF(ISERROR(VLOOKUP("ICE."&amp;$B137&amp;"."&amp;$A137,DGD!records,K$1,FALSE)),"",VLOOKUP("ICE."&amp;$B137&amp;"."&amp;$A137,DGD!records,K$1,FALSE))</f>
        <v/>
      </c>
      <c r="L137" t="str">
        <f>IF(ISERROR(VLOOKUP("ICE."&amp;$B137&amp;"."&amp;$A137,DGD!records,L$1,FALSE)),"",VLOOKUP("ICE."&amp;$B137&amp;"."&amp;$A137,DGD!records,L$1,FALSE))</f>
        <v/>
      </c>
      <c r="P137" t="str">
        <f>IF(ISERROR(VLOOKUP("ICE."&amp;$B137&amp;"."&amp;$A137,NWR!records,P$1,FALSE)),"",VLOOKUP("ICE."&amp;$B137&amp;"."&amp;$A137,NWR!records,P$1,FALSE))</f>
        <v/>
      </c>
      <c r="Q137" t="str">
        <f>IF(ISERROR(VLOOKUP("ICE."&amp;$B137&amp;"."&amp;$A137,NWR!records,Q$1,FALSE)),"",VLOOKUP("ICE."&amp;$B137&amp;"."&amp;$A137,NWR!records,Q$1,FALSE))</f>
        <v/>
      </c>
      <c r="R137" t="str">
        <f>IF(ISERROR(VLOOKUP("ICE."&amp;$B137&amp;"."&amp;$A137,NWR!records,R$1,FALSE)),"",VLOOKUP("ICE."&amp;$B137&amp;"."&amp;$A137,NWR!records,R$1,FALSE))</f>
        <v/>
      </c>
      <c r="V137" t="str">
        <f>IF(ISERROR(VLOOKUP("ICE."&amp;$B137&amp;"."&amp;$A137,PGE!records,V$1,FALSE)),"",VLOOKUP("ICE."&amp;$B137&amp;"."&amp;$A137,PGE!records,V$1,FALSE))</f>
        <v/>
      </c>
      <c r="W137" t="str">
        <f>IF(ISERROR(VLOOKUP("ICE."&amp;$B137&amp;"."&amp;$A137,PGE!records,W$1,FALSE)),"",VLOOKUP("ICE."&amp;$B137&amp;"."&amp;$A137,PGE!records,W$1,FALSE))</f>
        <v/>
      </c>
      <c r="X137" t="str">
        <f>IF(ISERROR(VLOOKUP("ICE."&amp;$B137&amp;"."&amp;$A137,PGE!records,X$1,FALSE)),"",VLOOKUP("ICE."&amp;$B137&amp;"."&amp;$A137,PGE!records,X$1,FALSE))</f>
        <v/>
      </c>
      <c r="AB137">
        <v>-0.27</v>
      </c>
      <c r="AC137">
        <v>0</v>
      </c>
      <c r="AD137">
        <v>0</v>
      </c>
      <c r="AE137">
        <v>0</v>
      </c>
      <c r="AF137">
        <v>0</v>
      </c>
      <c r="AH137" t="str">
        <f>IF(ISERROR(VLOOKUP("ICE."&amp;$B137&amp;"."&amp;$A137,WAH!records,AH$1,FALSE)),"",VLOOKUP("ICE."&amp;$B137&amp;"."&amp;$A137,WAH!records,AH$1,FALSE))</f>
        <v/>
      </c>
      <c r="AI137" t="str">
        <f>IF(ISERROR(VLOOKUP("ICE."&amp;$B137&amp;"."&amp;$A137,WAH!records,AI$1,FALSE)),"",VLOOKUP("ICE."&amp;$B137&amp;"."&amp;$A137,WAH!records,AI$1,FALSE))</f>
        <v/>
      </c>
      <c r="AJ137" t="str">
        <f>IF(ISERROR(VLOOKUP("ICE."&amp;$B137&amp;"."&amp;$A137,WAH!records,AJ$1,FALSE)),"",VLOOKUP("ICE."&amp;$B137&amp;"."&amp;$A137,WAH!records,AJ$1,FALSE))</f>
        <v/>
      </c>
      <c r="AN137" t="str">
        <f>IF(ISERROR(VLOOKUP("ICE."&amp;$B137&amp;"."&amp;$A137,HSC!records,AN$1,FALSE)),"",VLOOKUP("ICE."&amp;$B137&amp;"."&amp;$A137,HSC!records,AN$1,FALSE))</f>
        <v/>
      </c>
      <c r="AO137" t="str">
        <f>IF(ISERROR(VLOOKUP("ICE."&amp;$B137&amp;"."&amp;$A137,HSC!records,AO$1,FALSE)),"",VLOOKUP("ICE."&amp;$B137&amp;"."&amp;$A137,HSC!records,AO$1,FALSE))</f>
        <v/>
      </c>
      <c r="AP137" t="str">
        <f>IF(ISERROR(VLOOKUP("ICE."&amp;$B137&amp;"."&amp;$A137,HSC!records,AP$1,FALSE)),"",VLOOKUP("ICE."&amp;$B137&amp;"."&amp;$A137,HSC!records,AP$1,FALSE))</f>
        <v/>
      </c>
    </row>
    <row r="138" spans="4:44" x14ac:dyDescent="0.2">
      <c r="AB138">
        <v>-0.255</v>
      </c>
      <c r="AC138">
        <v>0</v>
      </c>
      <c r="AD138">
        <v>0</v>
      </c>
      <c r="AE138">
        <v>0</v>
      </c>
      <c r="AF138">
        <v>0</v>
      </c>
    </row>
    <row r="139" spans="4:44" x14ac:dyDescent="0.2">
      <c r="AB139">
        <v>-0.34749999999999998</v>
      </c>
      <c r="AC139">
        <v>0</v>
      </c>
      <c r="AD139">
        <v>0</v>
      </c>
      <c r="AE139">
        <v>0</v>
      </c>
      <c r="AF139">
        <v>0</v>
      </c>
    </row>
    <row r="140" spans="4:44" x14ac:dyDescent="0.2">
      <c r="AB140">
        <v>-0.40250000000000002</v>
      </c>
      <c r="AC140">
        <v>0</v>
      </c>
      <c r="AD140">
        <v>0</v>
      </c>
      <c r="AE140">
        <v>0</v>
      </c>
      <c r="AF140">
        <v>0</v>
      </c>
    </row>
    <row r="141" spans="4:44" x14ac:dyDescent="0.2">
      <c r="AB141">
        <v>-0.22750000000000001</v>
      </c>
      <c r="AC141">
        <v>0</v>
      </c>
      <c r="AD141">
        <v>0</v>
      </c>
      <c r="AE141">
        <v>0</v>
      </c>
      <c r="AF141">
        <v>0</v>
      </c>
    </row>
    <row r="142" spans="4:44" x14ac:dyDescent="0.2">
      <c r="AB142">
        <v>-9.7500000000000003E-2</v>
      </c>
      <c r="AC142">
        <v>0</v>
      </c>
      <c r="AD142">
        <v>0</v>
      </c>
      <c r="AE142">
        <v>0</v>
      </c>
      <c r="AF142">
        <v>0</v>
      </c>
    </row>
    <row r="143" spans="4:44" x14ac:dyDescent="0.2">
      <c r="AB143">
        <v>-0.155</v>
      </c>
      <c r="AC143">
        <v>0</v>
      </c>
      <c r="AD143">
        <v>0</v>
      </c>
      <c r="AE143">
        <v>0</v>
      </c>
      <c r="AF143">
        <v>0</v>
      </c>
    </row>
    <row r="144" spans="4:44" x14ac:dyDescent="0.2">
      <c r="AB144">
        <v>-0.17249999999999999</v>
      </c>
      <c r="AC144">
        <v>0</v>
      </c>
      <c r="AD144">
        <v>0</v>
      </c>
      <c r="AE144">
        <v>0</v>
      </c>
      <c r="AF144">
        <v>0</v>
      </c>
    </row>
    <row r="145" spans="28:32" customFormat="1" x14ac:dyDescent="0.2">
      <c r="AB145">
        <v>-0.23250000000000001</v>
      </c>
      <c r="AC145">
        <v>0</v>
      </c>
      <c r="AD145">
        <v>0</v>
      </c>
      <c r="AE145">
        <v>0</v>
      </c>
      <c r="AF145">
        <v>0</v>
      </c>
    </row>
    <row r="146" spans="28:32" customFormat="1" x14ac:dyDescent="0.2">
      <c r="AB146">
        <v>-0.42749999999999999</v>
      </c>
      <c r="AC146">
        <v>0</v>
      </c>
      <c r="AD146">
        <v>0</v>
      </c>
      <c r="AE146">
        <v>0</v>
      </c>
      <c r="AF146">
        <v>0</v>
      </c>
    </row>
    <row r="147" spans="28:32" customFormat="1" x14ac:dyDescent="0.2">
      <c r="AB147">
        <v>-0.42</v>
      </c>
      <c r="AC147">
        <v>0</v>
      </c>
      <c r="AD147">
        <v>0</v>
      </c>
      <c r="AE147">
        <v>0</v>
      </c>
      <c r="AF147">
        <v>0</v>
      </c>
    </row>
    <row r="148" spans="28:32" customFormat="1" x14ac:dyDescent="0.2">
      <c r="AB148">
        <v>-0.41249999999999998</v>
      </c>
      <c r="AC148">
        <v>0</v>
      </c>
      <c r="AD148">
        <v>0</v>
      </c>
      <c r="AE148">
        <v>0</v>
      </c>
      <c r="AF148">
        <v>0</v>
      </c>
    </row>
    <row r="149" spans="28:32" customFormat="1" x14ac:dyDescent="0.2">
      <c r="AB149">
        <v>-0.28499999999999998</v>
      </c>
      <c r="AC149">
        <v>0</v>
      </c>
      <c r="AD149">
        <v>0</v>
      </c>
      <c r="AE149">
        <v>0</v>
      </c>
      <c r="AF149">
        <v>0</v>
      </c>
    </row>
    <row r="150" spans="28:32" customFormat="1" x14ac:dyDescent="0.2">
      <c r="AB150">
        <v>-0.27</v>
      </c>
      <c r="AC150">
        <v>0</v>
      </c>
      <c r="AD150">
        <v>0</v>
      </c>
      <c r="AE150">
        <v>0</v>
      </c>
      <c r="AF150">
        <v>0</v>
      </c>
    </row>
    <row r="151" spans="28:32" customFormat="1" x14ac:dyDescent="0.2">
      <c r="AB151">
        <v>-0.36249999999999999</v>
      </c>
      <c r="AC151">
        <v>0</v>
      </c>
      <c r="AD151">
        <v>0</v>
      </c>
      <c r="AE151">
        <v>0</v>
      </c>
      <c r="AF151">
        <v>0</v>
      </c>
    </row>
    <row r="152" spans="28:32" customFormat="1" x14ac:dyDescent="0.2">
      <c r="AB152">
        <v>-0.41749999999999998</v>
      </c>
      <c r="AC152">
        <v>0</v>
      </c>
      <c r="AD152">
        <v>0</v>
      </c>
      <c r="AE152">
        <v>0</v>
      </c>
      <c r="AF152">
        <v>0</v>
      </c>
    </row>
    <row r="153" spans="28:32" customFormat="1" x14ac:dyDescent="0.2">
      <c r="AB153">
        <v>-0.2175</v>
      </c>
      <c r="AC153">
        <v>0</v>
      </c>
      <c r="AD153">
        <v>0</v>
      </c>
      <c r="AE153">
        <v>0</v>
      </c>
      <c r="AF153">
        <v>0</v>
      </c>
    </row>
    <row r="154" spans="28:32" customFormat="1" x14ac:dyDescent="0.2">
      <c r="AB154">
        <v>-8.7499999999999994E-2</v>
      </c>
      <c r="AC154">
        <v>0</v>
      </c>
      <c r="AD154">
        <v>0</v>
      </c>
      <c r="AE154">
        <v>0</v>
      </c>
      <c r="AF154">
        <v>0</v>
      </c>
    </row>
  </sheetData>
  <dataConsolidate/>
  <mergeCells count="9">
    <mergeCell ref="AB14:AF14"/>
    <mergeCell ref="AN14:AR14"/>
    <mergeCell ref="AH14:AL14"/>
    <mergeCell ref="D4:F4"/>
    <mergeCell ref="D14:H14"/>
    <mergeCell ref="J14:N14"/>
    <mergeCell ref="P14:T14"/>
    <mergeCell ref="D13:N13"/>
    <mergeCell ref="V14:Z14"/>
  </mergeCells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sisSwaps2"/>
  <dimension ref="A1:AG154"/>
  <sheetViews>
    <sheetView topLeftCell="A2" workbookViewId="0">
      <selection activeCell="B2" sqref="A1:AG94"/>
    </sheetView>
  </sheetViews>
  <sheetFormatPr defaultColWidth="9" defaultRowHeight="12.75" x14ac:dyDescent="0.2"/>
  <cols>
    <col min="1" max="1" width="12.7109375" customWidth="1"/>
    <col min="2" max="2" width="13.140625" customWidth="1"/>
    <col min="3" max="3" width="1.7109375" style="10" customWidth="1"/>
    <col min="4" max="4" width="12.7109375" customWidth="1"/>
    <col min="5" max="5" width="7.5703125" customWidth="1"/>
    <col min="6" max="6" width="10.28515625" customWidth="1"/>
    <col min="7" max="7" width="1.7109375" customWidth="1"/>
    <col min="8" max="8" width="12.7109375" customWidth="1"/>
    <col min="9" max="10" width="5.7109375" customWidth="1"/>
    <col min="11" max="11" width="1.7109375" customWidth="1"/>
    <col min="12" max="12" width="12.7109375" style="41" customWidth="1"/>
    <col min="13" max="14" width="5.7109375" customWidth="1"/>
    <col min="15" max="15" width="2.42578125" customWidth="1"/>
    <col min="16" max="16" width="12.7109375" customWidth="1"/>
    <col min="17" max="18" width="5.7109375" customWidth="1"/>
    <col min="19" max="19" width="1.7109375" customWidth="1"/>
    <col min="20" max="20" width="12.7109375" customWidth="1"/>
    <col min="21" max="22" width="5.7109375" customWidth="1"/>
    <col min="23" max="23" width="1.28515625" customWidth="1"/>
    <col min="24" max="24" width="12.7109375" customWidth="1"/>
    <col min="25" max="26" width="5.7109375" customWidth="1"/>
    <col min="27" max="27" width="1.5703125" customWidth="1"/>
    <col min="28" max="28" width="12.7109375" customWidth="1"/>
    <col min="29" max="30" width="5.7109375" customWidth="1"/>
    <col min="31" max="31" width="1.7109375" customWidth="1"/>
  </cols>
  <sheetData>
    <row r="1" spans="1:33" hidden="1" x14ac:dyDescent="0.2">
      <c r="D1" t="e">
        <f>MATCH(D15,AEC!1:1, FALSE)</f>
        <v>#N/A</v>
      </c>
      <c r="E1" t="e">
        <f>MATCH(E15,AEC!1:1, FALSE)</f>
        <v>#N/A</v>
      </c>
      <c r="F1" t="e">
        <f>MATCH(F15,AEC!1:1, FALSE)</f>
        <v>#N/A</v>
      </c>
      <c r="H1" t="e">
        <f>MATCH(H15,DGD!1:1, FALSE)</f>
        <v>#N/A</v>
      </c>
      <c r="I1" t="e">
        <f>MATCH(I15,DGD!1:1, FALSE)</f>
        <v>#N/A</v>
      </c>
      <c r="J1" t="e">
        <f>MATCH(J15,DGD!1:1, FALSE)</f>
        <v>#N/A</v>
      </c>
      <c r="L1" s="41" t="e">
        <f>MATCH(L15,NWR!1:1, FALSE)</f>
        <v>#N/A</v>
      </c>
      <c r="M1" t="e">
        <f>MATCH(M15,NWR!1:1, FALSE)</f>
        <v>#N/A</v>
      </c>
      <c r="N1" t="e">
        <f>MATCH(N15,NWR!1:1, FALSE)</f>
        <v>#N/A</v>
      </c>
      <c r="P1" t="e">
        <f>MATCH(P15,PGE!1:1, FALSE)</f>
        <v>#N/A</v>
      </c>
      <c r="Q1" t="e">
        <f>MATCH(Q15,PGE!1:1, FALSE)</f>
        <v>#N/A</v>
      </c>
      <c r="R1" t="e">
        <f>MATCH(R15,PGE!1:1, FALSE)</f>
        <v>#N/A</v>
      </c>
      <c r="T1" t="e">
        <f>MATCH(T15,SCL!1:1, FALSE)</f>
        <v>#N/A</v>
      </c>
      <c r="U1" t="e">
        <f>MATCH(U15,SCL!1:1, FALSE)</f>
        <v>#N/A</v>
      </c>
      <c r="V1" t="e">
        <f>MATCH(V15,SCL!1:1, FALSE)</f>
        <v>#N/A</v>
      </c>
      <c r="X1" t="e">
        <f>MATCH(X15,WAH!1:1, FALSE)</f>
        <v>#N/A</v>
      </c>
      <c r="Y1" t="e">
        <f>MATCH(Y15,WAH!1:1, FALSE)</f>
        <v>#N/A</v>
      </c>
      <c r="Z1" t="e">
        <f>MATCH(Z15,WAH!1:1, FALSE)</f>
        <v>#N/A</v>
      </c>
      <c r="AB1" t="e">
        <f>MATCH(AB15,HSC!1:1, FALSE)</f>
        <v>#N/A</v>
      </c>
      <c r="AC1" t="e">
        <f>MATCH(AC15,HSC!1:1, FALSE)</f>
        <v>#N/A</v>
      </c>
      <c r="AD1" t="e">
        <f>MATCH(AD15,HSC!1:1, FALSE)</f>
        <v>#N/A</v>
      </c>
    </row>
    <row r="2" spans="1:33" ht="15" x14ac:dyDescent="0.25">
      <c r="A2" s="27" t="s">
        <v>973</v>
      </c>
      <c r="B2" s="49">
        <v>43236</v>
      </c>
      <c r="C2" s="11"/>
      <c r="D2" s="2"/>
      <c r="E2" s="2"/>
      <c r="F2" s="2"/>
      <c r="L2" s="42"/>
      <c r="M2" s="2"/>
      <c r="N2" s="2"/>
      <c r="P2" s="2"/>
      <c r="Q2" s="2"/>
      <c r="R2" s="2"/>
      <c r="T2" s="2"/>
      <c r="U2" s="2"/>
      <c r="V2" s="2"/>
      <c r="X2" s="2"/>
      <c r="Y2" s="2"/>
      <c r="Z2" s="2"/>
      <c r="AB2" s="2"/>
      <c r="AC2" s="2"/>
      <c r="AD2" s="2"/>
      <c r="AE2" s="2"/>
    </row>
    <row r="3" spans="1:33" ht="13.5" thickBot="1" x14ac:dyDescent="0.25">
      <c r="A3" s="10"/>
      <c r="B3" s="11"/>
      <c r="C3" s="11"/>
      <c r="D3" s="2"/>
      <c r="E3" s="2"/>
      <c r="F3" s="2"/>
      <c r="X3" s="2"/>
      <c r="Y3" s="2"/>
      <c r="Z3" s="2"/>
      <c r="AB3" s="2"/>
      <c r="AC3" s="2"/>
      <c r="AD3" s="2"/>
      <c r="AE3" s="2"/>
    </row>
    <row r="4" spans="1:33" ht="13.5" thickBot="1" x14ac:dyDescent="0.25">
      <c r="A4" s="10"/>
      <c r="B4" s="11"/>
      <c r="C4" s="11"/>
      <c r="D4" s="67" t="s">
        <v>961</v>
      </c>
      <c r="E4" s="61"/>
      <c r="F4" s="62"/>
      <c r="L4" s="42"/>
      <c r="M4" s="2"/>
      <c r="N4" s="2"/>
      <c r="P4" s="2"/>
      <c r="Q4" s="2"/>
      <c r="R4" s="2"/>
      <c r="T4" s="2"/>
      <c r="U4" s="2"/>
      <c r="V4" s="2"/>
      <c r="X4" s="2"/>
      <c r="Y4" s="2"/>
      <c r="Z4" s="2"/>
      <c r="AB4" s="2"/>
      <c r="AC4" s="2"/>
      <c r="AD4" s="2"/>
      <c r="AE4" s="2"/>
    </row>
    <row r="5" spans="1:33" x14ac:dyDescent="0.2">
      <c r="A5" s="10"/>
      <c r="B5" s="11"/>
      <c r="C5" s="11"/>
      <c r="D5" s="21" t="s">
        <v>989</v>
      </c>
      <c r="E5" s="39" t="s">
        <v>992</v>
      </c>
      <c r="F5" s="18" t="s">
        <v>993</v>
      </c>
      <c r="L5" s="42"/>
      <c r="M5" s="2"/>
      <c r="N5" s="2"/>
      <c r="P5" s="2"/>
      <c r="Q5" s="2"/>
      <c r="R5" s="2"/>
      <c r="T5" s="2"/>
      <c r="U5" s="2"/>
      <c r="V5" s="2"/>
      <c r="X5" s="2"/>
      <c r="Y5" s="2"/>
      <c r="Z5" s="2"/>
      <c r="AB5" s="2"/>
      <c r="AC5" s="2"/>
      <c r="AD5" s="2"/>
      <c r="AE5" s="2"/>
    </row>
    <row r="6" spans="1:33" x14ac:dyDescent="0.2">
      <c r="A6" s="10"/>
      <c r="B6" s="11"/>
      <c r="C6" s="11"/>
      <c r="D6" s="28" t="s">
        <v>994</v>
      </c>
      <c r="E6" s="29">
        <f>SUM(AEC!fields.Volume)</f>
        <v>25735</v>
      </c>
      <c r="F6" s="38">
        <f>SUM(AEC!fields.Block.Vol)</f>
        <v>13978</v>
      </c>
      <c r="L6" s="42"/>
      <c r="M6" s="2"/>
      <c r="N6" s="2"/>
      <c r="P6" s="2"/>
      <c r="Q6" s="2"/>
      <c r="R6" s="2"/>
      <c r="T6" s="2"/>
      <c r="U6" s="2"/>
      <c r="V6" s="2"/>
      <c r="X6" s="2"/>
      <c r="Y6" s="2"/>
      <c r="Z6" s="2"/>
      <c r="AB6" s="2"/>
      <c r="AC6" s="2"/>
      <c r="AD6" s="2"/>
      <c r="AE6" s="2"/>
    </row>
    <row r="7" spans="1:33" x14ac:dyDescent="0.2">
      <c r="A7" s="10"/>
      <c r="B7" s="11"/>
      <c r="C7" s="11"/>
      <c r="D7" s="28" t="s">
        <v>995</v>
      </c>
      <c r="E7" s="29">
        <f>SUM(DGD!fields.Volume)</f>
        <v>8307</v>
      </c>
      <c r="F7" s="38">
        <f>SUM(DGD!fields.Block.Vol)</f>
        <v>6016</v>
      </c>
      <c r="L7" s="42"/>
      <c r="M7" s="2"/>
      <c r="N7" s="2"/>
      <c r="P7" s="2"/>
      <c r="Q7" s="2"/>
      <c r="R7" s="2"/>
      <c r="T7" s="2"/>
      <c r="U7" s="2"/>
      <c r="V7" s="2"/>
      <c r="X7" s="2"/>
      <c r="Y7" s="2"/>
      <c r="Z7" s="2"/>
      <c r="AB7" s="2"/>
      <c r="AC7" s="2"/>
      <c r="AD7" s="2"/>
      <c r="AE7" s="2"/>
    </row>
    <row r="8" spans="1:33" x14ac:dyDescent="0.2">
      <c r="A8" s="10"/>
      <c r="B8" s="11"/>
      <c r="C8" s="11"/>
      <c r="D8" s="28" t="s">
        <v>996</v>
      </c>
      <c r="E8" s="29">
        <f>SUM(NWR!fields.Volume)</f>
        <v>9396</v>
      </c>
      <c r="F8" s="38">
        <f>SUM(NWR!fields.Block.Vol)</f>
        <v>5926</v>
      </c>
      <c r="L8" s="42"/>
      <c r="M8" s="2"/>
      <c r="N8" s="2"/>
      <c r="P8" s="2"/>
      <c r="Q8" s="2"/>
      <c r="R8" s="2"/>
      <c r="T8" s="2"/>
      <c r="U8" s="2"/>
      <c r="V8" s="2"/>
      <c r="X8" s="2"/>
      <c r="Y8" s="2"/>
      <c r="Z8" s="2"/>
      <c r="AB8" s="2"/>
      <c r="AC8" s="2"/>
      <c r="AD8" s="2"/>
      <c r="AE8" s="2"/>
    </row>
    <row r="9" spans="1:33" x14ac:dyDescent="0.2">
      <c r="A9" s="10"/>
      <c r="B9" s="11"/>
      <c r="C9" s="11"/>
      <c r="D9" s="28" t="s">
        <v>997</v>
      </c>
      <c r="E9" s="29">
        <f>SUM(PGE!fields.Volume)</f>
        <v>3739</v>
      </c>
      <c r="F9" s="38">
        <f>SUM(PGE!fields.Block.Vol)</f>
        <v>2858</v>
      </c>
      <c r="L9" s="42"/>
      <c r="M9" s="2"/>
      <c r="N9" s="2"/>
      <c r="P9" s="2"/>
      <c r="Q9" s="2"/>
      <c r="R9" s="2"/>
      <c r="T9" s="2"/>
      <c r="U9" s="2"/>
      <c r="V9" s="2"/>
      <c r="X9" s="2"/>
      <c r="Y9" s="2"/>
      <c r="Z9" s="2"/>
      <c r="AB9" s="2"/>
      <c r="AC9" s="2"/>
      <c r="AD9" s="2"/>
      <c r="AE9" s="2"/>
    </row>
    <row r="10" spans="1:33" x14ac:dyDescent="0.2">
      <c r="A10" s="10"/>
      <c r="B10" s="11"/>
      <c r="C10" s="11"/>
      <c r="D10" s="28" t="s">
        <v>998</v>
      </c>
      <c r="E10" s="29">
        <f>SUM(SCL!fields.Volume)</f>
        <v>8595</v>
      </c>
      <c r="F10" s="38">
        <f>SUM(SCL!fields.Block.Vol)</f>
        <v>2505</v>
      </c>
      <c r="G10" s="35"/>
      <c r="L10" s="42"/>
      <c r="M10" s="2"/>
      <c r="N10" s="2"/>
      <c r="P10" s="2"/>
      <c r="Q10" s="2"/>
      <c r="R10" s="2"/>
      <c r="T10" s="2"/>
      <c r="U10" s="2"/>
      <c r="V10" s="2"/>
      <c r="X10" s="2"/>
      <c r="Y10" s="2"/>
      <c r="Z10" s="2"/>
      <c r="AB10" s="2"/>
      <c r="AC10" s="2"/>
      <c r="AD10" s="2"/>
      <c r="AE10" s="2"/>
    </row>
    <row r="11" spans="1:33" x14ac:dyDescent="0.2">
      <c r="A11" s="10"/>
      <c r="B11" s="11"/>
      <c r="C11" s="11"/>
      <c r="D11" s="28" t="s">
        <v>999</v>
      </c>
      <c r="E11" s="29">
        <f>SUM(WAH!fields.Volume)</f>
        <v>9638</v>
      </c>
      <c r="F11" s="38">
        <f>SUM(WAH!fields.Block.Vol)</f>
        <v>4328</v>
      </c>
      <c r="G11" s="35"/>
      <c r="L11" s="42"/>
      <c r="M11" s="2"/>
      <c r="N11" s="2"/>
      <c r="P11" s="2"/>
      <c r="Q11" s="2"/>
      <c r="R11" s="2"/>
      <c r="T11" s="2"/>
      <c r="U11" s="2"/>
      <c r="V11" s="2"/>
      <c r="X11" s="2"/>
      <c r="Y11" s="2"/>
      <c r="Z11" s="2"/>
      <c r="AB11" s="2"/>
      <c r="AC11" s="2"/>
      <c r="AD11" s="2"/>
      <c r="AE11" s="2"/>
    </row>
    <row r="12" spans="1:33" ht="13.5" thickBot="1" x14ac:dyDescent="0.25">
      <c r="A12" s="10"/>
      <c r="B12" s="11"/>
      <c r="C12" s="11"/>
      <c r="D12" s="30" t="s">
        <v>1000</v>
      </c>
      <c r="E12" s="37">
        <f>SUM(HSC!fields.Volume)</f>
        <v>4067</v>
      </c>
      <c r="F12" s="47">
        <f>SUM(HSC!fields.Block.Vol)</f>
        <v>1592</v>
      </c>
      <c r="G12" s="35"/>
      <c r="L12" s="42"/>
      <c r="M12" s="2"/>
      <c r="N12" s="2"/>
      <c r="P12" s="2"/>
      <c r="Q12" s="2"/>
      <c r="R12" s="2"/>
      <c r="T12" s="2"/>
      <c r="U12" s="2"/>
      <c r="V12" s="2"/>
      <c r="X12" s="2"/>
      <c r="Y12" s="2"/>
      <c r="Z12" s="2"/>
      <c r="AB12" s="2"/>
      <c r="AC12" s="2"/>
      <c r="AD12" s="32"/>
      <c r="AE12" s="2"/>
    </row>
    <row r="13" spans="1:33" x14ac:dyDescent="0.2">
      <c r="A13" s="10"/>
      <c r="B13" s="11"/>
      <c r="C13" s="11"/>
      <c r="D13" s="68" t="s">
        <v>972</v>
      </c>
      <c r="E13" s="69"/>
      <c r="F13" s="69"/>
      <c r="G13" s="69"/>
      <c r="H13" s="69"/>
      <c r="I13" s="69"/>
      <c r="J13" s="69"/>
      <c r="L13" s="42"/>
      <c r="M13" s="2"/>
      <c r="N13" s="2"/>
      <c r="P13" s="2"/>
      <c r="Q13" s="2"/>
      <c r="R13" s="2"/>
      <c r="T13" s="2"/>
      <c r="U13" s="2"/>
      <c r="V13" s="2"/>
      <c r="X13" s="2"/>
      <c r="Y13" s="2"/>
      <c r="Z13" s="2"/>
      <c r="AB13" s="2"/>
      <c r="AC13" s="2"/>
      <c r="AD13" s="2"/>
      <c r="AE13" s="2"/>
    </row>
    <row r="14" spans="1:33" ht="16.5" thickBot="1" x14ac:dyDescent="0.3">
      <c r="A14" s="7"/>
      <c r="B14" s="12"/>
      <c r="C14" s="12"/>
      <c r="D14" s="63" t="s">
        <v>1001</v>
      </c>
      <c r="E14" s="64"/>
      <c r="F14" s="64"/>
      <c r="H14" s="63" t="s">
        <v>1002</v>
      </c>
      <c r="I14" s="63"/>
      <c r="J14" s="63"/>
      <c r="L14" s="63" t="s">
        <v>1003</v>
      </c>
      <c r="M14" s="63"/>
      <c r="N14" s="63"/>
      <c r="P14" s="63" t="s">
        <v>1004</v>
      </c>
      <c r="Q14" s="63"/>
      <c r="R14" s="63"/>
      <c r="T14" s="63" t="s">
        <v>963</v>
      </c>
      <c r="U14" s="63"/>
      <c r="V14" s="63"/>
      <c r="X14" s="63" t="s">
        <v>962</v>
      </c>
      <c r="Y14" s="63"/>
      <c r="Z14" s="63"/>
      <c r="AB14" s="63" t="s">
        <v>1005</v>
      </c>
      <c r="AC14" s="63"/>
      <c r="AD14" s="63"/>
      <c r="AE14" s="6"/>
    </row>
    <row r="15" spans="1:33" ht="13.5" thickBot="1" x14ac:dyDescent="0.25">
      <c r="A15" s="33" t="s">
        <v>974</v>
      </c>
      <c r="B15" s="33" t="s">
        <v>980</v>
      </c>
      <c r="C15" s="34"/>
      <c r="D15" s="14" t="s">
        <v>964</v>
      </c>
      <c r="E15" s="4" t="s">
        <v>965</v>
      </c>
      <c r="F15" s="5" t="s">
        <v>968</v>
      </c>
      <c r="H15" s="14" t="s">
        <v>964</v>
      </c>
      <c r="I15" s="4" t="s">
        <v>965</v>
      </c>
      <c r="J15" s="5" t="s">
        <v>968</v>
      </c>
      <c r="L15" s="14" t="s">
        <v>964</v>
      </c>
      <c r="M15" s="4" t="s">
        <v>965</v>
      </c>
      <c r="N15" s="5" t="s">
        <v>968</v>
      </c>
      <c r="P15" s="14" t="s">
        <v>964</v>
      </c>
      <c r="Q15" s="4" t="s">
        <v>965</v>
      </c>
      <c r="R15" s="5" t="s">
        <v>968</v>
      </c>
      <c r="T15" s="14" t="s">
        <v>964</v>
      </c>
      <c r="U15" s="4" t="s">
        <v>965</v>
      </c>
      <c r="V15" s="5" t="s">
        <v>968</v>
      </c>
      <c r="X15" s="14" t="s">
        <v>964</v>
      </c>
      <c r="Y15" s="4" t="s">
        <v>965</v>
      </c>
      <c r="Z15" s="5" t="s">
        <v>968</v>
      </c>
      <c r="AB15" s="14" t="s">
        <v>964</v>
      </c>
      <c r="AC15" s="4" t="s">
        <v>965</v>
      </c>
      <c r="AD15" s="5" t="s">
        <v>968</v>
      </c>
      <c r="AE15" s="36"/>
      <c r="AF15" s="25" t="s">
        <v>974</v>
      </c>
      <c r="AG15" s="25" t="s">
        <v>980</v>
      </c>
    </row>
    <row r="16" spans="1:33" x14ac:dyDescent="0.2">
      <c r="A16" t="s">
        <v>1011</v>
      </c>
      <c r="B16" t="s">
        <v>970</v>
      </c>
      <c r="C16" s="2"/>
      <c r="D16">
        <v>-2.2749999999999999</v>
      </c>
      <c r="E16">
        <v>1350</v>
      </c>
      <c r="F16">
        <v>0</v>
      </c>
      <c r="H16">
        <v>-0.27500000000000002</v>
      </c>
      <c r="I16">
        <v>0</v>
      </c>
      <c r="J16">
        <v>0</v>
      </c>
      <c r="L16">
        <v>-0.91249999999999998</v>
      </c>
      <c r="M16">
        <v>750</v>
      </c>
      <c r="N16">
        <v>480</v>
      </c>
      <c r="P16">
        <v>7.7499999999999999E-2</v>
      </c>
      <c r="Q16">
        <v>1260</v>
      </c>
      <c r="R16">
        <v>780</v>
      </c>
      <c r="T16">
        <v>-0.64</v>
      </c>
      <c r="U16">
        <v>240</v>
      </c>
      <c r="V16">
        <v>0</v>
      </c>
      <c r="X16">
        <v>-1.1074999999999999</v>
      </c>
      <c r="Y16">
        <v>180</v>
      </c>
      <c r="Z16">
        <v>0</v>
      </c>
      <c r="AB16">
        <v>0.05</v>
      </c>
      <c r="AC16">
        <v>180</v>
      </c>
      <c r="AD16">
        <v>180</v>
      </c>
      <c r="AE16" s="35"/>
      <c r="AF16" t="s">
        <v>1011</v>
      </c>
      <c r="AG16" t="s">
        <v>970</v>
      </c>
    </row>
    <row r="17" spans="1:33" x14ac:dyDescent="0.2">
      <c r="A17" t="s">
        <v>1012</v>
      </c>
      <c r="B17" t="s">
        <v>970</v>
      </c>
      <c r="C17" s="2"/>
      <c r="D17">
        <v>-1.9850000000000001</v>
      </c>
      <c r="E17">
        <v>1829</v>
      </c>
      <c r="F17">
        <v>0</v>
      </c>
      <c r="H17">
        <v>-0.3</v>
      </c>
      <c r="I17">
        <v>0</v>
      </c>
      <c r="J17">
        <v>0</v>
      </c>
      <c r="L17">
        <v>-0.71750000000000003</v>
      </c>
      <c r="M17">
        <v>1271</v>
      </c>
      <c r="N17">
        <v>806</v>
      </c>
      <c r="P17">
        <v>9.7500000000000003E-2</v>
      </c>
      <c r="Q17">
        <v>811</v>
      </c>
      <c r="R17">
        <v>594</v>
      </c>
      <c r="T17">
        <v>-0.33500000000000002</v>
      </c>
      <c r="U17">
        <v>403</v>
      </c>
      <c r="V17">
        <v>93</v>
      </c>
      <c r="X17">
        <v>-1.0449999999999999</v>
      </c>
      <c r="Y17">
        <v>403</v>
      </c>
      <c r="Z17">
        <v>0</v>
      </c>
      <c r="AB17">
        <v>6.5000000000000002E-2</v>
      </c>
      <c r="AC17">
        <v>403</v>
      </c>
      <c r="AD17">
        <v>310</v>
      </c>
      <c r="AF17" t="s">
        <v>1012</v>
      </c>
      <c r="AG17" t="s">
        <v>970</v>
      </c>
    </row>
    <row r="18" spans="1:33" x14ac:dyDescent="0.2">
      <c r="A18" t="s">
        <v>1013</v>
      </c>
      <c r="B18" t="s">
        <v>970</v>
      </c>
      <c r="C18" s="2"/>
      <c r="D18">
        <v>-1.895</v>
      </c>
      <c r="E18">
        <v>1798</v>
      </c>
      <c r="F18">
        <v>31</v>
      </c>
      <c r="H18">
        <v>-0.3125</v>
      </c>
      <c r="I18">
        <v>0</v>
      </c>
      <c r="J18">
        <v>0</v>
      </c>
      <c r="L18">
        <v>-0.64</v>
      </c>
      <c r="M18">
        <v>837</v>
      </c>
      <c r="N18">
        <v>806</v>
      </c>
      <c r="P18">
        <v>0.1125</v>
      </c>
      <c r="Q18">
        <v>718</v>
      </c>
      <c r="R18">
        <v>594</v>
      </c>
      <c r="T18">
        <v>-0.155</v>
      </c>
      <c r="U18">
        <v>341</v>
      </c>
      <c r="V18">
        <v>93</v>
      </c>
      <c r="X18">
        <v>-1.0325</v>
      </c>
      <c r="Y18">
        <v>1705</v>
      </c>
      <c r="Z18">
        <v>186</v>
      </c>
      <c r="AB18">
        <v>6.5000000000000002E-2</v>
      </c>
      <c r="AC18">
        <v>1333</v>
      </c>
      <c r="AD18">
        <v>310</v>
      </c>
      <c r="AF18" t="s">
        <v>1013</v>
      </c>
      <c r="AG18" t="s">
        <v>970</v>
      </c>
    </row>
    <row r="19" spans="1:33" x14ac:dyDescent="0.2">
      <c r="A19" t="s">
        <v>1014</v>
      </c>
      <c r="B19" t="s">
        <v>970</v>
      </c>
      <c r="C19" s="2"/>
      <c r="D19">
        <v>-1.8474999999999999</v>
      </c>
      <c r="E19">
        <v>1530</v>
      </c>
      <c r="F19">
        <v>0</v>
      </c>
      <c r="H19">
        <v>-0.36749999999999999</v>
      </c>
      <c r="I19">
        <v>0</v>
      </c>
      <c r="J19">
        <v>0</v>
      </c>
      <c r="L19">
        <v>-0.70250000000000001</v>
      </c>
      <c r="M19">
        <v>960</v>
      </c>
      <c r="N19">
        <v>780</v>
      </c>
      <c r="P19">
        <v>8.2500000000000004E-2</v>
      </c>
      <c r="Q19">
        <v>640</v>
      </c>
      <c r="R19">
        <v>580</v>
      </c>
      <c r="T19">
        <v>-0.28749999999999998</v>
      </c>
      <c r="U19">
        <v>240</v>
      </c>
      <c r="V19">
        <v>90</v>
      </c>
      <c r="X19">
        <v>-1.1725000000000001</v>
      </c>
      <c r="Y19">
        <v>720</v>
      </c>
      <c r="Z19">
        <v>0</v>
      </c>
      <c r="AB19">
        <v>5.7500000000000002E-2</v>
      </c>
      <c r="AC19">
        <v>180</v>
      </c>
      <c r="AD19">
        <v>180</v>
      </c>
      <c r="AF19" t="s">
        <v>1014</v>
      </c>
      <c r="AG19" t="s">
        <v>970</v>
      </c>
    </row>
    <row r="20" spans="1:33" x14ac:dyDescent="0.2">
      <c r="A20" t="s">
        <v>1015</v>
      </c>
      <c r="B20" t="s">
        <v>970</v>
      </c>
      <c r="C20" s="2"/>
      <c r="D20">
        <v>-1.71</v>
      </c>
      <c r="E20">
        <v>1457</v>
      </c>
      <c r="F20">
        <v>0</v>
      </c>
      <c r="H20">
        <v>-0.3775</v>
      </c>
      <c r="I20">
        <v>0</v>
      </c>
      <c r="J20">
        <v>0</v>
      </c>
      <c r="L20">
        <v>-0.80500000000000005</v>
      </c>
      <c r="M20">
        <v>434</v>
      </c>
      <c r="N20">
        <v>434</v>
      </c>
      <c r="P20">
        <v>3.2500000000000001E-2</v>
      </c>
      <c r="Q20">
        <v>310</v>
      </c>
      <c r="R20">
        <v>310</v>
      </c>
      <c r="T20">
        <v>-0.57250000000000001</v>
      </c>
      <c r="U20">
        <v>62</v>
      </c>
      <c r="V20">
        <v>62</v>
      </c>
      <c r="X20">
        <v>-1.2725</v>
      </c>
      <c r="Y20">
        <v>1395</v>
      </c>
      <c r="Z20">
        <v>372</v>
      </c>
      <c r="AB20">
        <v>0.04</v>
      </c>
      <c r="AC20">
        <v>1302</v>
      </c>
      <c r="AD20">
        <v>186</v>
      </c>
      <c r="AF20" t="s">
        <v>1015</v>
      </c>
      <c r="AG20" t="s">
        <v>970</v>
      </c>
    </row>
    <row r="21" spans="1:33" x14ac:dyDescent="0.2">
      <c r="A21" t="s">
        <v>1016</v>
      </c>
      <c r="B21" t="s">
        <v>970</v>
      </c>
      <c r="C21" s="2"/>
      <c r="D21">
        <v>-1.4550000000000001</v>
      </c>
      <c r="E21">
        <v>810</v>
      </c>
      <c r="F21">
        <v>570</v>
      </c>
      <c r="H21">
        <v>-0.32</v>
      </c>
      <c r="I21">
        <v>240</v>
      </c>
      <c r="J21">
        <v>240</v>
      </c>
      <c r="L21">
        <v>-0.71499999999999997</v>
      </c>
      <c r="M21">
        <v>360</v>
      </c>
      <c r="N21">
        <v>90</v>
      </c>
      <c r="P21">
        <v>5.0000000000000001E-3</v>
      </c>
      <c r="Q21">
        <v>0</v>
      </c>
      <c r="R21">
        <v>0</v>
      </c>
      <c r="T21">
        <v>-0.505</v>
      </c>
      <c r="U21">
        <v>510</v>
      </c>
      <c r="V21">
        <v>90</v>
      </c>
      <c r="X21">
        <v>-1.24</v>
      </c>
      <c r="Y21">
        <v>240</v>
      </c>
      <c r="Z21">
        <v>180</v>
      </c>
      <c r="AB21">
        <v>1.7500000000000002E-2</v>
      </c>
      <c r="AC21">
        <v>120</v>
      </c>
      <c r="AD21">
        <v>60</v>
      </c>
      <c r="AF21" t="s">
        <v>1016</v>
      </c>
      <c r="AG21" t="s">
        <v>970</v>
      </c>
    </row>
    <row r="22" spans="1:33" x14ac:dyDescent="0.2">
      <c r="A22" t="s">
        <v>1017</v>
      </c>
      <c r="B22" t="s">
        <v>970</v>
      </c>
      <c r="C22" s="2"/>
      <c r="D22">
        <v>-1.4025000000000001</v>
      </c>
      <c r="E22">
        <v>837</v>
      </c>
      <c r="F22">
        <v>403</v>
      </c>
      <c r="H22">
        <v>-0.1275</v>
      </c>
      <c r="I22">
        <v>248</v>
      </c>
      <c r="J22">
        <v>248</v>
      </c>
      <c r="L22">
        <v>-0.46</v>
      </c>
      <c r="M22">
        <v>372</v>
      </c>
      <c r="N22">
        <v>93</v>
      </c>
      <c r="P22">
        <v>-0.03</v>
      </c>
      <c r="Q22">
        <v>0</v>
      </c>
      <c r="R22">
        <v>0</v>
      </c>
      <c r="T22">
        <v>0.31</v>
      </c>
      <c r="U22">
        <v>93</v>
      </c>
      <c r="V22">
        <v>93</v>
      </c>
      <c r="X22">
        <v>-1.0649999999999999</v>
      </c>
      <c r="Y22">
        <v>217</v>
      </c>
      <c r="Z22">
        <v>124</v>
      </c>
      <c r="AB22">
        <v>-6.5000000000000002E-2</v>
      </c>
      <c r="AC22">
        <v>62</v>
      </c>
      <c r="AD22">
        <v>62</v>
      </c>
      <c r="AF22" t="s">
        <v>1017</v>
      </c>
      <c r="AG22" t="s">
        <v>970</v>
      </c>
    </row>
    <row r="23" spans="1:33" x14ac:dyDescent="0.2">
      <c r="A23" t="s">
        <v>1006</v>
      </c>
      <c r="B23" t="s">
        <v>971</v>
      </c>
      <c r="C23" s="2"/>
      <c r="D23">
        <v>-1.4225000000000001</v>
      </c>
      <c r="E23">
        <v>496</v>
      </c>
      <c r="F23">
        <v>403</v>
      </c>
      <c r="H23">
        <v>-3.5000000000000003E-2</v>
      </c>
      <c r="I23">
        <v>248</v>
      </c>
      <c r="J23">
        <v>248</v>
      </c>
      <c r="L23">
        <v>-0.44750000000000001</v>
      </c>
      <c r="M23">
        <v>434</v>
      </c>
      <c r="N23">
        <v>155</v>
      </c>
      <c r="P23">
        <v>-7.2499999999999995E-2</v>
      </c>
      <c r="Q23">
        <v>0</v>
      </c>
      <c r="R23">
        <v>0</v>
      </c>
      <c r="T23">
        <v>0.06</v>
      </c>
      <c r="U23">
        <v>434</v>
      </c>
      <c r="V23">
        <v>62</v>
      </c>
      <c r="X23">
        <v>-1.07</v>
      </c>
      <c r="Y23">
        <v>434</v>
      </c>
      <c r="Z23">
        <v>310</v>
      </c>
      <c r="AB23">
        <v>-0.09</v>
      </c>
      <c r="AC23">
        <v>31</v>
      </c>
      <c r="AD23">
        <v>0</v>
      </c>
      <c r="AF23" t="s">
        <v>1006</v>
      </c>
      <c r="AG23" t="s">
        <v>971</v>
      </c>
    </row>
    <row r="24" spans="1:33" x14ac:dyDescent="0.2">
      <c r="A24" t="s">
        <v>1007</v>
      </c>
      <c r="B24" t="s">
        <v>971</v>
      </c>
      <c r="C24" s="2"/>
      <c r="D24">
        <v>-1.405</v>
      </c>
      <c r="E24">
        <v>644</v>
      </c>
      <c r="F24">
        <v>364</v>
      </c>
      <c r="H24">
        <v>-2.5000000000000001E-2</v>
      </c>
      <c r="I24">
        <v>224</v>
      </c>
      <c r="J24">
        <v>224</v>
      </c>
      <c r="L24">
        <v>-0.53500000000000003</v>
      </c>
      <c r="M24">
        <v>392</v>
      </c>
      <c r="N24">
        <v>140</v>
      </c>
      <c r="P24">
        <v>-7.4999999999999997E-2</v>
      </c>
      <c r="Q24">
        <v>0</v>
      </c>
      <c r="R24">
        <v>0</v>
      </c>
      <c r="T24">
        <v>-0.10249999999999999</v>
      </c>
      <c r="U24">
        <v>364</v>
      </c>
      <c r="V24">
        <v>56</v>
      </c>
      <c r="X24">
        <v>-1.2175</v>
      </c>
      <c r="Y24">
        <v>168</v>
      </c>
      <c r="Z24">
        <v>112</v>
      </c>
      <c r="AB24">
        <v>-8.7499999999999994E-2</v>
      </c>
      <c r="AC24">
        <v>0</v>
      </c>
      <c r="AD24">
        <v>0</v>
      </c>
      <c r="AF24" t="s">
        <v>1007</v>
      </c>
      <c r="AG24" t="s">
        <v>971</v>
      </c>
    </row>
    <row r="25" spans="1:33" x14ac:dyDescent="0.2">
      <c r="A25" t="s">
        <v>1008</v>
      </c>
      <c r="B25" t="s">
        <v>971</v>
      </c>
      <c r="C25" s="2"/>
      <c r="D25">
        <v>-1.4750000000000001</v>
      </c>
      <c r="E25">
        <v>620</v>
      </c>
      <c r="F25">
        <v>403</v>
      </c>
      <c r="H25">
        <v>-0.20749999999999999</v>
      </c>
      <c r="I25">
        <v>248</v>
      </c>
      <c r="J25">
        <v>248</v>
      </c>
      <c r="L25">
        <v>-0.80500000000000005</v>
      </c>
      <c r="M25">
        <v>744</v>
      </c>
      <c r="N25">
        <v>217</v>
      </c>
      <c r="P25">
        <v>-4.2500000000000003E-2</v>
      </c>
      <c r="Q25">
        <v>0</v>
      </c>
      <c r="R25">
        <v>0</v>
      </c>
      <c r="T25">
        <v>-0.64</v>
      </c>
      <c r="U25">
        <v>713</v>
      </c>
      <c r="V25">
        <v>124</v>
      </c>
      <c r="X25">
        <v>-1.45</v>
      </c>
      <c r="Y25">
        <v>186</v>
      </c>
      <c r="Z25">
        <v>124</v>
      </c>
      <c r="AB25">
        <v>-6.7500000000000004E-2</v>
      </c>
      <c r="AC25">
        <v>0</v>
      </c>
      <c r="AD25">
        <v>0</v>
      </c>
      <c r="AF25" t="s">
        <v>1008</v>
      </c>
      <c r="AG25" t="s">
        <v>971</v>
      </c>
    </row>
    <row r="26" spans="1:33" x14ac:dyDescent="0.2">
      <c r="A26" t="s">
        <v>1009</v>
      </c>
      <c r="B26" t="s">
        <v>971</v>
      </c>
      <c r="C26" s="2"/>
      <c r="D26">
        <v>-1.595</v>
      </c>
      <c r="E26">
        <v>180</v>
      </c>
      <c r="F26">
        <v>150</v>
      </c>
      <c r="H26">
        <v>-0.27500000000000002</v>
      </c>
      <c r="I26">
        <v>120</v>
      </c>
      <c r="J26">
        <v>120</v>
      </c>
      <c r="L26">
        <v>-0.91500000000000004</v>
      </c>
      <c r="M26">
        <v>390</v>
      </c>
      <c r="N26">
        <v>240</v>
      </c>
      <c r="P26">
        <v>-1.4999999999999999E-2</v>
      </c>
      <c r="Q26">
        <v>0</v>
      </c>
      <c r="R26">
        <v>0</v>
      </c>
      <c r="T26">
        <v>-0.78249999999999997</v>
      </c>
      <c r="U26">
        <v>450</v>
      </c>
      <c r="V26">
        <v>60</v>
      </c>
      <c r="X26">
        <v>-1.47</v>
      </c>
      <c r="Y26">
        <v>150</v>
      </c>
      <c r="Z26">
        <v>0</v>
      </c>
      <c r="AB26">
        <v>5.2499999999999998E-2</v>
      </c>
      <c r="AC26">
        <v>0</v>
      </c>
      <c r="AD26">
        <v>0</v>
      </c>
      <c r="AF26" t="s">
        <v>1009</v>
      </c>
      <c r="AG26" t="s">
        <v>971</v>
      </c>
    </row>
    <row r="27" spans="1:33" x14ac:dyDescent="0.2">
      <c r="A27" t="s">
        <v>1010</v>
      </c>
      <c r="B27" t="s">
        <v>971</v>
      </c>
      <c r="C27" s="2"/>
      <c r="D27">
        <v>-1.59</v>
      </c>
      <c r="E27">
        <v>248</v>
      </c>
      <c r="F27">
        <v>155</v>
      </c>
      <c r="H27">
        <v>-0.41249999999999998</v>
      </c>
      <c r="I27">
        <v>124</v>
      </c>
      <c r="J27">
        <v>124</v>
      </c>
      <c r="L27">
        <v>-0.90500000000000003</v>
      </c>
      <c r="M27">
        <v>403</v>
      </c>
      <c r="N27">
        <v>248</v>
      </c>
      <c r="P27">
        <v>-0.01</v>
      </c>
      <c r="Q27">
        <v>0</v>
      </c>
      <c r="R27">
        <v>0</v>
      </c>
      <c r="T27">
        <v>-0.77500000000000002</v>
      </c>
      <c r="U27">
        <v>465</v>
      </c>
      <c r="V27">
        <v>62</v>
      </c>
      <c r="X27">
        <v>-1.4450000000000001</v>
      </c>
      <c r="Y27">
        <v>155</v>
      </c>
      <c r="Z27">
        <v>0</v>
      </c>
      <c r="AB27">
        <v>6.5000000000000002E-2</v>
      </c>
      <c r="AC27">
        <v>0</v>
      </c>
      <c r="AD27">
        <v>0</v>
      </c>
      <c r="AF27" t="s">
        <v>1010</v>
      </c>
      <c r="AG27" t="s">
        <v>971</v>
      </c>
    </row>
    <row r="28" spans="1:33" x14ac:dyDescent="0.2">
      <c r="A28" t="s">
        <v>1011</v>
      </c>
      <c r="B28" t="s">
        <v>971</v>
      </c>
      <c r="C28" s="2"/>
      <c r="D28">
        <v>-1.6025</v>
      </c>
      <c r="E28">
        <v>180</v>
      </c>
      <c r="F28">
        <v>150</v>
      </c>
      <c r="H28">
        <v>-0.44750000000000001</v>
      </c>
      <c r="I28">
        <v>120</v>
      </c>
      <c r="J28">
        <v>120</v>
      </c>
      <c r="L28">
        <v>-0.90249999999999997</v>
      </c>
      <c r="M28">
        <v>360</v>
      </c>
      <c r="N28">
        <v>240</v>
      </c>
      <c r="P28">
        <v>-3.2500000000000001E-2</v>
      </c>
      <c r="Q28">
        <v>0</v>
      </c>
      <c r="R28">
        <v>0</v>
      </c>
      <c r="T28">
        <v>-0.77</v>
      </c>
      <c r="U28">
        <v>450</v>
      </c>
      <c r="V28">
        <v>60</v>
      </c>
      <c r="X28">
        <v>-1.415</v>
      </c>
      <c r="Y28">
        <v>150</v>
      </c>
      <c r="Z28">
        <v>0</v>
      </c>
      <c r="AB28">
        <v>6.5000000000000002E-2</v>
      </c>
      <c r="AC28">
        <v>0</v>
      </c>
      <c r="AD28">
        <v>0</v>
      </c>
      <c r="AF28" t="s">
        <v>1011</v>
      </c>
      <c r="AG28" t="s">
        <v>971</v>
      </c>
    </row>
    <row r="29" spans="1:33" x14ac:dyDescent="0.2">
      <c r="A29" t="s">
        <v>1012</v>
      </c>
      <c r="B29" t="s">
        <v>971</v>
      </c>
      <c r="C29" s="2"/>
      <c r="D29">
        <v>-1.61</v>
      </c>
      <c r="E29">
        <v>155</v>
      </c>
      <c r="F29">
        <v>155</v>
      </c>
      <c r="H29">
        <v>-0.43</v>
      </c>
      <c r="I29">
        <v>124</v>
      </c>
      <c r="J29">
        <v>124</v>
      </c>
      <c r="L29">
        <v>-0.78749999999999998</v>
      </c>
      <c r="M29">
        <v>310</v>
      </c>
      <c r="N29">
        <v>186</v>
      </c>
      <c r="P29">
        <v>5.5E-2</v>
      </c>
      <c r="Q29">
        <v>0</v>
      </c>
      <c r="R29">
        <v>0</v>
      </c>
      <c r="T29">
        <v>-0.36749999999999999</v>
      </c>
      <c r="U29">
        <v>465</v>
      </c>
      <c r="V29">
        <v>62</v>
      </c>
      <c r="X29">
        <v>-1.3374999999999999</v>
      </c>
      <c r="Y29">
        <v>155</v>
      </c>
      <c r="Z29">
        <v>0</v>
      </c>
      <c r="AB29">
        <v>4.4999999999999998E-2</v>
      </c>
      <c r="AC29">
        <v>0</v>
      </c>
      <c r="AD29">
        <v>0</v>
      </c>
      <c r="AF29" t="s">
        <v>1012</v>
      </c>
      <c r="AG29" t="s">
        <v>971</v>
      </c>
    </row>
    <row r="30" spans="1:33" x14ac:dyDescent="0.2">
      <c r="A30" t="s">
        <v>1013</v>
      </c>
      <c r="B30" t="s">
        <v>971</v>
      </c>
      <c r="C30" s="2"/>
      <c r="D30">
        <v>-1.62</v>
      </c>
      <c r="E30">
        <v>155</v>
      </c>
      <c r="F30">
        <v>155</v>
      </c>
      <c r="H30">
        <v>-0.43</v>
      </c>
      <c r="I30">
        <v>124</v>
      </c>
      <c r="J30">
        <v>124</v>
      </c>
      <c r="L30">
        <v>-0.78500000000000003</v>
      </c>
      <c r="M30">
        <v>310</v>
      </c>
      <c r="N30">
        <v>186</v>
      </c>
      <c r="P30">
        <v>7.7499999999999999E-2</v>
      </c>
      <c r="Q30">
        <v>0</v>
      </c>
      <c r="R30">
        <v>0</v>
      </c>
      <c r="T30">
        <v>-0.34499999999999997</v>
      </c>
      <c r="U30">
        <v>465</v>
      </c>
      <c r="V30">
        <v>62</v>
      </c>
      <c r="X30">
        <v>-1.3049999999999999</v>
      </c>
      <c r="Y30">
        <v>155</v>
      </c>
      <c r="Z30">
        <v>0</v>
      </c>
      <c r="AB30">
        <v>4.4999999999999998E-2</v>
      </c>
      <c r="AC30">
        <v>0</v>
      </c>
      <c r="AD30">
        <v>0</v>
      </c>
      <c r="AF30" t="s">
        <v>1013</v>
      </c>
      <c r="AG30" t="s">
        <v>971</v>
      </c>
    </row>
    <row r="31" spans="1:33" x14ac:dyDescent="0.2">
      <c r="A31" t="s">
        <v>1014</v>
      </c>
      <c r="B31" t="s">
        <v>971</v>
      </c>
      <c r="C31" s="2"/>
      <c r="D31">
        <v>-1.6074999999999999</v>
      </c>
      <c r="E31">
        <v>150</v>
      </c>
      <c r="F31">
        <v>150</v>
      </c>
      <c r="H31">
        <v>-0.4325</v>
      </c>
      <c r="I31">
        <v>120</v>
      </c>
      <c r="J31">
        <v>120</v>
      </c>
      <c r="L31">
        <v>-0.79749999999999999</v>
      </c>
      <c r="M31">
        <v>300</v>
      </c>
      <c r="N31">
        <v>180</v>
      </c>
      <c r="P31">
        <v>6.25E-2</v>
      </c>
      <c r="Q31">
        <v>0</v>
      </c>
      <c r="R31">
        <v>0</v>
      </c>
      <c r="T31">
        <v>-0.50749999999999995</v>
      </c>
      <c r="U31">
        <v>450</v>
      </c>
      <c r="V31">
        <v>60</v>
      </c>
      <c r="X31">
        <v>-1.1599999999999999</v>
      </c>
      <c r="Y31">
        <v>150</v>
      </c>
      <c r="Z31">
        <v>0</v>
      </c>
      <c r="AB31">
        <v>1.7500000000000002E-2</v>
      </c>
      <c r="AC31">
        <v>0</v>
      </c>
      <c r="AD31">
        <v>0</v>
      </c>
      <c r="AF31" t="s">
        <v>1014</v>
      </c>
      <c r="AG31" t="s">
        <v>971</v>
      </c>
    </row>
    <row r="32" spans="1:33" x14ac:dyDescent="0.2">
      <c r="A32" t="s">
        <v>1015</v>
      </c>
      <c r="B32" t="s">
        <v>971</v>
      </c>
      <c r="C32" s="2"/>
      <c r="D32">
        <v>-1.58</v>
      </c>
      <c r="E32">
        <v>155</v>
      </c>
      <c r="F32">
        <v>155</v>
      </c>
      <c r="H32">
        <v>-0.41249999999999998</v>
      </c>
      <c r="I32">
        <v>124</v>
      </c>
      <c r="J32">
        <v>124</v>
      </c>
      <c r="L32">
        <v>-0.79249999999999998</v>
      </c>
      <c r="M32">
        <v>310</v>
      </c>
      <c r="N32">
        <v>186</v>
      </c>
      <c r="P32">
        <v>0</v>
      </c>
      <c r="Q32">
        <v>0</v>
      </c>
      <c r="R32">
        <v>0</v>
      </c>
      <c r="T32">
        <v>-0.66</v>
      </c>
      <c r="U32">
        <v>465</v>
      </c>
      <c r="V32">
        <v>62</v>
      </c>
      <c r="X32">
        <v>-0.90500000000000003</v>
      </c>
      <c r="Y32">
        <v>155</v>
      </c>
      <c r="Z32">
        <v>0</v>
      </c>
      <c r="AB32">
        <v>-2.5000000000000001E-3</v>
      </c>
      <c r="AC32">
        <v>0</v>
      </c>
      <c r="AD32">
        <v>0</v>
      </c>
      <c r="AF32" t="s">
        <v>1015</v>
      </c>
      <c r="AG32" t="s">
        <v>971</v>
      </c>
    </row>
    <row r="33" spans="1:33" x14ac:dyDescent="0.2">
      <c r="A33" t="s">
        <v>1016</v>
      </c>
      <c r="B33" t="s">
        <v>971</v>
      </c>
      <c r="C33" s="2"/>
      <c r="D33">
        <v>-1.2775000000000001</v>
      </c>
      <c r="E33">
        <v>202</v>
      </c>
      <c r="F33">
        <v>112</v>
      </c>
      <c r="H33">
        <v>-0.23749999999999999</v>
      </c>
      <c r="I33">
        <v>0</v>
      </c>
      <c r="J33">
        <v>0</v>
      </c>
      <c r="L33">
        <v>-0.6925</v>
      </c>
      <c r="M33">
        <v>0</v>
      </c>
      <c r="N33">
        <v>0</v>
      </c>
      <c r="P33">
        <v>3.7499999999999999E-2</v>
      </c>
      <c r="Q33">
        <v>0</v>
      </c>
      <c r="R33">
        <v>0</v>
      </c>
      <c r="T33">
        <v>-0.41</v>
      </c>
      <c r="U33">
        <v>450</v>
      </c>
      <c r="V33">
        <v>120</v>
      </c>
      <c r="X33">
        <v>-0.99</v>
      </c>
      <c r="Y33">
        <v>0</v>
      </c>
      <c r="Z33">
        <v>0</v>
      </c>
      <c r="AB33">
        <v>-6.5000000000000002E-2</v>
      </c>
      <c r="AC33">
        <v>90</v>
      </c>
      <c r="AD33">
        <v>60</v>
      </c>
      <c r="AF33" t="s">
        <v>1016</v>
      </c>
      <c r="AG33" t="s">
        <v>971</v>
      </c>
    </row>
    <row r="34" spans="1:33" x14ac:dyDescent="0.2">
      <c r="A34" t="s">
        <v>1017</v>
      </c>
      <c r="B34" t="s">
        <v>971</v>
      </c>
      <c r="C34" s="2"/>
      <c r="D34">
        <v>-1.2875000000000001</v>
      </c>
      <c r="E34">
        <v>208</v>
      </c>
      <c r="F34">
        <v>115</v>
      </c>
      <c r="H34">
        <v>-7.4999999999999997E-2</v>
      </c>
      <c r="I34">
        <v>0</v>
      </c>
      <c r="J34">
        <v>0</v>
      </c>
      <c r="L34">
        <v>-0.6</v>
      </c>
      <c r="M34">
        <v>0</v>
      </c>
      <c r="N34">
        <v>0</v>
      </c>
      <c r="P34">
        <v>1.7500000000000002E-2</v>
      </c>
      <c r="Q34">
        <v>0</v>
      </c>
      <c r="R34">
        <v>0</v>
      </c>
      <c r="T34">
        <v>-0.16</v>
      </c>
      <c r="U34">
        <v>465</v>
      </c>
      <c r="V34">
        <v>124</v>
      </c>
      <c r="X34">
        <v>-0.89749999999999996</v>
      </c>
      <c r="Y34">
        <v>0</v>
      </c>
      <c r="Z34">
        <v>0</v>
      </c>
      <c r="AB34">
        <v>-7.4999999999999997E-2</v>
      </c>
      <c r="AC34">
        <v>93</v>
      </c>
      <c r="AD34">
        <v>62</v>
      </c>
      <c r="AF34" t="s">
        <v>1017</v>
      </c>
      <c r="AG34" t="s">
        <v>971</v>
      </c>
    </row>
    <row r="35" spans="1:33" x14ac:dyDescent="0.2">
      <c r="A35" t="s">
        <v>1006</v>
      </c>
      <c r="B35" t="s">
        <v>1018</v>
      </c>
      <c r="C35" s="2"/>
      <c r="D35">
        <v>-1.3525</v>
      </c>
      <c r="E35">
        <v>239</v>
      </c>
      <c r="F35">
        <v>146</v>
      </c>
      <c r="H35">
        <v>-2.5000000000000001E-2</v>
      </c>
      <c r="I35">
        <v>0</v>
      </c>
      <c r="J35">
        <v>0</v>
      </c>
      <c r="L35">
        <v>-0.67749999999999999</v>
      </c>
      <c r="M35">
        <v>0</v>
      </c>
      <c r="N35">
        <v>0</v>
      </c>
      <c r="P35">
        <v>-0.03</v>
      </c>
      <c r="Q35">
        <v>0</v>
      </c>
      <c r="R35">
        <v>0</v>
      </c>
      <c r="T35">
        <v>-0.28000000000000003</v>
      </c>
      <c r="U35">
        <v>0</v>
      </c>
      <c r="V35">
        <v>0</v>
      </c>
      <c r="X35">
        <v>-0.91</v>
      </c>
      <c r="Y35">
        <v>0</v>
      </c>
      <c r="Z35">
        <v>0</v>
      </c>
      <c r="AB35">
        <v>-8.5000000000000006E-2</v>
      </c>
      <c r="AC35">
        <v>93</v>
      </c>
      <c r="AD35">
        <v>62</v>
      </c>
      <c r="AF35" t="s">
        <v>1006</v>
      </c>
      <c r="AG35" t="s">
        <v>1018</v>
      </c>
    </row>
    <row r="36" spans="1:33" x14ac:dyDescent="0.2">
      <c r="A36" t="s">
        <v>1007</v>
      </c>
      <c r="B36" t="s">
        <v>1018</v>
      </c>
      <c r="C36" s="2"/>
      <c r="D36">
        <v>-1.34</v>
      </c>
      <c r="E36">
        <v>225</v>
      </c>
      <c r="F36">
        <v>138</v>
      </c>
      <c r="H36">
        <v>-0.02</v>
      </c>
      <c r="I36">
        <v>0</v>
      </c>
      <c r="J36">
        <v>0</v>
      </c>
      <c r="L36">
        <v>-0.6825</v>
      </c>
      <c r="M36">
        <v>0</v>
      </c>
      <c r="N36">
        <v>0</v>
      </c>
      <c r="P36">
        <v>-4.2500000000000003E-2</v>
      </c>
      <c r="Q36">
        <v>0</v>
      </c>
      <c r="R36">
        <v>0</v>
      </c>
      <c r="T36">
        <v>-0.31</v>
      </c>
      <c r="U36">
        <v>0</v>
      </c>
      <c r="V36">
        <v>0</v>
      </c>
      <c r="X36">
        <v>-0.88249999999999995</v>
      </c>
      <c r="Y36">
        <v>0</v>
      </c>
      <c r="Z36">
        <v>0</v>
      </c>
      <c r="AB36">
        <v>-9.2499999999999999E-2</v>
      </c>
      <c r="AC36">
        <v>87</v>
      </c>
      <c r="AD36">
        <v>58</v>
      </c>
      <c r="AF36" t="s">
        <v>1007</v>
      </c>
      <c r="AG36" t="s">
        <v>1018</v>
      </c>
    </row>
    <row r="37" spans="1:33" x14ac:dyDescent="0.2">
      <c r="A37" t="s">
        <v>1008</v>
      </c>
      <c r="B37" t="s">
        <v>1018</v>
      </c>
      <c r="C37" s="2"/>
      <c r="D37">
        <v>-1.3149999999999999</v>
      </c>
      <c r="E37">
        <v>239</v>
      </c>
      <c r="F37">
        <v>146</v>
      </c>
      <c r="H37">
        <v>-0.155</v>
      </c>
      <c r="I37">
        <v>0</v>
      </c>
      <c r="J37">
        <v>0</v>
      </c>
      <c r="L37">
        <v>-0.72250000000000003</v>
      </c>
      <c r="M37">
        <v>0</v>
      </c>
      <c r="N37">
        <v>0</v>
      </c>
      <c r="P37">
        <v>-7.4999999999999997E-3</v>
      </c>
      <c r="Q37">
        <v>0</v>
      </c>
      <c r="R37">
        <v>0</v>
      </c>
      <c r="T37">
        <v>-0.41749999999999998</v>
      </c>
      <c r="U37">
        <v>0</v>
      </c>
      <c r="V37">
        <v>0</v>
      </c>
      <c r="X37">
        <v>-0.94750000000000001</v>
      </c>
      <c r="Y37">
        <v>0</v>
      </c>
      <c r="Z37">
        <v>0</v>
      </c>
      <c r="AB37">
        <v>-0.08</v>
      </c>
      <c r="AC37">
        <v>93</v>
      </c>
      <c r="AD37">
        <v>62</v>
      </c>
      <c r="AF37" t="s">
        <v>1008</v>
      </c>
      <c r="AG37" t="s">
        <v>1018</v>
      </c>
    </row>
    <row r="38" spans="1:33" x14ac:dyDescent="0.2">
      <c r="A38" t="s">
        <v>1009</v>
      </c>
      <c r="B38" t="s">
        <v>1018</v>
      </c>
      <c r="C38" s="2"/>
      <c r="D38">
        <v>-1.5275000000000001</v>
      </c>
      <c r="E38">
        <v>52</v>
      </c>
      <c r="F38">
        <v>52</v>
      </c>
      <c r="H38">
        <v>-0.215</v>
      </c>
      <c r="I38">
        <v>120</v>
      </c>
      <c r="J38">
        <v>0</v>
      </c>
      <c r="L38">
        <v>-0.875</v>
      </c>
      <c r="M38">
        <v>0</v>
      </c>
      <c r="N38">
        <v>0</v>
      </c>
      <c r="P38">
        <v>0.14749999999999999</v>
      </c>
      <c r="Q38">
        <v>0</v>
      </c>
      <c r="R38">
        <v>0</v>
      </c>
      <c r="T38">
        <v>-0.64249999999999996</v>
      </c>
      <c r="U38">
        <v>0</v>
      </c>
      <c r="V38">
        <v>0</v>
      </c>
      <c r="X38">
        <v>-0.97499999999999998</v>
      </c>
      <c r="Y38">
        <v>0</v>
      </c>
      <c r="Z38">
        <v>0</v>
      </c>
      <c r="AB38">
        <v>-7.7499999999999999E-2</v>
      </c>
      <c r="AC38">
        <v>0</v>
      </c>
      <c r="AD38">
        <v>0</v>
      </c>
      <c r="AF38" t="s">
        <v>1009</v>
      </c>
      <c r="AG38" t="s">
        <v>1018</v>
      </c>
    </row>
    <row r="39" spans="1:33" x14ac:dyDescent="0.2">
      <c r="A39" t="s">
        <v>1010</v>
      </c>
      <c r="B39" t="s">
        <v>1018</v>
      </c>
      <c r="C39" s="2"/>
      <c r="D39">
        <v>-1.5449999999999999</v>
      </c>
      <c r="E39">
        <v>53</v>
      </c>
      <c r="F39">
        <v>53</v>
      </c>
      <c r="H39">
        <v>-0.37</v>
      </c>
      <c r="I39">
        <v>124</v>
      </c>
      <c r="J39">
        <v>0</v>
      </c>
      <c r="L39">
        <v>-0.87749999999999995</v>
      </c>
      <c r="M39">
        <v>0</v>
      </c>
      <c r="N39">
        <v>0</v>
      </c>
      <c r="P39">
        <v>0.15</v>
      </c>
      <c r="Q39">
        <v>0</v>
      </c>
      <c r="R39">
        <v>0</v>
      </c>
      <c r="T39">
        <v>-0.63249999999999995</v>
      </c>
      <c r="U39">
        <v>0</v>
      </c>
      <c r="V39">
        <v>0</v>
      </c>
      <c r="X39">
        <v>-0.97499999999999998</v>
      </c>
      <c r="Y39">
        <v>0</v>
      </c>
      <c r="Z39">
        <v>0</v>
      </c>
      <c r="AB39">
        <v>-9.5000000000000001E-2</v>
      </c>
      <c r="AC39">
        <v>0</v>
      </c>
      <c r="AD39">
        <v>0</v>
      </c>
      <c r="AF39" t="s">
        <v>1010</v>
      </c>
      <c r="AG39" t="s">
        <v>1018</v>
      </c>
    </row>
    <row r="40" spans="1:33" x14ac:dyDescent="0.2">
      <c r="A40" t="s">
        <v>1011</v>
      </c>
      <c r="B40" t="s">
        <v>1018</v>
      </c>
      <c r="C40" s="2"/>
      <c r="D40">
        <v>-1.5475000000000001</v>
      </c>
      <c r="E40">
        <v>52</v>
      </c>
      <c r="F40">
        <v>52</v>
      </c>
      <c r="H40">
        <v>-0.4425</v>
      </c>
      <c r="I40">
        <v>120</v>
      </c>
      <c r="J40">
        <v>0</v>
      </c>
      <c r="L40">
        <v>-0.87749999999999995</v>
      </c>
      <c r="M40">
        <v>0</v>
      </c>
      <c r="N40">
        <v>0</v>
      </c>
      <c r="P40">
        <v>0.13</v>
      </c>
      <c r="Q40">
        <v>0</v>
      </c>
      <c r="R40">
        <v>0</v>
      </c>
      <c r="T40">
        <v>-0.62250000000000005</v>
      </c>
      <c r="U40">
        <v>0</v>
      </c>
      <c r="V40">
        <v>0</v>
      </c>
      <c r="X40">
        <v>-0.96250000000000002</v>
      </c>
      <c r="Y40">
        <v>0</v>
      </c>
      <c r="Z40">
        <v>0</v>
      </c>
      <c r="AB40">
        <v>-9.2499999999999999E-2</v>
      </c>
      <c r="AC40">
        <v>0</v>
      </c>
      <c r="AD40">
        <v>0</v>
      </c>
      <c r="AF40" t="s">
        <v>1011</v>
      </c>
      <c r="AG40" t="s">
        <v>1018</v>
      </c>
    </row>
    <row r="41" spans="1:33" x14ac:dyDescent="0.2">
      <c r="A41" t="s">
        <v>1012</v>
      </c>
      <c r="B41" t="s">
        <v>1018</v>
      </c>
      <c r="C41" s="2"/>
      <c r="D41">
        <v>-1.5674999999999999</v>
      </c>
      <c r="E41">
        <v>53</v>
      </c>
      <c r="F41">
        <v>53</v>
      </c>
      <c r="H41">
        <v>-0.40749999999999997</v>
      </c>
      <c r="I41">
        <v>124</v>
      </c>
      <c r="J41">
        <v>0</v>
      </c>
      <c r="L41">
        <v>-0.77249999999999996</v>
      </c>
      <c r="M41">
        <v>0</v>
      </c>
      <c r="N41">
        <v>0</v>
      </c>
      <c r="P41">
        <v>0.20749999999999999</v>
      </c>
      <c r="Q41">
        <v>0</v>
      </c>
      <c r="R41">
        <v>0</v>
      </c>
      <c r="T41">
        <v>-0.35499999999999998</v>
      </c>
      <c r="U41">
        <v>0</v>
      </c>
      <c r="V41">
        <v>0</v>
      </c>
      <c r="X41">
        <v>-0.92249999999999999</v>
      </c>
      <c r="Y41">
        <v>0</v>
      </c>
      <c r="Z41">
        <v>0</v>
      </c>
      <c r="AB41">
        <v>-7.4999999999999997E-2</v>
      </c>
      <c r="AC41">
        <v>0</v>
      </c>
      <c r="AD41">
        <v>0</v>
      </c>
      <c r="AF41" t="s">
        <v>1012</v>
      </c>
      <c r="AG41" t="s">
        <v>1018</v>
      </c>
    </row>
    <row r="42" spans="1:33" x14ac:dyDescent="0.2">
      <c r="A42" t="s">
        <v>1013</v>
      </c>
      <c r="B42" t="s">
        <v>1018</v>
      </c>
      <c r="C42" s="2"/>
      <c r="D42">
        <v>-1.57</v>
      </c>
      <c r="E42">
        <v>53</v>
      </c>
      <c r="F42">
        <v>53</v>
      </c>
      <c r="H42">
        <v>-0.40749999999999997</v>
      </c>
      <c r="I42">
        <v>124</v>
      </c>
      <c r="J42">
        <v>0</v>
      </c>
      <c r="L42">
        <v>-0.77</v>
      </c>
      <c r="M42">
        <v>0</v>
      </c>
      <c r="N42">
        <v>0</v>
      </c>
      <c r="P42">
        <v>0.23</v>
      </c>
      <c r="Q42">
        <v>0</v>
      </c>
      <c r="R42">
        <v>0</v>
      </c>
      <c r="T42">
        <v>-0.33750000000000002</v>
      </c>
      <c r="U42">
        <v>0</v>
      </c>
      <c r="V42">
        <v>0</v>
      </c>
      <c r="X42">
        <v>-0.88500000000000001</v>
      </c>
      <c r="Y42">
        <v>0</v>
      </c>
      <c r="Z42">
        <v>0</v>
      </c>
      <c r="AB42">
        <v>-7.2499999999999995E-2</v>
      </c>
      <c r="AC42">
        <v>0</v>
      </c>
      <c r="AD42">
        <v>0</v>
      </c>
      <c r="AF42" t="s">
        <v>1013</v>
      </c>
      <c r="AG42" t="s">
        <v>1018</v>
      </c>
    </row>
    <row r="43" spans="1:33" x14ac:dyDescent="0.2">
      <c r="A43" t="s">
        <v>1014</v>
      </c>
      <c r="B43" t="s">
        <v>1018</v>
      </c>
      <c r="C43" s="2"/>
      <c r="D43">
        <v>-1.5525</v>
      </c>
      <c r="E43">
        <v>52</v>
      </c>
      <c r="F43">
        <v>52</v>
      </c>
      <c r="H43">
        <v>-0.40749999999999997</v>
      </c>
      <c r="I43">
        <v>120</v>
      </c>
      <c r="J43">
        <v>0</v>
      </c>
      <c r="L43">
        <v>-0.78249999999999997</v>
      </c>
      <c r="M43">
        <v>0</v>
      </c>
      <c r="N43">
        <v>0</v>
      </c>
      <c r="P43">
        <v>0.2175</v>
      </c>
      <c r="Q43">
        <v>0</v>
      </c>
      <c r="R43">
        <v>0</v>
      </c>
      <c r="T43">
        <v>-0.46250000000000002</v>
      </c>
      <c r="U43">
        <v>0</v>
      </c>
      <c r="V43">
        <v>0</v>
      </c>
      <c r="X43">
        <v>-0.90749999999999997</v>
      </c>
      <c r="Y43">
        <v>0</v>
      </c>
      <c r="Z43">
        <v>0</v>
      </c>
      <c r="AB43">
        <v>-6.5000000000000002E-2</v>
      </c>
      <c r="AC43">
        <v>0</v>
      </c>
      <c r="AD43">
        <v>0</v>
      </c>
      <c r="AF43" t="s">
        <v>1014</v>
      </c>
      <c r="AG43" t="s">
        <v>1018</v>
      </c>
    </row>
    <row r="44" spans="1:33" x14ac:dyDescent="0.2">
      <c r="A44" t="s">
        <v>1015</v>
      </c>
      <c r="B44" t="s">
        <v>1018</v>
      </c>
      <c r="C44" s="2"/>
      <c r="D44">
        <v>-1.5425</v>
      </c>
      <c r="E44">
        <v>53</v>
      </c>
      <c r="F44">
        <v>53</v>
      </c>
      <c r="H44">
        <v>-0.41249999999999998</v>
      </c>
      <c r="I44">
        <v>124</v>
      </c>
      <c r="J44">
        <v>0</v>
      </c>
      <c r="L44">
        <v>-0.83499999999999996</v>
      </c>
      <c r="M44">
        <v>0</v>
      </c>
      <c r="N44">
        <v>0</v>
      </c>
      <c r="P44">
        <v>0.185</v>
      </c>
      <c r="Q44">
        <v>0</v>
      </c>
      <c r="R44">
        <v>0</v>
      </c>
      <c r="T44">
        <v>-0.63</v>
      </c>
      <c r="U44">
        <v>0</v>
      </c>
      <c r="V44">
        <v>0</v>
      </c>
      <c r="X44">
        <v>-0.92249999999999999</v>
      </c>
      <c r="Y44">
        <v>0</v>
      </c>
      <c r="Z44">
        <v>0</v>
      </c>
      <c r="AB44">
        <v>-5.2499999999999998E-2</v>
      </c>
      <c r="AC44">
        <v>0</v>
      </c>
      <c r="AD44">
        <v>0</v>
      </c>
      <c r="AF44" t="s">
        <v>1015</v>
      </c>
      <c r="AG44" t="s">
        <v>1018</v>
      </c>
    </row>
    <row r="45" spans="1:33" x14ac:dyDescent="0.2">
      <c r="A45" t="s">
        <v>1016</v>
      </c>
      <c r="B45" t="s">
        <v>1018</v>
      </c>
      <c r="C45" s="2"/>
      <c r="D45">
        <v>-1.2275</v>
      </c>
      <c r="E45">
        <v>60</v>
      </c>
      <c r="F45">
        <v>60</v>
      </c>
      <c r="H45">
        <v>-0.20499999999999999</v>
      </c>
      <c r="I45">
        <v>30</v>
      </c>
      <c r="J45">
        <v>0</v>
      </c>
      <c r="L45">
        <v>-0.59</v>
      </c>
      <c r="M45">
        <v>0</v>
      </c>
      <c r="N45">
        <v>0</v>
      </c>
      <c r="P45">
        <v>0.155</v>
      </c>
      <c r="Q45">
        <v>0</v>
      </c>
      <c r="R45">
        <v>0</v>
      </c>
      <c r="T45">
        <v>-0.33250000000000002</v>
      </c>
      <c r="U45">
        <v>0</v>
      </c>
      <c r="V45">
        <v>0</v>
      </c>
      <c r="X45">
        <v>-0.66249999999999998</v>
      </c>
      <c r="Y45">
        <v>0</v>
      </c>
      <c r="Z45">
        <v>0</v>
      </c>
      <c r="AB45">
        <v>-0.1125</v>
      </c>
      <c r="AC45">
        <v>0</v>
      </c>
      <c r="AD45">
        <v>0</v>
      </c>
      <c r="AF45" t="s">
        <v>1016</v>
      </c>
      <c r="AG45" t="s">
        <v>1018</v>
      </c>
    </row>
    <row r="46" spans="1:33" x14ac:dyDescent="0.2">
      <c r="A46" t="s">
        <v>1017</v>
      </c>
      <c r="B46" t="s">
        <v>1018</v>
      </c>
      <c r="C46" s="2"/>
      <c r="D46">
        <v>-1.21</v>
      </c>
      <c r="E46">
        <v>62</v>
      </c>
      <c r="F46">
        <v>62</v>
      </c>
      <c r="H46">
        <v>-0.105</v>
      </c>
      <c r="I46">
        <v>31</v>
      </c>
      <c r="J46">
        <v>0</v>
      </c>
      <c r="L46">
        <v>-0.51</v>
      </c>
      <c r="M46">
        <v>0</v>
      </c>
      <c r="N46">
        <v>0</v>
      </c>
      <c r="P46">
        <v>0.1525</v>
      </c>
      <c r="Q46">
        <v>0</v>
      </c>
      <c r="R46">
        <v>0</v>
      </c>
      <c r="T46">
        <v>-0.14749999999999999</v>
      </c>
      <c r="U46">
        <v>0</v>
      </c>
      <c r="V46">
        <v>0</v>
      </c>
      <c r="X46">
        <v>-0.59499999999999997</v>
      </c>
      <c r="Y46">
        <v>0</v>
      </c>
      <c r="Z46">
        <v>0</v>
      </c>
      <c r="AB46">
        <v>-0.115</v>
      </c>
      <c r="AC46">
        <v>0</v>
      </c>
      <c r="AD46">
        <v>0</v>
      </c>
      <c r="AF46" t="s">
        <v>1017</v>
      </c>
      <c r="AG46" t="s">
        <v>1018</v>
      </c>
    </row>
    <row r="47" spans="1:33" x14ac:dyDescent="0.2">
      <c r="A47" t="s">
        <v>1006</v>
      </c>
      <c r="B47" t="s">
        <v>1429</v>
      </c>
      <c r="C47" s="2"/>
      <c r="D47">
        <v>-1.165</v>
      </c>
      <c r="E47">
        <v>124</v>
      </c>
      <c r="F47">
        <v>124</v>
      </c>
      <c r="H47">
        <v>-4.2500000000000003E-2</v>
      </c>
      <c r="I47">
        <v>93</v>
      </c>
      <c r="J47">
        <v>62</v>
      </c>
      <c r="L47">
        <v>-0.53749999999999998</v>
      </c>
      <c r="M47">
        <v>0</v>
      </c>
      <c r="N47">
        <v>0</v>
      </c>
      <c r="P47">
        <v>0.13250000000000001</v>
      </c>
      <c r="Q47">
        <v>0</v>
      </c>
      <c r="R47">
        <v>0</v>
      </c>
      <c r="T47">
        <v>-0.22750000000000001</v>
      </c>
      <c r="U47">
        <v>0</v>
      </c>
      <c r="V47">
        <v>0</v>
      </c>
      <c r="X47">
        <v>-0.62749999999999995</v>
      </c>
      <c r="Y47">
        <v>124</v>
      </c>
      <c r="Z47">
        <v>124</v>
      </c>
      <c r="AB47">
        <v>-0.13500000000000001</v>
      </c>
      <c r="AC47">
        <v>0</v>
      </c>
      <c r="AD47">
        <v>0</v>
      </c>
      <c r="AF47" t="s">
        <v>1006</v>
      </c>
      <c r="AG47" t="s">
        <v>1429</v>
      </c>
    </row>
    <row r="48" spans="1:33" x14ac:dyDescent="0.2">
      <c r="A48" t="s">
        <v>1007</v>
      </c>
      <c r="B48" t="s">
        <v>1429</v>
      </c>
      <c r="C48" s="2"/>
      <c r="D48">
        <v>-1.1399999999999999</v>
      </c>
      <c r="E48">
        <v>112</v>
      </c>
      <c r="F48">
        <v>112</v>
      </c>
      <c r="H48">
        <v>-0.04</v>
      </c>
      <c r="I48">
        <v>84</v>
      </c>
      <c r="J48">
        <v>56</v>
      </c>
      <c r="L48">
        <v>-0.54500000000000004</v>
      </c>
      <c r="M48">
        <v>0</v>
      </c>
      <c r="N48">
        <v>0</v>
      </c>
      <c r="P48">
        <v>0.11</v>
      </c>
      <c r="Q48">
        <v>0</v>
      </c>
      <c r="R48">
        <v>0</v>
      </c>
      <c r="T48">
        <v>-0.255</v>
      </c>
      <c r="U48">
        <v>0</v>
      </c>
      <c r="V48">
        <v>0</v>
      </c>
      <c r="X48">
        <v>-0.63749999999999996</v>
      </c>
      <c r="Y48">
        <v>112</v>
      </c>
      <c r="Z48">
        <v>112</v>
      </c>
      <c r="AB48">
        <v>-0.13750000000000001</v>
      </c>
      <c r="AC48">
        <v>0</v>
      </c>
      <c r="AD48">
        <v>0</v>
      </c>
      <c r="AF48" t="s">
        <v>1007</v>
      </c>
      <c r="AG48" t="s">
        <v>1429</v>
      </c>
    </row>
    <row r="49" spans="1:33" x14ac:dyDescent="0.2">
      <c r="A49" t="s">
        <v>1008</v>
      </c>
      <c r="B49" t="s">
        <v>1429</v>
      </c>
      <c r="C49" s="2"/>
      <c r="D49">
        <v>-1.1299999999999999</v>
      </c>
      <c r="E49">
        <v>124</v>
      </c>
      <c r="F49">
        <v>124</v>
      </c>
      <c r="H49">
        <v>-0.15</v>
      </c>
      <c r="I49">
        <v>93</v>
      </c>
      <c r="J49">
        <v>62</v>
      </c>
      <c r="L49">
        <v>-0.57750000000000001</v>
      </c>
      <c r="M49">
        <v>0</v>
      </c>
      <c r="N49">
        <v>0</v>
      </c>
      <c r="P49">
        <v>0.1525</v>
      </c>
      <c r="Q49">
        <v>0</v>
      </c>
      <c r="R49">
        <v>0</v>
      </c>
      <c r="T49">
        <v>-0.33750000000000002</v>
      </c>
      <c r="U49">
        <v>0</v>
      </c>
      <c r="V49">
        <v>0</v>
      </c>
      <c r="X49">
        <v>-0.67</v>
      </c>
      <c r="Y49">
        <v>124</v>
      </c>
      <c r="Z49">
        <v>124</v>
      </c>
      <c r="AB49">
        <v>-0.1275</v>
      </c>
      <c r="AC49">
        <v>0</v>
      </c>
      <c r="AD49">
        <v>0</v>
      </c>
      <c r="AF49" t="s">
        <v>1008</v>
      </c>
      <c r="AG49" t="s">
        <v>1429</v>
      </c>
    </row>
    <row r="50" spans="1:33" x14ac:dyDescent="0.2">
      <c r="A50" t="s">
        <v>1009</v>
      </c>
      <c r="B50" t="s">
        <v>1429</v>
      </c>
      <c r="C50" s="2"/>
      <c r="D50">
        <v>-1.25</v>
      </c>
      <c r="E50">
        <v>270</v>
      </c>
      <c r="F50">
        <v>90</v>
      </c>
      <c r="H50">
        <v>-0.29749999999999999</v>
      </c>
      <c r="I50">
        <v>180</v>
      </c>
      <c r="J50">
        <v>60</v>
      </c>
      <c r="L50">
        <v>-0.83250000000000002</v>
      </c>
      <c r="M50">
        <v>0</v>
      </c>
      <c r="N50">
        <v>0</v>
      </c>
      <c r="P50">
        <v>0.26</v>
      </c>
      <c r="Q50">
        <v>0</v>
      </c>
      <c r="R50">
        <v>0</v>
      </c>
      <c r="T50">
        <v>-0.54</v>
      </c>
      <c r="U50">
        <v>0</v>
      </c>
      <c r="V50">
        <v>0</v>
      </c>
      <c r="X50">
        <v>-0.67249999999999999</v>
      </c>
      <c r="Y50">
        <v>120</v>
      </c>
      <c r="Z50">
        <v>120</v>
      </c>
      <c r="AB50">
        <v>-8.7499999999999994E-2</v>
      </c>
      <c r="AC50">
        <v>0</v>
      </c>
      <c r="AD50">
        <v>0</v>
      </c>
      <c r="AF50" t="s">
        <v>1009</v>
      </c>
      <c r="AG50" t="s">
        <v>1429</v>
      </c>
    </row>
    <row r="51" spans="1:33" x14ac:dyDescent="0.2">
      <c r="A51" t="s">
        <v>1010</v>
      </c>
      <c r="B51" t="s">
        <v>1429</v>
      </c>
      <c r="C51" s="2"/>
      <c r="D51">
        <v>-1.2625</v>
      </c>
      <c r="E51">
        <v>279</v>
      </c>
      <c r="F51">
        <v>93</v>
      </c>
      <c r="H51">
        <v>-0.43</v>
      </c>
      <c r="I51">
        <v>186</v>
      </c>
      <c r="J51">
        <v>62</v>
      </c>
      <c r="L51">
        <v>-0.83499999999999996</v>
      </c>
      <c r="M51">
        <v>0</v>
      </c>
      <c r="N51">
        <v>0</v>
      </c>
      <c r="P51">
        <v>0.26250000000000001</v>
      </c>
      <c r="Q51">
        <v>0</v>
      </c>
      <c r="R51">
        <v>0</v>
      </c>
      <c r="T51">
        <v>-0.52749999999999997</v>
      </c>
      <c r="U51">
        <v>0</v>
      </c>
      <c r="V51">
        <v>0</v>
      </c>
      <c r="X51">
        <v>-0.68</v>
      </c>
      <c r="Y51">
        <v>124</v>
      </c>
      <c r="Z51">
        <v>124</v>
      </c>
      <c r="AB51">
        <v>-0.11</v>
      </c>
      <c r="AC51">
        <v>0</v>
      </c>
      <c r="AD51">
        <v>0</v>
      </c>
      <c r="AF51" t="s">
        <v>1010</v>
      </c>
      <c r="AG51" t="s">
        <v>1429</v>
      </c>
    </row>
    <row r="52" spans="1:33" x14ac:dyDescent="0.2">
      <c r="A52" t="s">
        <v>1011</v>
      </c>
      <c r="B52" t="s">
        <v>1429</v>
      </c>
      <c r="C52" s="2"/>
      <c r="D52">
        <v>-1.2675000000000001</v>
      </c>
      <c r="E52">
        <v>270</v>
      </c>
      <c r="F52">
        <v>90</v>
      </c>
      <c r="H52">
        <v>-0.44500000000000001</v>
      </c>
      <c r="I52">
        <v>180</v>
      </c>
      <c r="J52">
        <v>60</v>
      </c>
      <c r="L52">
        <v>-0.83499999999999996</v>
      </c>
      <c r="M52">
        <v>0</v>
      </c>
      <c r="N52">
        <v>0</v>
      </c>
      <c r="P52">
        <v>0.23250000000000001</v>
      </c>
      <c r="Q52">
        <v>0</v>
      </c>
      <c r="R52">
        <v>0</v>
      </c>
      <c r="T52">
        <v>-0.52</v>
      </c>
      <c r="U52">
        <v>0</v>
      </c>
      <c r="V52">
        <v>0</v>
      </c>
      <c r="X52">
        <v>-0.67</v>
      </c>
      <c r="Y52">
        <v>120</v>
      </c>
      <c r="Z52">
        <v>120</v>
      </c>
      <c r="AB52">
        <v>-0.1075</v>
      </c>
      <c r="AC52">
        <v>0</v>
      </c>
      <c r="AD52">
        <v>0</v>
      </c>
      <c r="AF52" t="s">
        <v>1011</v>
      </c>
      <c r="AG52" t="s">
        <v>1429</v>
      </c>
    </row>
    <row r="53" spans="1:33" x14ac:dyDescent="0.2">
      <c r="A53" t="s">
        <v>1012</v>
      </c>
      <c r="B53" t="s">
        <v>1429</v>
      </c>
      <c r="C53" s="2"/>
      <c r="D53">
        <v>-1.2849999999999999</v>
      </c>
      <c r="E53">
        <v>279</v>
      </c>
      <c r="F53">
        <v>93</v>
      </c>
      <c r="H53">
        <v>-0.41</v>
      </c>
      <c r="I53">
        <v>186</v>
      </c>
      <c r="J53">
        <v>62</v>
      </c>
      <c r="L53">
        <v>-0.73499999999999999</v>
      </c>
      <c r="M53">
        <v>0</v>
      </c>
      <c r="N53">
        <v>0</v>
      </c>
      <c r="P53">
        <v>0.34250000000000003</v>
      </c>
      <c r="Q53">
        <v>0</v>
      </c>
      <c r="R53">
        <v>0</v>
      </c>
      <c r="T53">
        <v>-0.35</v>
      </c>
      <c r="U53">
        <v>0</v>
      </c>
      <c r="V53">
        <v>0</v>
      </c>
      <c r="X53">
        <v>-0.62749999999999995</v>
      </c>
      <c r="Y53">
        <v>124</v>
      </c>
      <c r="Z53">
        <v>124</v>
      </c>
      <c r="AB53">
        <v>-8.7499999999999994E-2</v>
      </c>
      <c r="AC53">
        <v>0</v>
      </c>
      <c r="AD53">
        <v>0</v>
      </c>
      <c r="AF53" t="s">
        <v>1012</v>
      </c>
      <c r="AG53" t="s">
        <v>1429</v>
      </c>
    </row>
    <row r="54" spans="1:33" x14ac:dyDescent="0.2">
      <c r="A54" t="s">
        <v>1013</v>
      </c>
      <c r="B54" t="s">
        <v>1429</v>
      </c>
      <c r="C54" s="2"/>
      <c r="D54">
        <v>-1.2849999999999999</v>
      </c>
      <c r="E54">
        <v>279</v>
      </c>
      <c r="F54">
        <v>93</v>
      </c>
      <c r="H54">
        <v>-0.41</v>
      </c>
      <c r="I54">
        <v>186</v>
      </c>
      <c r="J54">
        <v>62</v>
      </c>
      <c r="L54">
        <v>-0.73250000000000004</v>
      </c>
      <c r="M54">
        <v>0</v>
      </c>
      <c r="N54">
        <v>0</v>
      </c>
      <c r="P54">
        <v>0.375</v>
      </c>
      <c r="Q54">
        <v>0</v>
      </c>
      <c r="R54">
        <v>0</v>
      </c>
      <c r="T54">
        <v>-0.33250000000000002</v>
      </c>
      <c r="U54">
        <v>0</v>
      </c>
      <c r="V54">
        <v>0</v>
      </c>
      <c r="X54">
        <v>-0.59499999999999997</v>
      </c>
      <c r="Y54">
        <v>124</v>
      </c>
      <c r="Z54">
        <v>124</v>
      </c>
      <c r="AB54">
        <v>-8.5000000000000006E-2</v>
      </c>
      <c r="AC54">
        <v>0</v>
      </c>
      <c r="AD54">
        <v>0</v>
      </c>
      <c r="AF54" t="s">
        <v>1013</v>
      </c>
      <c r="AG54" t="s">
        <v>1429</v>
      </c>
    </row>
    <row r="55" spans="1:33" x14ac:dyDescent="0.2">
      <c r="A55" t="s">
        <v>1014</v>
      </c>
      <c r="B55" t="s">
        <v>1429</v>
      </c>
      <c r="C55" s="2"/>
      <c r="D55">
        <v>-1.2725</v>
      </c>
      <c r="E55">
        <v>270</v>
      </c>
      <c r="F55">
        <v>90</v>
      </c>
      <c r="H55">
        <v>-0.40749999999999997</v>
      </c>
      <c r="I55">
        <v>180</v>
      </c>
      <c r="J55">
        <v>60</v>
      </c>
      <c r="L55">
        <v>-0.745</v>
      </c>
      <c r="M55">
        <v>0</v>
      </c>
      <c r="N55">
        <v>0</v>
      </c>
      <c r="P55">
        <v>0.35499999999999998</v>
      </c>
      <c r="Q55">
        <v>0</v>
      </c>
      <c r="R55">
        <v>0</v>
      </c>
      <c r="T55">
        <v>-0.45250000000000001</v>
      </c>
      <c r="U55">
        <v>0</v>
      </c>
      <c r="V55">
        <v>0</v>
      </c>
      <c r="X55">
        <v>-0.61250000000000004</v>
      </c>
      <c r="Y55">
        <v>120</v>
      </c>
      <c r="Z55">
        <v>120</v>
      </c>
      <c r="AB55">
        <v>-7.4999999999999997E-2</v>
      </c>
      <c r="AC55">
        <v>0</v>
      </c>
      <c r="AD55">
        <v>0</v>
      </c>
      <c r="AF55" t="s">
        <v>1014</v>
      </c>
      <c r="AG55" t="s">
        <v>1429</v>
      </c>
    </row>
    <row r="56" spans="1:33" x14ac:dyDescent="0.2">
      <c r="A56" t="s">
        <v>1015</v>
      </c>
      <c r="B56" t="s">
        <v>1429</v>
      </c>
      <c r="C56" s="2"/>
      <c r="D56">
        <v>-1.2625</v>
      </c>
      <c r="E56">
        <v>279</v>
      </c>
      <c r="F56">
        <v>93</v>
      </c>
      <c r="H56">
        <v>-0.41249999999999998</v>
      </c>
      <c r="I56">
        <v>186</v>
      </c>
      <c r="J56">
        <v>62</v>
      </c>
      <c r="L56">
        <v>-0.79249999999999998</v>
      </c>
      <c r="M56">
        <v>0</v>
      </c>
      <c r="N56">
        <v>0</v>
      </c>
      <c r="P56">
        <v>0.31</v>
      </c>
      <c r="Q56">
        <v>0</v>
      </c>
      <c r="R56">
        <v>0</v>
      </c>
      <c r="T56">
        <v>-0.52500000000000002</v>
      </c>
      <c r="U56">
        <v>0</v>
      </c>
      <c r="V56">
        <v>0</v>
      </c>
      <c r="X56">
        <v>-0.63249999999999995</v>
      </c>
      <c r="Y56">
        <v>124</v>
      </c>
      <c r="Z56">
        <v>124</v>
      </c>
      <c r="AB56">
        <v>-5.7500000000000002E-2</v>
      </c>
      <c r="AC56">
        <v>0</v>
      </c>
      <c r="AD56">
        <v>0</v>
      </c>
      <c r="AF56" t="s">
        <v>1015</v>
      </c>
      <c r="AG56" t="s">
        <v>1429</v>
      </c>
    </row>
    <row r="57" spans="1:33" x14ac:dyDescent="0.2">
      <c r="A57" t="s">
        <v>1016</v>
      </c>
      <c r="B57" t="s">
        <v>1429</v>
      </c>
      <c r="C57" s="2"/>
      <c r="D57">
        <v>-1.0175000000000001</v>
      </c>
      <c r="E57">
        <v>180</v>
      </c>
      <c r="F57">
        <v>90</v>
      </c>
      <c r="H57">
        <v>-0.17249999999999999</v>
      </c>
      <c r="I57">
        <v>120</v>
      </c>
      <c r="J57">
        <v>120</v>
      </c>
      <c r="L57">
        <v>-0.5</v>
      </c>
      <c r="M57">
        <v>0</v>
      </c>
      <c r="N57">
        <v>0</v>
      </c>
      <c r="P57">
        <v>0.21249999999999999</v>
      </c>
      <c r="Q57">
        <v>0</v>
      </c>
      <c r="R57">
        <v>0</v>
      </c>
      <c r="T57">
        <v>-0.27750000000000002</v>
      </c>
      <c r="U57">
        <v>0</v>
      </c>
      <c r="V57">
        <v>0</v>
      </c>
      <c r="X57">
        <v>-0.59499999999999997</v>
      </c>
      <c r="Y57">
        <v>120</v>
      </c>
      <c r="Z57">
        <v>120</v>
      </c>
      <c r="AB57">
        <v>-9.7500000000000003E-2</v>
      </c>
      <c r="AC57">
        <v>0</v>
      </c>
      <c r="AD57">
        <v>0</v>
      </c>
      <c r="AF57" t="s">
        <v>1016</v>
      </c>
      <c r="AG57" t="s">
        <v>1429</v>
      </c>
    </row>
    <row r="58" spans="1:33" x14ac:dyDescent="0.2">
      <c r="A58" t="s">
        <v>1017</v>
      </c>
      <c r="B58" t="s">
        <v>1429</v>
      </c>
      <c r="C58" s="2"/>
      <c r="D58">
        <v>-1.02</v>
      </c>
      <c r="E58">
        <v>186</v>
      </c>
      <c r="F58">
        <v>93</v>
      </c>
      <c r="H58">
        <v>-0.1125</v>
      </c>
      <c r="I58">
        <v>124</v>
      </c>
      <c r="J58">
        <v>124</v>
      </c>
      <c r="L58">
        <v>-0.42749999999999999</v>
      </c>
      <c r="M58">
        <v>0</v>
      </c>
      <c r="N58">
        <v>0</v>
      </c>
      <c r="P58">
        <v>0.21</v>
      </c>
      <c r="Q58">
        <v>0</v>
      </c>
      <c r="R58">
        <v>0</v>
      </c>
      <c r="T58">
        <v>-0.11749999999999999</v>
      </c>
      <c r="U58">
        <v>0</v>
      </c>
      <c r="V58">
        <v>0</v>
      </c>
      <c r="X58">
        <v>-0.56499999999999995</v>
      </c>
      <c r="Y58">
        <v>124</v>
      </c>
      <c r="Z58">
        <v>124</v>
      </c>
      <c r="AB58">
        <v>-0.10249999999999999</v>
      </c>
      <c r="AC58">
        <v>0</v>
      </c>
      <c r="AD58">
        <v>0</v>
      </c>
      <c r="AF58" t="s">
        <v>1017</v>
      </c>
      <c r="AG58" t="s">
        <v>1429</v>
      </c>
    </row>
    <row r="59" spans="1:33" x14ac:dyDescent="0.2">
      <c r="A59" t="s">
        <v>1006</v>
      </c>
      <c r="B59" t="s">
        <v>1535</v>
      </c>
      <c r="C59" s="2"/>
      <c r="D59">
        <v>-1.0774999999999999</v>
      </c>
      <c r="E59">
        <v>372</v>
      </c>
      <c r="F59">
        <v>279</v>
      </c>
      <c r="H59">
        <v>-5.7500000000000002E-2</v>
      </c>
      <c r="I59">
        <v>248</v>
      </c>
      <c r="J59">
        <v>248</v>
      </c>
      <c r="L59">
        <v>-0.45250000000000001</v>
      </c>
      <c r="M59">
        <v>0</v>
      </c>
      <c r="N59">
        <v>0</v>
      </c>
      <c r="P59">
        <v>0.185</v>
      </c>
      <c r="Q59">
        <v>0</v>
      </c>
      <c r="R59">
        <v>0</v>
      </c>
      <c r="T59">
        <v>-0.1875</v>
      </c>
      <c r="U59">
        <v>0</v>
      </c>
      <c r="V59">
        <v>0</v>
      </c>
      <c r="X59">
        <v>-0.59750000000000003</v>
      </c>
      <c r="Y59">
        <v>124</v>
      </c>
      <c r="Z59">
        <v>124</v>
      </c>
      <c r="AB59">
        <v>-0.14249999999999999</v>
      </c>
      <c r="AC59">
        <v>0</v>
      </c>
      <c r="AD59">
        <v>0</v>
      </c>
      <c r="AF59" t="s">
        <v>1006</v>
      </c>
      <c r="AG59" t="s">
        <v>1535</v>
      </c>
    </row>
    <row r="60" spans="1:33" x14ac:dyDescent="0.2">
      <c r="A60" t="s">
        <v>1007</v>
      </c>
      <c r="B60" t="s">
        <v>1535</v>
      </c>
      <c r="C60" s="2"/>
      <c r="D60">
        <v>-1.0449999999999999</v>
      </c>
      <c r="E60">
        <v>336</v>
      </c>
      <c r="F60">
        <v>252</v>
      </c>
      <c r="H60">
        <v>-5.5E-2</v>
      </c>
      <c r="I60">
        <v>224</v>
      </c>
      <c r="J60">
        <v>224</v>
      </c>
      <c r="L60">
        <v>-0.46250000000000002</v>
      </c>
      <c r="M60">
        <v>0</v>
      </c>
      <c r="N60">
        <v>0</v>
      </c>
      <c r="P60">
        <v>0.1525</v>
      </c>
      <c r="Q60">
        <v>0</v>
      </c>
      <c r="R60">
        <v>0</v>
      </c>
      <c r="T60">
        <v>-0.21</v>
      </c>
      <c r="U60">
        <v>0</v>
      </c>
      <c r="V60">
        <v>0</v>
      </c>
      <c r="X60">
        <v>-0.60750000000000004</v>
      </c>
      <c r="Y60">
        <v>112</v>
      </c>
      <c r="Z60">
        <v>112</v>
      </c>
      <c r="AB60">
        <v>-0.14000000000000001</v>
      </c>
      <c r="AC60">
        <v>0</v>
      </c>
      <c r="AD60">
        <v>0</v>
      </c>
      <c r="AF60" t="s">
        <v>1007</v>
      </c>
      <c r="AG60" t="s">
        <v>1535</v>
      </c>
    </row>
    <row r="61" spans="1:33" x14ac:dyDescent="0.2">
      <c r="A61" t="s">
        <v>1008</v>
      </c>
      <c r="B61" t="s">
        <v>1535</v>
      </c>
      <c r="C61" s="2"/>
      <c r="D61">
        <v>-1.0425</v>
      </c>
      <c r="E61">
        <v>372</v>
      </c>
      <c r="F61">
        <v>279</v>
      </c>
      <c r="H61">
        <v>-0.1525</v>
      </c>
      <c r="I61">
        <v>248</v>
      </c>
      <c r="J61">
        <v>248</v>
      </c>
      <c r="L61">
        <v>-0.48749999999999999</v>
      </c>
      <c r="M61">
        <v>0</v>
      </c>
      <c r="N61">
        <v>0</v>
      </c>
      <c r="P61">
        <v>0.21</v>
      </c>
      <c r="Q61">
        <v>0</v>
      </c>
      <c r="R61">
        <v>0</v>
      </c>
      <c r="T61">
        <v>-0.28000000000000003</v>
      </c>
      <c r="U61">
        <v>0</v>
      </c>
      <c r="V61">
        <v>0</v>
      </c>
      <c r="X61">
        <v>-0.63749999999999996</v>
      </c>
      <c r="Y61">
        <v>124</v>
      </c>
      <c r="Z61">
        <v>124</v>
      </c>
      <c r="AB61">
        <v>-0.14249999999999999</v>
      </c>
      <c r="AC61">
        <v>0</v>
      </c>
      <c r="AD61">
        <v>0</v>
      </c>
      <c r="AF61" t="s">
        <v>1008</v>
      </c>
      <c r="AG61" t="s">
        <v>1535</v>
      </c>
    </row>
    <row r="62" spans="1:33" x14ac:dyDescent="0.2">
      <c r="A62" t="s">
        <v>1009</v>
      </c>
      <c r="B62" t="s">
        <v>1535</v>
      </c>
      <c r="C62" s="2"/>
      <c r="D62">
        <v>-1.0375000000000001</v>
      </c>
      <c r="E62">
        <v>300</v>
      </c>
      <c r="F62">
        <v>270</v>
      </c>
      <c r="H62">
        <v>-0.30249999999999999</v>
      </c>
      <c r="I62">
        <v>210</v>
      </c>
      <c r="J62">
        <v>180</v>
      </c>
      <c r="L62">
        <v>-0.78</v>
      </c>
      <c r="M62">
        <v>60</v>
      </c>
      <c r="N62">
        <v>60</v>
      </c>
      <c r="P62">
        <v>0.32750000000000001</v>
      </c>
      <c r="Q62">
        <v>0</v>
      </c>
      <c r="R62">
        <v>0</v>
      </c>
      <c r="T62">
        <v>-0.48499999999999999</v>
      </c>
      <c r="U62">
        <v>150</v>
      </c>
      <c r="V62">
        <v>150</v>
      </c>
      <c r="X62">
        <v>-0.58250000000000002</v>
      </c>
      <c r="Y62">
        <v>120</v>
      </c>
      <c r="Z62">
        <v>120</v>
      </c>
      <c r="AB62">
        <v>-7.4999999999999997E-2</v>
      </c>
      <c r="AC62">
        <v>0</v>
      </c>
      <c r="AD62">
        <v>0</v>
      </c>
      <c r="AF62" t="s">
        <v>1009</v>
      </c>
      <c r="AG62" t="s">
        <v>1535</v>
      </c>
    </row>
    <row r="63" spans="1:33" x14ac:dyDescent="0.2">
      <c r="A63" t="s">
        <v>1010</v>
      </c>
      <c r="B63" t="s">
        <v>1535</v>
      </c>
      <c r="C63" s="2"/>
      <c r="D63">
        <v>-1.05</v>
      </c>
      <c r="E63">
        <v>310</v>
      </c>
      <c r="F63">
        <v>279</v>
      </c>
      <c r="H63">
        <v>-0.43</v>
      </c>
      <c r="I63">
        <v>217</v>
      </c>
      <c r="J63">
        <v>186</v>
      </c>
      <c r="L63">
        <v>-0.75</v>
      </c>
      <c r="M63">
        <v>93</v>
      </c>
      <c r="N63">
        <v>93</v>
      </c>
      <c r="P63">
        <v>0.33250000000000002</v>
      </c>
      <c r="Q63">
        <v>0</v>
      </c>
      <c r="R63">
        <v>0</v>
      </c>
      <c r="T63">
        <v>-0.47749999999999998</v>
      </c>
      <c r="U63">
        <v>155</v>
      </c>
      <c r="V63">
        <v>155</v>
      </c>
      <c r="X63">
        <v>-0.59</v>
      </c>
      <c r="Y63">
        <v>124</v>
      </c>
      <c r="Z63">
        <v>124</v>
      </c>
      <c r="AB63">
        <v>-0.1</v>
      </c>
      <c r="AC63">
        <v>0</v>
      </c>
      <c r="AD63">
        <v>0</v>
      </c>
      <c r="AF63" t="s">
        <v>1010</v>
      </c>
      <c r="AG63" t="s">
        <v>1535</v>
      </c>
    </row>
    <row r="64" spans="1:33" x14ac:dyDescent="0.2">
      <c r="A64" t="s">
        <v>1011</v>
      </c>
      <c r="B64" t="s">
        <v>1535</v>
      </c>
      <c r="C64" s="2"/>
      <c r="D64">
        <v>-1.0525</v>
      </c>
      <c r="E64">
        <v>300</v>
      </c>
      <c r="F64">
        <v>270</v>
      </c>
      <c r="H64">
        <v>-0.44750000000000001</v>
      </c>
      <c r="I64">
        <v>210</v>
      </c>
      <c r="J64">
        <v>180</v>
      </c>
      <c r="L64">
        <v>-0.78249999999999997</v>
      </c>
      <c r="M64">
        <v>60</v>
      </c>
      <c r="N64">
        <v>60</v>
      </c>
      <c r="P64">
        <v>0.3</v>
      </c>
      <c r="Q64">
        <v>0</v>
      </c>
      <c r="R64">
        <v>0</v>
      </c>
      <c r="T64">
        <v>-0.47</v>
      </c>
      <c r="U64">
        <v>150</v>
      </c>
      <c r="V64">
        <v>150</v>
      </c>
      <c r="X64">
        <v>-0.57999999999999996</v>
      </c>
      <c r="Y64">
        <v>120</v>
      </c>
      <c r="Z64">
        <v>120</v>
      </c>
      <c r="AB64">
        <v>-9.7500000000000003E-2</v>
      </c>
      <c r="AC64">
        <v>0</v>
      </c>
      <c r="AD64">
        <v>0</v>
      </c>
      <c r="AF64" t="s">
        <v>1011</v>
      </c>
      <c r="AG64" t="s">
        <v>1535</v>
      </c>
    </row>
    <row r="65" spans="1:33" x14ac:dyDescent="0.2">
      <c r="A65" t="s">
        <v>1012</v>
      </c>
      <c r="B65" t="s">
        <v>1535</v>
      </c>
      <c r="C65" s="2"/>
      <c r="D65">
        <v>-1.07</v>
      </c>
      <c r="E65">
        <v>310</v>
      </c>
      <c r="F65">
        <v>279</v>
      </c>
      <c r="H65">
        <v>-0.41249999999999998</v>
      </c>
      <c r="I65">
        <v>217</v>
      </c>
      <c r="J65">
        <v>186</v>
      </c>
      <c r="L65">
        <v>-0.68500000000000005</v>
      </c>
      <c r="M65">
        <v>62</v>
      </c>
      <c r="N65">
        <v>62</v>
      </c>
      <c r="P65">
        <v>0.42</v>
      </c>
      <c r="Q65">
        <v>0</v>
      </c>
      <c r="R65">
        <v>0</v>
      </c>
      <c r="T65">
        <v>-0.32</v>
      </c>
      <c r="U65">
        <v>155</v>
      </c>
      <c r="V65">
        <v>155</v>
      </c>
      <c r="X65">
        <v>-0.54</v>
      </c>
      <c r="Y65">
        <v>124</v>
      </c>
      <c r="Z65">
        <v>124</v>
      </c>
      <c r="AB65">
        <v>-7.7499999999999999E-2</v>
      </c>
      <c r="AC65">
        <v>0</v>
      </c>
      <c r="AD65">
        <v>0</v>
      </c>
      <c r="AF65" t="s">
        <v>1012</v>
      </c>
      <c r="AG65" t="s">
        <v>1535</v>
      </c>
    </row>
    <row r="66" spans="1:33" x14ac:dyDescent="0.2">
      <c r="A66" t="s">
        <v>1013</v>
      </c>
      <c r="B66" t="s">
        <v>1535</v>
      </c>
      <c r="C66" s="2"/>
      <c r="D66">
        <v>-1.0725</v>
      </c>
      <c r="E66">
        <v>310</v>
      </c>
      <c r="F66">
        <v>279</v>
      </c>
      <c r="H66">
        <v>-0.41249999999999998</v>
      </c>
      <c r="I66">
        <v>217</v>
      </c>
      <c r="J66">
        <v>186</v>
      </c>
      <c r="L66">
        <v>-0.68</v>
      </c>
      <c r="M66">
        <v>62</v>
      </c>
      <c r="N66">
        <v>62</v>
      </c>
      <c r="P66">
        <v>0.45500000000000002</v>
      </c>
      <c r="Q66">
        <v>0</v>
      </c>
      <c r="R66">
        <v>0</v>
      </c>
      <c r="T66">
        <v>-0.30499999999999999</v>
      </c>
      <c r="U66">
        <v>155</v>
      </c>
      <c r="V66">
        <v>155</v>
      </c>
      <c r="X66">
        <v>-0.51249999999999996</v>
      </c>
      <c r="Y66">
        <v>124</v>
      </c>
      <c r="Z66">
        <v>124</v>
      </c>
      <c r="AB66">
        <v>-7.4999999999999997E-2</v>
      </c>
      <c r="AC66">
        <v>0</v>
      </c>
      <c r="AD66">
        <v>0</v>
      </c>
      <c r="AF66" t="s">
        <v>1013</v>
      </c>
      <c r="AG66" t="s">
        <v>1535</v>
      </c>
    </row>
    <row r="67" spans="1:33" x14ac:dyDescent="0.2">
      <c r="A67" t="s">
        <v>1014</v>
      </c>
      <c r="B67" t="s">
        <v>1535</v>
      </c>
      <c r="C67" s="2"/>
      <c r="D67">
        <v>-1.0575000000000001</v>
      </c>
      <c r="E67">
        <v>300</v>
      </c>
      <c r="F67">
        <v>270</v>
      </c>
      <c r="H67">
        <v>-0.41</v>
      </c>
      <c r="I67">
        <v>210</v>
      </c>
      <c r="J67">
        <v>180</v>
      </c>
      <c r="L67">
        <v>-0.6925</v>
      </c>
      <c r="M67">
        <v>60</v>
      </c>
      <c r="N67">
        <v>60</v>
      </c>
      <c r="P67">
        <v>0.435</v>
      </c>
      <c r="Q67">
        <v>0</v>
      </c>
      <c r="R67">
        <v>0</v>
      </c>
      <c r="T67">
        <v>-0.41</v>
      </c>
      <c r="U67">
        <v>150</v>
      </c>
      <c r="V67">
        <v>150</v>
      </c>
      <c r="X67">
        <v>-0.53</v>
      </c>
      <c r="Y67">
        <v>120</v>
      </c>
      <c r="Z67">
        <v>120</v>
      </c>
      <c r="AB67">
        <v>-6.5000000000000002E-2</v>
      </c>
      <c r="AC67">
        <v>0</v>
      </c>
      <c r="AD67">
        <v>0</v>
      </c>
      <c r="AF67" t="s">
        <v>1014</v>
      </c>
      <c r="AG67" t="s">
        <v>1535</v>
      </c>
    </row>
    <row r="68" spans="1:33" x14ac:dyDescent="0.2">
      <c r="A68" t="s">
        <v>1015</v>
      </c>
      <c r="B68" t="s">
        <v>1535</v>
      </c>
      <c r="C68" s="2"/>
      <c r="D68">
        <v>-1.05</v>
      </c>
      <c r="E68">
        <v>310</v>
      </c>
      <c r="F68">
        <v>279</v>
      </c>
      <c r="H68">
        <v>-0.41499999999999998</v>
      </c>
      <c r="I68">
        <v>217</v>
      </c>
      <c r="J68">
        <v>186</v>
      </c>
      <c r="L68">
        <v>-0.74250000000000005</v>
      </c>
      <c r="M68">
        <v>62</v>
      </c>
      <c r="N68">
        <v>62</v>
      </c>
      <c r="P68">
        <v>0.38250000000000001</v>
      </c>
      <c r="Q68">
        <v>0</v>
      </c>
      <c r="R68">
        <v>0</v>
      </c>
      <c r="T68">
        <v>-0.47499999999999998</v>
      </c>
      <c r="U68">
        <v>155</v>
      </c>
      <c r="V68">
        <v>155</v>
      </c>
      <c r="X68">
        <v>-0.54749999999999999</v>
      </c>
      <c r="Y68">
        <v>124</v>
      </c>
      <c r="Z68">
        <v>124</v>
      </c>
      <c r="AB68">
        <v>-4.7500000000000001E-2</v>
      </c>
      <c r="AC68">
        <v>0</v>
      </c>
      <c r="AD68">
        <v>0</v>
      </c>
      <c r="AF68" t="s">
        <v>1015</v>
      </c>
      <c r="AG68" t="s">
        <v>1535</v>
      </c>
    </row>
    <row r="69" spans="1:33" x14ac:dyDescent="0.2">
      <c r="A69" t="s">
        <v>1016</v>
      </c>
      <c r="B69" t="s">
        <v>1535</v>
      </c>
      <c r="C69" s="2"/>
      <c r="D69">
        <v>-0.97499999999999998</v>
      </c>
      <c r="E69">
        <v>270</v>
      </c>
      <c r="F69">
        <v>270</v>
      </c>
      <c r="H69">
        <v>-0.17</v>
      </c>
      <c r="I69">
        <v>240</v>
      </c>
      <c r="J69">
        <v>240</v>
      </c>
      <c r="L69">
        <v>-0.46750000000000003</v>
      </c>
      <c r="M69">
        <v>0</v>
      </c>
      <c r="N69">
        <v>0</v>
      </c>
      <c r="P69">
        <v>0.23250000000000001</v>
      </c>
      <c r="Q69">
        <v>0</v>
      </c>
      <c r="R69">
        <v>0</v>
      </c>
      <c r="T69">
        <v>-0.24249999999999999</v>
      </c>
      <c r="U69">
        <v>0</v>
      </c>
      <c r="V69">
        <v>0</v>
      </c>
      <c r="X69">
        <v>-0.58750000000000002</v>
      </c>
      <c r="Y69">
        <v>120</v>
      </c>
      <c r="Z69">
        <v>120</v>
      </c>
      <c r="AB69">
        <v>-0.11</v>
      </c>
      <c r="AC69">
        <v>0</v>
      </c>
      <c r="AD69">
        <v>0</v>
      </c>
      <c r="AF69" t="s">
        <v>1016</v>
      </c>
      <c r="AG69" t="s">
        <v>1535</v>
      </c>
    </row>
    <row r="70" spans="1:33" x14ac:dyDescent="0.2">
      <c r="A70" t="s">
        <v>1017</v>
      </c>
      <c r="B70" t="s">
        <v>1535</v>
      </c>
      <c r="C70" s="2"/>
      <c r="D70">
        <v>-0.97</v>
      </c>
      <c r="E70">
        <v>279</v>
      </c>
      <c r="F70">
        <v>279</v>
      </c>
      <c r="H70">
        <v>-0.1125</v>
      </c>
      <c r="I70">
        <v>248</v>
      </c>
      <c r="J70">
        <v>248</v>
      </c>
      <c r="L70">
        <v>-0.39750000000000002</v>
      </c>
      <c r="M70">
        <v>0</v>
      </c>
      <c r="N70">
        <v>0</v>
      </c>
      <c r="P70">
        <v>0.23</v>
      </c>
      <c r="Q70">
        <v>0</v>
      </c>
      <c r="R70">
        <v>0</v>
      </c>
      <c r="T70">
        <v>-9.7500000000000003E-2</v>
      </c>
      <c r="U70">
        <v>0</v>
      </c>
      <c r="V70">
        <v>0</v>
      </c>
      <c r="X70">
        <v>-0.56000000000000005</v>
      </c>
      <c r="Y70">
        <v>124</v>
      </c>
      <c r="Z70">
        <v>124</v>
      </c>
      <c r="AB70">
        <v>-0.115</v>
      </c>
      <c r="AC70">
        <v>0</v>
      </c>
      <c r="AD70">
        <v>0</v>
      </c>
      <c r="AF70" t="s">
        <v>1017</v>
      </c>
      <c r="AG70" t="s">
        <v>1535</v>
      </c>
    </row>
    <row r="71" spans="1:33" x14ac:dyDescent="0.2">
      <c r="A71" t="s">
        <v>1006</v>
      </c>
      <c r="B71" t="s">
        <v>1536</v>
      </c>
      <c r="C71" s="2"/>
      <c r="D71">
        <v>-1.0175000000000001</v>
      </c>
      <c r="E71">
        <v>217</v>
      </c>
      <c r="F71">
        <v>217</v>
      </c>
      <c r="H71">
        <v>-0.06</v>
      </c>
      <c r="I71">
        <v>62</v>
      </c>
      <c r="J71">
        <v>62</v>
      </c>
      <c r="L71">
        <v>-0.42249999999999999</v>
      </c>
      <c r="M71">
        <v>0</v>
      </c>
      <c r="N71">
        <v>0</v>
      </c>
      <c r="P71">
        <v>0.20250000000000001</v>
      </c>
      <c r="Q71">
        <v>0</v>
      </c>
      <c r="R71">
        <v>0</v>
      </c>
      <c r="T71">
        <v>-0.16</v>
      </c>
      <c r="U71">
        <v>0</v>
      </c>
      <c r="V71">
        <v>0</v>
      </c>
      <c r="X71">
        <v>-0.59</v>
      </c>
      <c r="Y71">
        <v>0</v>
      </c>
      <c r="Z71">
        <v>0</v>
      </c>
      <c r="AB71">
        <v>-0.13500000000000001</v>
      </c>
      <c r="AC71">
        <v>0</v>
      </c>
      <c r="AD71">
        <v>0</v>
      </c>
      <c r="AF71" t="s">
        <v>1006</v>
      </c>
      <c r="AG71" t="s">
        <v>1536</v>
      </c>
    </row>
    <row r="72" spans="1:33" x14ac:dyDescent="0.2">
      <c r="A72" t="s">
        <v>1007</v>
      </c>
      <c r="B72" t="s">
        <v>1536</v>
      </c>
      <c r="C72" s="2"/>
      <c r="D72">
        <v>-1.0024999999999999</v>
      </c>
      <c r="E72">
        <v>196</v>
      </c>
      <c r="F72">
        <v>196</v>
      </c>
      <c r="H72">
        <v>-5.7500000000000002E-2</v>
      </c>
      <c r="I72">
        <v>56</v>
      </c>
      <c r="J72">
        <v>56</v>
      </c>
      <c r="L72">
        <v>-0.435</v>
      </c>
      <c r="M72">
        <v>0</v>
      </c>
      <c r="N72">
        <v>0</v>
      </c>
      <c r="P72">
        <v>0.17</v>
      </c>
      <c r="Q72">
        <v>0</v>
      </c>
      <c r="R72">
        <v>0</v>
      </c>
      <c r="T72">
        <v>-0.1825</v>
      </c>
      <c r="U72">
        <v>0</v>
      </c>
      <c r="V72">
        <v>0</v>
      </c>
      <c r="X72">
        <v>-0.6</v>
      </c>
      <c r="Y72">
        <v>0</v>
      </c>
      <c r="Z72">
        <v>0</v>
      </c>
      <c r="AB72">
        <v>-0.13750000000000001</v>
      </c>
      <c r="AC72">
        <v>0</v>
      </c>
      <c r="AD72">
        <v>0</v>
      </c>
      <c r="AF72" t="s">
        <v>1007</v>
      </c>
      <c r="AG72" t="s">
        <v>1536</v>
      </c>
    </row>
    <row r="73" spans="1:33" x14ac:dyDescent="0.2">
      <c r="A73" t="s">
        <v>1008</v>
      </c>
      <c r="B73" t="s">
        <v>1536</v>
      </c>
      <c r="C73" s="2"/>
      <c r="D73">
        <v>-0.98499999999999999</v>
      </c>
      <c r="E73">
        <v>217</v>
      </c>
      <c r="F73">
        <v>217</v>
      </c>
      <c r="H73">
        <v>-0.1525</v>
      </c>
      <c r="I73">
        <v>62</v>
      </c>
      <c r="J73">
        <v>62</v>
      </c>
      <c r="L73">
        <v>-0.45750000000000002</v>
      </c>
      <c r="M73">
        <v>0</v>
      </c>
      <c r="N73">
        <v>0</v>
      </c>
      <c r="P73">
        <v>0.23</v>
      </c>
      <c r="Q73">
        <v>0</v>
      </c>
      <c r="R73">
        <v>0</v>
      </c>
      <c r="T73">
        <v>-0.245</v>
      </c>
      <c r="U73">
        <v>0</v>
      </c>
      <c r="V73">
        <v>0</v>
      </c>
      <c r="X73">
        <v>-0.63</v>
      </c>
      <c r="Y73">
        <v>0</v>
      </c>
      <c r="Z73">
        <v>0</v>
      </c>
      <c r="AB73">
        <v>-0.1275</v>
      </c>
      <c r="AC73">
        <v>0</v>
      </c>
      <c r="AD73">
        <v>0</v>
      </c>
      <c r="AF73" t="s">
        <v>1008</v>
      </c>
      <c r="AG73" t="s">
        <v>1536</v>
      </c>
    </row>
    <row r="74" spans="1:33" x14ac:dyDescent="0.2">
      <c r="A74" t="s">
        <v>1009</v>
      </c>
      <c r="B74" t="s">
        <v>1536</v>
      </c>
      <c r="C74" s="2"/>
      <c r="D74">
        <v>-0.99250000000000005</v>
      </c>
      <c r="E74">
        <v>210</v>
      </c>
      <c r="F74">
        <v>210</v>
      </c>
      <c r="H74">
        <v>-0.26500000000000001</v>
      </c>
      <c r="I74">
        <v>90</v>
      </c>
      <c r="J74">
        <v>60</v>
      </c>
      <c r="L74">
        <v>-0.71</v>
      </c>
      <c r="M74">
        <v>0</v>
      </c>
      <c r="N74">
        <v>0</v>
      </c>
      <c r="P74">
        <v>0.34</v>
      </c>
      <c r="Q74">
        <v>0</v>
      </c>
      <c r="R74">
        <v>0</v>
      </c>
      <c r="T74">
        <v>-0.4375</v>
      </c>
      <c r="U74">
        <v>0</v>
      </c>
      <c r="V74">
        <v>0</v>
      </c>
      <c r="X74">
        <v>-0.53500000000000003</v>
      </c>
      <c r="Y74">
        <v>0</v>
      </c>
      <c r="Z74">
        <v>0</v>
      </c>
      <c r="AB74">
        <v>-8.2500000000000004E-2</v>
      </c>
      <c r="AC74">
        <v>0</v>
      </c>
      <c r="AD74">
        <v>0</v>
      </c>
      <c r="AF74" t="s">
        <v>1009</v>
      </c>
      <c r="AG74" t="s">
        <v>1536</v>
      </c>
    </row>
    <row r="75" spans="1:33" x14ac:dyDescent="0.2">
      <c r="A75" t="s">
        <v>1010</v>
      </c>
      <c r="B75" t="s">
        <v>1536</v>
      </c>
      <c r="C75" s="2"/>
      <c r="D75">
        <v>-1.0024999999999999</v>
      </c>
      <c r="E75">
        <v>217</v>
      </c>
      <c r="F75">
        <v>217</v>
      </c>
      <c r="H75">
        <v>-0.38500000000000001</v>
      </c>
      <c r="I75">
        <v>93</v>
      </c>
      <c r="J75">
        <v>62</v>
      </c>
      <c r="L75">
        <v>-0.71250000000000002</v>
      </c>
      <c r="M75">
        <v>0</v>
      </c>
      <c r="N75">
        <v>0</v>
      </c>
      <c r="P75">
        <v>0.34499999999999997</v>
      </c>
      <c r="Q75">
        <v>0</v>
      </c>
      <c r="R75">
        <v>0</v>
      </c>
      <c r="T75">
        <v>-0.43</v>
      </c>
      <c r="U75">
        <v>0</v>
      </c>
      <c r="V75">
        <v>0</v>
      </c>
      <c r="X75">
        <v>-0.54249999999999998</v>
      </c>
      <c r="Y75">
        <v>0</v>
      </c>
      <c r="Z75">
        <v>0</v>
      </c>
      <c r="AB75">
        <v>-0.105</v>
      </c>
      <c r="AC75">
        <v>0</v>
      </c>
      <c r="AD75">
        <v>0</v>
      </c>
      <c r="AF75" t="s">
        <v>1010</v>
      </c>
      <c r="AG75" t="s">
        <v>1536</v>
      </c>
    </row>
    <row r="76" spans="1:33" x14ac:dyDescent="0.2">
      <c r="A76" t="s">
        <v>1011</v>
      </c>
      <c r="B76" t="s">
        <v>1536</v>
      </c>
      <c r="C76" s="2"/>
      <c r="D76">
        <v>-1.01</v>
      </c>
      <c r="E76">
        <v>210</v>
      </c>
      <c r="F76">
        <v>210</v>
      </c>
      <c r="H76">
        <v>-0.4</v>
      </c>
      <c r="I76">
        <v>90</v>
      </c>
      <c r="J76">
        <v>60</v>
      </c>
      <c r="L76">
        <v>-0.71250000000000002</v>
      </c>
      <c r="M76">
        <v>0</v>
      </c>
      <c r="N76">
        <v>0</v>
      </c>
      <c r="P76">
        <v>0.3125</v>
      </c>
      <c r="Q76">
        <v>0</v>
      </c>
      <c r="R76">
        <v>0</v>
      </c>
      <c r="T76">
        <v>-0.42249999999999999</v>
      </c>
      <c r="U76">
        <v>0</v>
      </c>
      <c r="V76">
        <v>0</v>
      </c>
      <c r="X76">
        <v>-0.53249999999999997</v>
      </c>
      <c r="Y76">
        <v>0</v>
      </c>
      <c r="Z76">
        <v>0</v>
      </c>
      <c r="AB76">
        <v>-0.1</v>
      </c>
      <c r="AC76">
        <v>0</v>
      </c>
      <c r="AD76">
        <v>0</v>
      </c>
      <c r="AF76" t="s">
        <v>1011</v>
      </c>
      <c r="AG76" t="s">
        <v>1536</v>
      </c>
    </row>
    <row r="77" spans="1:33" x14ac:dyDescent="0.2">
      <c r="A77" t="s">
        <v>1012</v>
      </c>
      <c r="B77" t="s">
        <v>1536</v>
      </c>
      <c r="C77" s="2"/>
      <c r="D77">
        <v>-1.0225</v>
      </c>
      <c r="E77">
        <v>217</v>
      </c>
      <c r="F77">
        <v>217</v>
      </c>
      <c r="H77">
        <v>-0.36749999999999999</v>
      </c>
      <c r="I77">
        <v>93</v>
      </c>
      <c r="J77">
        <v>62</v>
      </c>
      <c r="L77">
        <v>-0.62</v>
      </c>
      <c r="M77">
        <v>0</v>
      </c>
      <c r="N77">
        <v>0</v>
      </c>
      <c r="P77">
        <v>0.4375</v>
      </c>
      <c r="Q77">
        <v>0</v>
      </c>
      <c r="R77">
        <v>0</v>
      </c>
      <c r="T77">
        <v>-0.28749999999999998</v>
      </c>
      <c r="U77">
        <v>0</v>
      </c>
      <c r="V77">
        <v>0</v>
      </c>
      <c r="X77">
        <v>-0.4975</v>
      </c>
      <c r="Y77">
        <v>0</v>
      </c>
      <c r="Z77">
        <v>0</v>
      </c>
      <c r="AB77">
        <v>-8.5000000000000006E-2</v>
      </c>
      <c r="AC77">
        <v>0</v>
      </c>
      <c r="AD77">
        <v>0</v>
      </c>
      <c r="AF77" t="s">
        <v>1012</v>
      </c>
      <c r="AG77" t="s">
        <v>1536</v>
      </c>
    </row>
    <row r="78" spans="1:33" x14ac:dyDescent="0.2">
      <c r="A78" t="s">
        <v>1013</v>
      </c>
      <c r="B78" t="s">
        <v>1536</v>
      </c>
      <c r="C78" s="2"/>
      <c r="D78">
        <v>-1.0225</v>
      </c>
      <c r="E78">
        <v>217</v>
      </c>
      <c r="F78">
        <v>217</v>
      </c>
      <c r="H78">
        <v>-0.36749999999999999</v>
      </c>
      <c r="I78">
        <v>93</v>
      </c>
      <c r="J78">
        <v>62</v>
      </c>
      <c r="L78">
        <v>-0.61750000000000005</v>
      </c>
      <c r="M78">
        <v>0</v>
      </c>
      <c r="N78">
        <v>0</v>
      </c>
      <c r="P78">
        <v>0.47499999999999998</v>
      </c>
      <c r="Q78">
        <v>0</v>
      </c>
      <c r="R78">
        <v>0</v>
      </c>
      <c r="T78">
        <v>-0.27250000000000002</v>
      </c>
      <c r="U78">
        <v>0</v>
      </c>
      <c r="V78">
        <v>0</v>
      </c>
      <c r="X78">
        <v>-0.47</v>
      </c>
      <c r="Y78">
        <v>0</v>
      </c>
      <c r="Z78">
        <v>0</v>
      </c>
      <c r="AB78">
        <v>-8.5000000000000006E-2</v>
      </c>
      <c r="AC78">
        <v>0</v>
      </c>
      <c r="AD78">
        <v>0</v>
      </c>
      <c r="AF78" t="s">
        <v>1013</v>
      </c>
      <c r="AG78" t="s">
        <v>1536</v>
      </c>
    </row>
    <row r="79" spans="1:33" x14ac:dyDescent="0.2">
      <c r="A79" t="s">
        <v>1014</v>
      </c>
      <c r="B79" t="s">
        <v>1536</v>
      </c>
      <c r="C79" s="2"/>
      <c r="D79">
        <v>-1.0125</v>
      </c>
      <c r="E79">
        <v>210</v>
      </c>
      <c r="F79">
        <v>210</v>
      </c>
      <c r="H79">
        <v>-0.36749999999999999</v>
      </c>
      <c r="I79">
        <v>90</v>
      </c>
      <c r="J79">
        <v>60</v>
      </c>
      <c r="L79">
        <v>-0.63</v>
      </c>
      <c r="M79">
        <v>0</v>
      </c>
      <c r="N79">
        <v>0</v>
      </c>
      <c r="P79">
        <v>0.45500000000000002</v>
      </c>
      <c r="Q79">
        <v>0</v>
      </c>
      <c r="R79">
        <v>0</v>
      </c>
      <c r="T79">
        <v>-0.37</v>
      </c>
      <c r="U79">
        <v>0</v>
      </c>
      <c r="V79">
        <v>0</v>
      </c>
      <c r="X79">
        <v>-0.48499999999999999</v>
      </c>
      <c r="Y79">
        <v>0</v>
      </c>
      <c r="Z79">
        <v>0</v>
      </c>
      <c r="AB79">
        <v>-7.2499999999999995E-2</v>
      </c>
      <c r="AC79">
        <v>0</v>
      </c>
      <c r="AD79">
        <v>0</v>
      </c>
      <c r="AF79" t="s">
        <v>1014</v>
      </c>
      <c r="AG79" t="s">
        <v>1536</v>
      </c>
    </row>
    <row r="80" spans="1:33" x14ac:dyDescent="0.2">
      <c r="A80" t="s">
        <v>1015</v>
      </c>
      <c r="B80" t="s">
        <v>1536</v>
      </c>
      <c r="C80" s="2"/>
      <c r="D80">
        <v>-1.0024999999999999</v>
      </c>
      <c r="E80">
        <v>217</v>
      </c>
      <c r="F80">
        <v>217</v>
      </c>
      <c r="H80">
        <v>-0.3725</v>
      </c>
      <c r="I80">
        <v>93</v>
      </c>
      <c r="J80">
        <v>62</v>
      </c>
      <c r="L80">
        <v>-0.67500000000000004</v>
      </c>
      <c r="M80">
        <v>0</v>
      </c>
      <c r="N80">
        <v>0</v>
      </c>
      <c r="P80">
        <v>0.4</v>
      </c>
      <c r="Q80">
        <v>0</v>
      </c>
      <c r="R80">
        <v>0</v>
      </c>
      <c r="T80">
        <v>-0.42749999999999999</v>
      </c>
      <c r="U80">
        <v>0</v>
      </c>
      <c r="V80">
        <v>0</v>
      </c>
      <c r="X80">
        <v>-0.50249999999999995</v>
      </c>
      <c r="Y80">
        <v>0</v>
      </c>
      <c r="Z80">
        <v>0</v>
      </c>
      <c r="AB80">
        <v>-6.25E-2</v>
      </c>
      <c r="AC80">
        <v>0</v>
      </c>
      <c r="AD80">
        <v>0</v>
      </c>
      <c r="AF80" t="s">
        <v>1015</v>
      </c>
      <c r="AG80" t="s">
        <v>1536</v>
      </c>
    </row>
    <row r="81" spans="1:33" x14ac:dyDescent="0.2">
      <c r="A81" t="s">
        <v>1016</v>
      </c>
      <c r="B81" t="s">
        <v>1536</v>
      </c>
      <c r="C81" s="2"/>
      <c r="D81">
        <v>-0.96499999999999997</v>
      </c>
      <c r="E81">
        <v>210</v>
      </c>
      <c r="F81">
        <v>210</v>
      </c>
      <c r="H81">
        <v>-0.14499999999999999</v>
      </c>
      <c r="I81">
        <v>0</v>
      </c>
      <c r="J81">
        <v>0</v>
      </c>
      <c r="L81">
        <v>-0.45750000000000002</v>
      </c>
      <c r="M81">
        <v>0</v>
      </c>
      <c r="N81">
        <v>0</v>
      </c>
      <c r="P81">
        <v>0.27250000000000002</v>
      </c>
      <c r="Q81">
        <v>0</v>
      </c>
      <c r="R81">
        <v>0</v>
      </c>
      <c r="T81">
        <v>-0.22</v>
      </c>
      <c r="U81">
        <v>0</v>
      </c>
      <c r="V81">
        <v>0</v>
      </c>
      <c r="X81">
        <v>-0.56999999999999995</v>
      </c>
      <c r="Y81">
        <v>0</v>
      </c>
      <c r="Z81">
        <v>0</v>
      </c>
      <c r="AB81">
        <v>-0.10249999999999999</v>
      </c>
      <c r="AC81">
        <v>0</v>
      </c>
      <c r="AD81">
        <v>0</v>
      </c>
      <c r="AF81" t="s">
        <v>1016</v>
      </c>
      <c r="AG81" t="s">
        <v>1536</v>
      </c>
    </row>
    <row r="82" spans="1:33" x14ac:dyDescent="0.2">
      <c r="A82" t="s">
        <v>1017</v>
      </c>
      <c r="B82" t="s">
        <v>1536</v>
      </c>
      <c r="C82" s="2"/>
      <c r="D82">
        <v>-0.96499999999999997</v>
      </c>
      <c r="E82">
        <v>217</v>
      </c>
      <c r="F82">
        <v>217</v>
      </c>
      <c r="H82">
        <v>-9.2499999999999999E-2</v>
      </c>
      <c r="I82">
        <v>0</v>
      </c>
      <c r="J82">
        <v>0</v>
      </c>
      <c r="L82">
        <v>-0.38750000000000001</v>
      </c>
      <c r="M82">
        <v>0</v>
      </c>
      <c r="N82">
        <v>0</v>
      </c>
      <c r="P82">
        <v>0.26750000000000002</v>
      </c>
      <c r="Q82">
        <v>0</v>
      </c>
      <c r="R82">
        <v>0</v>
      </c>
      <c r="T82">
        <v>-8.7499999999999994E-2</v>
      </c>
      <c r="U82">
        <v>0</v>
      </c>
      <c r="V82">
        <v>0</v>
      </c>
      <c r="X82">
        <v>-0.54500000000000004</v>
      </c>
      <c r="Y82">
        <v>0</v>
      </c>
      <c r="Z82">
        <v>0</v>
      </c>
      <c r="AB82">
        <v>-0.1075</v>
      </c>
      <c r="AC82">
        <v>0</v>
      </c>
      <c r="AD82">
        <v>0</v>
      </c>
      <c r="AF82" t="s">
        <v>1017</v>
      </c>
      <c r="AG82" t="s">
        <v>1536</v>
      </c>
    </row>
    <row r="83" spans="1:33" x14ac:dyDescent="0.2">
      <c r="A83" t="s">
        <v>1006</v>
      </c>
      <c r="B83" t="s">
        <v>1537</v>
      </c>
      <c r="C83" s="2"/>
      <c r="D83">
        <v>-1.0175000000000001</v>
      </c>
      <c r="E83">
        <v>217</v>
      </c>
      <c r="F83">
        <v>217</v>
      </c>
      <c r="H83">
        <v>-4.2500000000000003E-2</v>
      </c>
      <c r="I83">
        <v>0</v>
      </c>
      <c r="J83">
        <v>0</v>
      </c>
      <c r="L83">
        <v>-0.41</v>
      </c>
      <c r="M83">
        <v>0</v>
      </c>
      <c r="N83">
        <v>0</v>
      </c>
      <c r="P83">
        <v>0.23749999999999999</v>
      </c>
      <c r="Q83">
        <v>0</v>
      </c>
      <c r="R83">
        <v>0</v>
      </c>
      <c r="T83">
        <v>-0.14499999999999999</v>
      </c>
      <c r="U83">
        <v>0</v>
      </c>
      <c r="V83">
        <v>0</v>
      </c>
      <c r="X83">
        <v>-0.57499999999999996</v>
      </c>
      <c r="Y83">
        <v>0</v>
      </c>
      <c r="Z83">
        <v>0</v>
      </c>
      <c r="AB83">
        <v>-0.13250000000000001</v>
      </c>
      <c r="AC83">
        <v>0</v>
      </c>
      <c r="AD83">
        <v>0</v>
      </c>
      <c r="AF83" t="s">
        <v>1006</v>
      </c>
      <c r="AG83" t="s">
        <v>1537</v>
      </c>
    </row>
    <row r="84" spans="1:33" x14ac:dyDescent="0.2">
      <c r="A84" t="s">
        <v>1007</v>
      </c>
      <c r="B84" t="s">
        <v>1537</v>
      </c>
      <c r="C84" s="2"/>
      <c r="D84">
        <v>-0.98750000000000004</v>
      </c>
      <c r="E84">
        <v>203</v>
      </c>
      <c r="F84">
        <v>203</v>
      </c>
      <c r="H84">
        <v>-0.04</v>
      </c>
      <c r="I84">
        <v>0</v>
      </c>
      <c r="J84">
        <v>0</v>
      </c>
      <c r="L84">
        <v>-0.42</v>
      </c>
      <c r="M84">
        <v>0</v>
      </c>
      <c r="N84">
        <v>0</v>
      </c>
      <c r="P84">
        <v>0.19750000000000001</v>
      </c>
      <c r="Q84">
        <v>0</v>
      </c>
      <c r="R84">
        <v>0</v>
      </c>
      <c r="T84">
        <v>-0.16500000000000001</v>
      </c>
      <c r="U84">
        <v>0</v>
      </c>
      <c r="V84">
        <v>0</v>
      </c>
      <c r="X84">
        <v>-0.58250000000000002</v>
      </c>
      <c r="Y84">
        <v>0</v>
      </c>
      <c r="Z84">
        <v>0</v>
      </c>
      <c r="AB84">
        <v>-0.13250000000000001</v>
      </c>
      <c r="AC84">
        <v>0</v>
      </c>
      <c r="AD84">
        <v>0</v>
      </c>
      <c r="AF84" t="s">
        <v>1007</v>
      </c>
      <c r="AG84" t="s">
        <v>1537</v>
      </c>
    </row>
    <row r="85" spans="1:33" x14ac:dyDescent="0.2">
      <c r="A85" t="s">
        <v>1008</v>
      </c>
      <c r="B85" t="s">
        <v>1537</v>
      </c>
      <c r="C85" s="2"/>
      <c r="D85">
        <v>-0.98499999999999999</v>
      </c>
      <c r="E85">
        <v>217</v>
      </c>
      <c r="F85">
        <v>217</v>
      </c>
      <c r="H85">
        <v>-0.1275</v>
      </c>
      <c r="I85">
        <v>0</v>
      </c>
      <c r="J85">
        <v>0</v>
      </c>
      <c r="L85">
        <v>-0.44500000000000001</v>
      </c>
      <c r="M85">
        <v>0</v>
      </c>
      <c r="N85">
        <v>0</v>
      </c>
      <c r="P85">
        <v>0.26750000000000002</v>
      </c>
      <c r="Q85">
        <v>0</v>
      </c>
      <c r="R85">
        <v>0</v>
      </c>
      <c r="T85">
        <v>-0.2225</v>
      </c>
      <c r="U85">
        <v>0</v>
      </c>
      <c r="V85">
        <v>0</v>
      </c>
      <c r="X85">
        <v>-0.61</v>
      </c>
      <c r="Y85">
        <v>0</v>
      </c>
      <c r="Z85">
        <v>0</v>
      </c>
      <c r="AB85">
        <v>-0.125</v>
      </c>
      <c r="AC85">
        <v>0</v>
      </c>
      <c r="AD85">
        <v>0</v>
      </c>
      <c r="AF85" t="s">
        <v>1008</v>
      </c>
      <c r="AG85" t="s">
        <v>1537</v>
      </c>
    </row>
    <row r="86" spans="1:33" x14ac:dyDescent="0.2">
      <c r="A86" t="s">
        <v>1009</v>
      </c>
      <c r="B86" t="s">
        <v>1537</v>
      </c>
      <c r="C86" s="2"/>
      <c r="D86">
        <v>-0.97</v>
      </c>
      <c r="E86">
        <v>210</v>
      </c>
      <c r="F86">
        <v>210</v>
      </c>
      <c r="H86">
        <v>-0.2475</v>
      </c>
      <c r="I86">
        <v>0</v>
      </c>
      <c r="J86">
        <v>0</v>
      </c>
      <c r="L86">
        <v>-0.67749999999999999</v>
      </c>
      <c r="M86">
        <v>0</v>
      </c>
      <c r="N86">
        <v>0</v>
      </c>
      <c r="P86">
        <v>0.3775</v>
      </c>
      <c r="Q86">
        <v>0</v>
      </c>
      <c r="R86">
        <v>0</v>
      </c>
      <c r="T86">
        <v>-0.42249999999999999</v>
      </c>
      <c r="U86">
        <v>0</v>
      </c>
      <c r="V86">
        <v>0</v>
      </c>
      <c r="X86">
        <v>-0.54749999999999999</v>
      </c>
      <c r="Y86">
        <v>0</v>
      </c>
      <c r="Z86">
        <v>0</v>
      </c>
      <c r="AB86">
        <v>-7.2499999999999995E-2</v>
      </c>
      <c r="AC86">
        <v>0</v>
      </c>
      <c r="AD86">
        <v>0</v>
      </c>
      <c r="AF86" t="s">
        <v>1009</v>
      </c>
      <c r="AG86" t="s">
        <v>1537</v>
      </c>
    </row>
    <row r="87" spans="1:33" x14ac:dyDescent="0.2">
      <c r="A87" t="s">
        <v>1010</v>
      </c>
      <c r="B87" t="s">
        <v>1537</v>
      </c>
      <c r="C87" s="2"/>
      <c r="D87">
        <v>-0.98250000000000004</v>
      </c>
      <c r="E87">
        <v>217</v>
      </c>
      <c r="F87">
        <v>217</v>
      </c>
      <c r="H87">
        <v>-0.36249999999999999</v>
      </c>
      <c r="I87">
        <v>0</v>
      </c>
      <c r="J87">
        <v>0</v>
      </c>
      <c r="L87">
        <v>-0.67500000000000004</v>
      </c>
      <c r="M87">
        <v>0</v>
      </c>
      <c r="N87">
        <v>0</v>
      </c>
      <c r="P87">
        <v>0.38250000000000001</v>
      </c>
      <c r="Q87">
        <v>0</v>
      </c>
      <c r="R87">
        <v>0</v>
      </c>
      <c r="T87">
        <v>-0.41249999999999998</v>
      </c>
      <c r="U87">
        <v>0</v>
      </c>
      <c r="V87">
        <v>0</v>
      </c>
      <c r="X87">
        <v>-0.55500000000000005</v>
      </c>
      <c r="Y87">
        <v>0</v>
      </c>
      <c r="Z87">
        <v>0</v>
      </c>
      <c r="AB87">
        <v>-8.7499999999999994E-2</v>
      </c>
      <c r="AC87">
        <v>0</v>
      </c>
      <c r="AD87">
        <v>0</v>
      </c>
      <c r="AF87" t="s">
        <v>1010</v>
      </c>
      <c r="AG87" t="s">
        <v>1537</v>
      </c>
    </row>
    <row r="88" spans="1:33" x14ac:dyDescent="0.2">
      <c r="A88" t="s">
        <v>1011</v>
      </c>
      <c r="B88" t="s">
        <v>1537</v>
      </c>
      <c r="C88" s="2"/>
      <c r="D88">
        <v>-0.98499999999999999</v>
      </c>
      <c r="E88">
        <v>210</v>
      </c>
      <c r="F88">
        <v>210</v>
      </c>
      <c r="H88">
        <v>-0.3775</v>
      </c>
      <c r="I88">
        <v>0</v>
      </c>
      <c r="J88">
        <v>0</v>
      </c>
      <c r="L88">
        <v>-0.68</v>
      </c>
      <c r="M88">
        <v>0</v>
      </c>
      <c r="N88">
        <v>0</v>
      </c>
      <c r="P88">
        <v>0.34499999999999997</v>
      </c>
      <c r="Q88">
        <v>0</v>
      </c>
      <c r="R88">
        <v>0</v>
      </c>
      <c r="T88">
        <v>-0.40749999999999997</v>
      </c>
      <c r="U88">
        <v>0</v>
      </c>
      <c r="V88">
        <v>0</v>
      </c>
      <c r="X88">
        <v>-0.54500000000000004</v>
      </c>
      <c r="Y88">
        <v>0</v>
      </c>
      <c r="Z88">
        <v>0</v>
      </c>
      <c r="AB88">
        <v>-8.5000000000000006E-2</v>
      </c>
      <c r="AC88">
        <v>0</v>
      </c>
      <c r="AD88">
        <v>0</v>
      </c>
      <c r="AF88" t="s">
        <v>1011</v>
      </c>
      <c r="AG88" t="s">
        <v>1537</v>
      </c>
    </row>
    <row r="89" spans="1:33" x14ac:dyDescent="0.2">
      <c r="A89" t="s">
        <v>1012</v>
      </c>
      <c r="B89" t="s">
        <v>1537</v>
      </c>
      <c r="C89" s="2"/>
      <c r="D89">
        <v>-1</v>
      </c>
      <c r="E89">
        <v>217</v>
      </c>
      <c r="F89">
        <v>217</v>
      </c>
      <c r="H89">
        <v>-0.34749999999999998</v>
      </c>
      <c r="I89">
        <v>0</v>
      </c>
      <c r="J89">
        <v>0</v>
      </c>
      <c r="L89">
        <v>-0.58750000000000002</v>
      </c>
      <c r="M89">
        <v>0</v>
      </c>
      <c r="N89">
        <v>0</v>
      </c>
      <c r="P89">
        <v>0.48499999999999999</v>
      </c>
      <c r="Q89">
        <v>0</v>
      </c>
      <c r="R89">
        <v>0</v>
      </c>
      <c r="T89">
        <v>-0.27500000000000002</v>
      </c>
      <c r="U89">
        <v>0</v>
      </c>
      <c r="V89">
        <v>0</v>
      </c>
      <c r="X89">
        <v>-0.51</v>
      </c>
      <c r="Y89">
        <v>0</v>
      </c>
      <c r="Z89">
        <v>0</v>
      </c>
      <c r="AB89">
        <v>-7.2499999999999995E-2</v>
      </c>
      <c r="AC89">
        <v>0</v>
      </c>
      <c r="AD89">
        <v>0</v>
      </c>
      <c r="AF89" t="s">
        <v>1012</v>
      </c>
      <c r="AG89" t="s">
        <v>1537</v>
      </c>
    </row>
    <row r="90" spans="1:33" x14ac:dyDescent="0.2">
      <c r="A90" t="s">
        <v>1013</v>
      </c>
      <c r="B90" t="s">
        <v>1537</v>
      </c>
      <c r="C90" s="2"/>
      <c r="D90">
        <v>-1.0024999999999999</v>
      </c>
      <c r="E90">
        <v>217</v>
      </c>
      <c r="F90">
        <v>217</v>
      </c>
      <c r="H90">
        <v>-0.34749999999999998</v>
      </c>
      <c r="I90">
        <v>0</v>
      </c>
      <c r="J90">
        <v>0</v>
      </c>
      <c r="L90">
        <v>-0.58499999999999996</v>
      </c>
      <c r="M90">
        <v>0</v>
      </c>
      <c r="N90">
        <v>0</v>
      </c>
      <c r="P90">
        <v>0.52749999999999997</v>
      </c>
      <c r="Q90">
        <v>0</v>
      </c>
      <c r="R90">
        <v>0</v>
      </c>
      <c r="T90">
        <v>-0.26250000000000001</v>
      </c>
      <c r="U90">
        <v>0</v>
      </c>
      <c r="V90">
        <v>0</v>
      </c>
      <c r="X90">
        <v>-0.48499999999999999</v>
      </c>
      <c r="Y90">
        <v>0</v>
      </c>
      <c r="Z90">
        <v>0</v>
      </c>
      <c r="AB90">
        <v>-7.0000000000000007E-2</v>
      </c>
      <c r="AC90">
        <v>0</v>
      </c>
      <c r="AD90">
        <v>0</v>
      </c>
      <c r="AF90" t="s">
        <v>1013</v>
      </c>
      <c r="AG90" t="s">
        <v>1537</v>
      </c>
    </row>
    <row r="91" spans="1:33" x14ac:dyDescent="0.2">
      <c r="A91" t="s">
        <v>1014</v>
      </c>
      <c r="B91" t="s">
        <v>1537</v>
      </c>
      <c r="C91" s="2"/>
      <c r="D91">
        <v>-0.99</v>
      </c>
      <c r="E91">
        <v>210</v>
      </c>
      <c r="F91">
        <v>210</v>
      </c>
      <c r="H91">
        <v>-0.34499999999999997</v>
      </c>
      <c r="I91">
        <v>0</v>
      </c>
      <c r="J91">
        <v>0</v>
      </c>
      <c r="L91">
        <v>-0.6</v>
      </c>
      <c r="M91">
        <v>0</v>
      </c>
      <c r="N91">
        <v>0</v>
      </c>
      <c r="P91">
        <v>0.50249999999999995</v>
      </c>
      <c r="Q91">
        <v>0</v>
      </c>
      <c r="R91">
        <v>0</v>
      </c>
      <c r="T91">
        <v>-0.35499999999999998</v>
      </c>
      <c r="U91">
        <v>0</v>
      </c>
      <c r="V91">
        <v>0</v>
      </c>
      <c r="X91">
        <v>-0.5</v>
      </c>
      <c r="Y91">
        <v>0</v>
      </c>
      <c r="Z91">
        <v>0</v>
      </c>
      <c r="AB91">
        <v>-6.5000000000000002E-2</v>
      </c>
      <c r="AC91">
        <v>0</v>
      </c>
      <c r="AD91">
        <v>0</v>
      </c>
      <c r="AF91" t="s">
        <v>1014</v>
      </c>
      <c r="AG91" t="s">
        <v>1537</v>
      </c>
    </row>
    <row r="92" spans="1:33" x14ac:dyDescent="0.2">
      <c r="A92" t="s">
        <v>1015</v>
      </c>
      <c r="B92" t="s">
        <v>1537</v>
      </c>
      <c r="C92" s="2"/>
      <c r="D92">
        <v>-0.98</v>
      </c>
      <c r="E92">
        <v>217</v>
      </c>
      <c r="F92">
        <v>217</v>
      </c>
      <c r="H92">
        <v>-0.35</v>
      </c>
      <c r="I92">
        <v>0</v>
      </c>
      <c r="J92">
        <v>0</v>
      </c>
      <c r="L92">
        <v>-0.64</v>
      </c>
      <c r="M92">
        <v>0</v>
      </c>
      <c r="N92">
        <v>0</v>
      </c>
      <c r="P92">
        <v>0.4425</v>
      </c>
      <c r="Q92">
        <v>0</v>
      </c>
      <c r="R92">
        <v>0</v>
      </c>
      <c r="T92">
        <v>-0.41</v>
      </c>
      <c r="U92">
        <v>0</v>
      </c>
      <c r="V92">
        <v>0</v>
      </c>
      <c r="X92">
        <v>-0.51500000000000001</v>
      </c>
      <c r="Y92">
        <v>0</v>
      </c>
      <c r="Z92">
        <v>0</v>
      </c>
      <c r="AB92">
        <v>-5.2499999999999998E-2</v>
      </c>
      <c r="AC92">
        <v>0</v>
      </c>
      <c r="AD92">
        <v>0</v>
      </c>
      <c r="AF92" t="s">
        <v>1015</v>
      </c>
      <c r="AG92" t="s">
        <v>1537</v>
      </c>
    </row>
    <row r="93" spans="1:33" x14ac:dyDescent="0.2">
      <c r="A93" t="s">
        <v>1016</v>
      </c>
      <c r="B93" t="s">
        <v>1537</v>
      </c>
      <c r="C93" s="2"/>
      <c r="D93">
        <v>-0.92500000000000004</v>
      </c>
      <c r="E93">
        <v>210</v>
      </c>
      <c r="F93">
        <v>210</v>
      </c>
      <c r="H93">
        <v>-0.1275</v>
      </c>
      <c r="I93">
        <v>0</v>
      </c>
      <c r="J93">
        <v>0</v>
      </c>
      <c r="L93">
        <v>-0.45500000000000002</v>
      </c>
      <c r="M93">
        <v>0</v>
      </c>
      <c r="N93">
        <v>0</v>
      </c>
      <c r="P93">
        <v>0.3</v>
      </c>
      <c r="Q93">
        <v>0</v>
      </c>
      <c r="R93">
        <v>0</v>
      </c>
      <c r="T93">
        <v>-0.20250000000000001</v>
      </c>
      <c r="U93">
        <v>0</v>
      </c>
      <c r="V93">
        <v>0</v>
      </c>
      <c r="X93">
        <v>-0.51749999999999996</v>
      </c>
      <c r="Y93">
        <v>0</v>
      </c>
      <c r="Z93">
        <v>0</v>
      </c>
      <c r="AB93">
        <v>-0.10249999999999999</v>
      </c>
      <c r="AC93">
        <v>0</v>
      </c>
      <c r="AD93">
        <v>0</v>
      </c>
      <c r="AF93" t="s">
        <v>1016</v>
      </c>
      <c r="AG93" t="s">
        <v>1537</v>
      </c>
    </row>
    <row r="94" spans="1:33" x14ac:dyDescent="0.2">
      <c r="A94" t="s">
        <v>1017</v>
      </c>
      <c r="B94" t="s">
        <v>1537</v>
      </c>
      <c r="C94" s="2"/>
      <c r="D94">
        <v>-0.92500000000000004</v>
      </c>
      <c r="E94">
        <v>217</v>
      </c>
      <c r="F94">
        <v>217</v>
      </c>
      <c r="H94">
        <v>-0.08</v>
      </c>
      <c r="I94">
        <v>0</v>
      </c>
      <c r="J94">
        <v>0</v>
      </c>
      <c r="L94">
        <v>-0.38750000000000001</v>
      </c>
      <c r="M94">
        <v>0</v>
      </c>
      <c r="N94">
        <v>0</v>
      </c>
      <c r="P94">
        <v>0.29499999999999998</v>
      </c>
      <c r="Q94">
        <v>0</v>
      </c>
      <c r="R94">
        <v>0</v>
      </c>
      <c r="T94">
        <v>-0.08</v>
      </c>
      <c r="U94">
        <v>0</v>
      </c>
      <c r="V94">
        <v>0</v>
      </c>
      <c r="X94">
        <v>-0.49</v>
      </c>
      <c r="Y94">
        <v>0</v>
      </c>
      <c r="Z94">
        <v>0</v>
      </c>
      <c r="AB94">
        <v>-0.1075</v>
      </c>
      <c r="AC94">
        <v>0</v>
      </c>
      <c r="AD94">
        <v>0</v>
      </c>
      <c r="AF94" t="s">
        <v>1017</v>
      </c>
      <c r="AG94" t="s">
        <v>1537</v>
      </c>
    </row>
    <row r="95" spans="1:33" x14ac:dyDescent="0.2">
      <c r="C95" s="2"/>
      <c r="D95">
        <v>-0.97750000000000004</v>
      </c>
      <c r="E95">
        <v>0</v>
      </c>
      <c r="F95">
        <v>0</v>
      </c>
      <c r="H95">
        <v>-3.7499999999999999E-2</v>
      </c>
      <c r="I95">
        <v>0</v>
      </c>
      <c r="J95">
        <v>0</v>
      </c>
      <c r="L95">
        <v>-0.2225</v>
      </c>
      <c r="M95">
        <v>0</v>
      </c>
      <c r="N95">
        <v>0</v>
      </c>
      <c r="P95">
        <v>0.41</v>
      </c>
      <c r="Q95">
        <v>0</v>
      </c>
      <c r="R95">
        <v>0</v>
      </c>
      <c r="T95">
        <v>-0.13250000000000001</v>
      </c>
      <c r="U95">
        <v>0</v>
      </c>
      <c r="V95">
        <v>0</v>
      </c>
      <c r="X95">
        <v>-0.17749999999999999</v>
      </c>
      <c r="Y95">
        <v>0</v>
      </c>
      <c r="Z95">
        <v>0</v>
      </c>
      <c r="AB95">
        <v>-0.13250000000000001</v>
      </c>
      <c r="AC95">
        <v>0</v>
      </c>
      <c r="AD95">
        <v>0</v>
      </c>
    </row>
    <row r="96" spans="1:33" x14ac:dyDescent="0.2">
      <c r="C96" s="2"/>
      <c r="D96">
        <v>-0.95</v>
      </c>
      <c r="E96">
        <v>0</v>
      </c>
      <c r="F96">
        <v>0</v>
      </c>
      <c r="H96">
        <v>-3.7499999999999999E-2</v>
      </c>
      <c r="I96">
        <v>0</v>
      </c>
      <c r="J96">
        <v>0</v>
      </c>
      <c r="L96">
        <v>-0.2225</v>
      </c>
      <c r="M96">
        <v>0</v>
      </c>
      <c r="N96">
        <v>0</v>
      </c>
      <c r="P96">
        <v>0.41</v>
      </c>
      <c r="Q96">
        <v>0</v>
      </c>
      <c r="R96">
        <v>0</v>
      </c>
      <c r="T96">
        <v>-0.15</v>
      </c>
      <c r="U96">
        <v>0</v>
      </c>
      <c r="V96">
        <v>0</v>
      </c>
      <c r="X96">
        <v>-0.17749999999999999</v>
      </c>
      <c r="Y96">
        <v>0</v>
      </c>
      <c r="Z96">
        <v>0</v>
      </c>
      <c r="AB96">
        <v>-0.13250000000000001</v>
      </c>
      <c r="AC96">
        <v>0</v>
      </c>
      <c r="AD96">
        <v>0</v>
      </c>
    </row>
    <row r="97" spans="3:30" x14ac:dyDescent="0.2">
      <c r="C97" s="2"/>
      <c r="D97">
        <v>-0.94750000000000001</v>
      </c>
      <c r="E97">
        <v>0</v>
      </c>
      <c r="F97">
        <v>0</v>
      </c>
      <c r="H97">
        <v>-0.11</v>
      </c>
      <c r="I97">
        <v>0</v>
      </c>
      <c r="J97">
        <v>0</v>
      </c>
      <c r="L97">
        <v>-8.2500000000000004E-2</v>
      </c>
      <c r="M97">
        <v>0</v>
      </c>
      <c r="N97">
        <v>0</v>
      </c>
      <c r="P97">
        <v>0.40250000000000002</v>
      </c>
      <c r="Q97">
        <v>0</v>
      </c>
      <c r="R97">
        <v>0</v>
      </c>
      <c r="T97">
        <v>-0.20499999999999999</v>
      </c>
      <c r="U97">
        <v>0</v>
      </c>
      <c r="V97">
        <v>0</v>
      </c>
      <c r="X97">
        <v>-0.125</v>
      </c>
      <c r="Y97">
        <v>0</v>
      </c>
      <c r="Z97">
        <v>0</v>
      </c>
      <c r="AB97">
        <v>-0.125</v>
      </c>
      <c r="AC97">
        <v>0</v>
      </c>
      <c r="AD97">
        <v>0</v>
      </c>
    </row>
    <row r="98" spans="3:30" x14ac:dyDescent="0.2">
      <c r="C98" s="2"/>
      <c r="D98">
        <v>-0.92</v>
      </c>
      <c r="E98">
        <v>0</v>
      </c>
      <c r="F98">
        <v>0</v>
      </c>
      <c r="H98">
        <v>-0.2</v>
      </c>
      <c r="I98">
        <v>0</v>
      </c>
      <c r="J98">
        <v>0</v>
      </c>
      <c r="L98">
        <v>-8.2500000000000004E-2</v>
      </c>
      <c r="M98">
        <v>0</v>
      </c>
      <c r="N98">
        <v>0</v>
      </c>
      <c r="P98">
        <v>0.40250000000000002</v>
      </c>
      <c r="Q98">
        <v>0</v>
      </c>
      <c r="R98">
        <v>0</v>
      </c>
      <c r="T98">
        <v>-0.40749999999999997</v>
      </c>
      <c r="U98">
        <v>0</v>
      </c>
      <c r="V98">
        <v>0</v>
      </c>
      <c r="X98">
        <v>-0.125</v>
      </c>
      <c r="Y98">
        <v>0</v>
      </c>
      <c r="Z98">
        <v>0</v>
      </c>
      <c r="AB98">
        <v>-5.7500000000000002E-2</v>
      </c>
      <c r="AC98">
        <v>0</v>
      </c>
      <c r="AD98">
        <v>0</v>
      </c>
    </row>
    <row r="99" spans="3:30" x14ac:dyDescent="0.2">
      <c r="C99" s="2"/>
      <c r="D99">
        <v>-0.93</v>
      </c>
      <c r="E99">
        <v>0</v>
      </c>
      <c r="F99">
        <v>0</v>
      </c>
      <c r="H99">
        <v>-0.3125</v>
      </c>
      <c r="I99">
        <v>0</v>
      </c>
      <c r="J99">
        <v>0</v>
      </c>
      <c r="L99">
        <v>-8.2500000000000004E-2</v>
      </c>
      <c r="M99">
        <v>0</v>
      </c>
      <c r="N99">
        <v>0</v>
      </c>
      <c r="P99">
        <v>0.40250000000000002</v>
      </c>
      <c r="Q99">
        <v>0</v>
      </c>
      <c r="R99">
        <v>0</v>
      </c>
      <c r="T99">
        <v>-0.4</v>
      </c>
      <c r="U99">
        <v>0</v>
      </c>
      <c r="V99">
        <v>0</v>
      </c>
      <c r="X99">
        <v>-0.125</v>
      </c>
      <c r="Y99">
        <v>0</v>
      </c>
      <c r="Z99">
        <v>0</v>
      </c>
      <c r="AB99">
        <v>-7.2499999999999995E-2</v>
      </c>
      <c r="AC99">
        <v>0</v>
      </c>
      <c r="AD99">
        <v>0</v>
      </c>
    </row>
    <row r="100" spans="3:30" x14ac:dyDescent="0.2">
      <c r="C100" s="2"/>
      <c r="D100">
        <v>-0.9325</v>
      </c>
      <c r="E100">
        <v>0</v>
      </c>
      <c r="F100">
        <v>0</v>
      </c>
      <c r="H100">
        <v>-0.32500000000000001</v>
      </c>
      <c r="I100">
        <v>0</v>
      </c>
      <c r="J100">
        <v>0</v>
      </c>
      <c r="L100">
        <v>-8.2500000000000004E-2</v>
      </c>
      <c r="M100">
        <v>0</v>
      </c>
      <c r="N100">
        <v>0</v>
      </c>
      <c r="P100">
        <v>0.40250000000000002</v>
      </c>
      <c r="Q100">
        <v>0</v>
      </c>
      <c r="R100">
        <v>0</v>
      </c>
      <c r="T100">
        <v>-0.39500000000000002</v>
      </c>
      <c r="U100">
        <v>0</v>
      </c>
      <c r="V100">
        <v>0</v>
      </c>
      <c r="X100">
        <v>-0.125</v>
      </c>
      <c r="Y100">
        <v>0</v>
      </c>
      <c r="Z100">
        <v>0</v>
      </c>
      <c r="AB100">
        <v>-7.0000000000000007E-2</v>
      </c>
      <c r="AC100">
        <v>0</v>
      </c>
      <c r="AD100">
        <v>0</v>
      </c>
    </row>
    <row r="101" spans="3:30" x14ac:dyDescent="0.2">
      <c r="C101" s="2"/>
      <c r="D101">
        <v>-0.94750000000000001</v>
      </c>
      <c r="E101">
        <v>0</v>
      </c>
      <c r="F101">
        <v>0</v>
      </c>
      <c r="H101">
        <v>-0.29499999999999998</v>
      </c>
      <c r="I101">
        <v>0</v>
      </c>
      <c r="J101">
        <v>0</v>
      </c>
      <c r="L101">
        <v>-8.2500000000000004E-2</v>
      </c>
      <c r="M101">
        <v>0</v>
      </c>
      <c r="N101">
        <v>0</v>
      </c>
      <c r="P101">
        <v>0.40250000000000002</v>
      </c>
      <c r="Q101">
        <v>0</v>
      </c>
      <c r="R101">
        <v>0</v>
      </c>
      <c r="T101">
        <v>-0.26750000000000002</v>
      </c>
      <c r="U101">
        <v>0</v>
      </c>
      <c r="V101">
        <v>0</v>
      </c>
      <c r="X101">
        <v>-0.125</v>
      </c>
      <c r="Y101">
        <v>0</v>
      </c>
      <c r="Z101">
        <v>0</v>
      </c>
      <c r="AB101">
        <v>-5.7500000000000002E-2</v>
      </c>
      <c r="AC101">
        <v>0</v>
      </c>
      <c r="AD101">
        <v>0</v>
      </c>
    </row>
    <row r="102" spans="3:30" x14ac:dyDescent="0.2">
      <c r="C102" s="2"/>
      <c r="D102">
        <v>-0.95</v>
      </c>
      <c r="E102">
        <v>0</v>
      </c>
      <c r="F102">
        <v>0</v>
      </c>
      <c r="H102">
        <v>-0.29499999999999998</v>
      </c>
      <c r="I102">
        <v>0</v>
      </c>
      <c r="J102">
        <v>0</v>
      </c>
      <c r="L102">
        <v>-0.13750000000000001</v>
      </c>
      <c r="M102">
        <v>0</v>
      </c>
      <c r="N102">
        <v>0</v>
      </c>
      <c r="P102">
        <v>0.42499999999999999</v>
      </c>
      <c r="Q102">
        <v>0</v>
      </c>
      <c r="R102">
        <v>0</v>
      </c>
      <c r="T102">
        <v>-0.2525</v>
      </c>
      <c r="U102">
        <v>0</v>
      </c>
      <c r="V102">
        <v>0</v>
      </c>
      <c r="X102">
        <v>-0.17249999999999999</v>
      </c>
      <c r="Y102">
        <v>0</v>
      </c>
      <c r="Z102">
        <v>0</v>
      </c>
      <c r="AB102">
        <v>-5.7500000000000002E-2</v>
      </c>
      <c r="AC102">
        <v>0</v>
      </c>
      <c r="AD102">
        <v>0</v>
      </c>
    </row>
    <row r="103" spans="3:30" x14ac:dyDescent="0.2">
      <c r="C103" s="2"/>
      <c r="D103">
        <v>-0.9375</v>
      </c>
      <c r="E103">
        <v>0</v>
      </c>
      <c r="F103">
        <v>0</v>
      </c>
      <c r="H103">
        <v>-0.29499999999999998</v>
      </c>
      <c r="I103">
        <v>0</v>
      </c>
      <c r="J103">
        <v>0</v>
      </c>
      <c r="L103">
        <v>-0.13750000000000001</v>
      </c>
      <c r="M103">
        <v>0</v>
      </c>
      <c r="N103">
        <v>0</v>
      </c>
      <c r="P103">
        <v>0.42499999999999999</v>
      </c>
      <c r="Q103">
        <v>0</v>
      </c>
      <c r="R103">
        <v>0</v>
      </c>
      <c r="T103">
        <v>-0.34499999999999997</v>
      </c>
      <c r="U103">
        <v>0</v>
      </c>
      <c r="V103">
        <v>0</v>
      </c>
      <c r="X103">
        <v>-0.17249999999999999</v>
      </c>
      <c r="Y103">
        <v>0</v>
      </c>
      <c r="Z103">
        <v>0</v>
      </c>
      <c r="AB103">
        <v>-0.05</v>
      </c>
      <c r="AC103">
        <v>0</v>
      </c>
      <c r="AD103">
        <v>0</v>
      </c>
    </row>
    <row r="104" spans="3:30" x14ac:dyDescent="0.2">
      <c r="C104" s="2"/>
      <c r="D104">
        <v>-0.93</v>
      </c>
      <c r="E104">
        <v>0</v>
      </c>
      <c r="F104">
        <v>0</v>
      </c>
      <c r="H104">
        <v>-0.29749999999999999</v>
      </c>
      <c r="I104">
        <v>0</v>
      </c>
      <c r="J104">
        <v>0</v>
      </c>
      <c r="L104">
        <v>-0.13750000000000001</v>
      </c>
      <c r="M104">
        <v>0</v>
      </c>
      <c r="N104">
        <v>0</v>
      </c>
      <c r="P104">
        <v>0.42499999999999999</v>
      </c>
      <c r="Q104">
        <v>0</v>
      </c>
      <c r="R104">
        <v>0</v>
      </c>
      <c r="T104">
        <v>-0.39750000000000002</v>
      </c>
      <c r="U104">
        <v>0</v>
      </c>
      <c r="V104">
        <v>0</v>
      </c>
      <c r="X104">
        <v>-0.17249999999999999</v>
      </c>
      <c r="Y104">
        <v>0</v>
      </c>
      <c r="Z104">
        <v>0</v>
      </c>
      <c r="AB104">
        <v>-0.04</v>
      </c>
      <c r="AC104">
        <v>0</v>
      </c>
      <c r="AD104">
        <v>0</v>
      </c>
    </row>
    <row r="105" spans="3:30" x14ac:dyDescent="0.2">
      <c r="C105" s="2"/>
      <c r="D105">
        <v>-0.84250000000000003</v>
      </c>
      <c r="E105">
        <v>0</v>
      </c>
      <c r="F105">
        <v>0</v>
      </c>
      <c r="H105">
        <v>-0.1075</v>
      </c>
      <c r="I105">
        <v>0</v>
      </c>
      <c r="J105">
        <v>0</v>
      </c>
      <c r="L105">
        <v>-0.13750000000000001</v>
      </c>
      <c r="M105">
        <v>0</v>
      </c>
      <c r="N105">
        <v>0</v>
      </c>
      <c r="P105">
        <v>0.42499999999999999</v>
      </c>
      <c r="Q105">
        <v>0</v>
      </c>
      <c r="R105">
        <v>0</v>
      </c>
      <c r="T105">
        <v>-0.2</v>
      </c>
      <c r="U105">
        <v>0</v>
      </c>
      <c r="V105">
        <v>0</v>
      </c>
      <c r="X105">
        <v>-0.17249999999999999</v>
      </c>
      <c r="Y105">
        <v>0</v>
      </c>
      <c r="Z105">
        <v>0</v>
      </c>
      <c r="AB105">
        <v>-0.10249999999999999</v>
      </c>
      <c r="AC105">
        <v>0</v>
      </c>
      <c r="AD105">
        <v>0</v>
      </c>
    </row>
    <row r="106" spans="3:30" x14ac:dyDescent="0.2">
      <c r="C106" s="2"/>
      <c r="D106">
        <v>-0.84250000000000003</v>
      </c>
      <c r="E106">
        <v>0</v>
      </c>
      <c r="F106">
        <v>0</v>
      </c>
      <c r="H106">
        <v>-7.0000000000000007E-2</v>
      </c>
      <c r="I106">
        <v>0</v>
      </c>
      <c r="J106">
        <v>0</v>
      </c>
      <c r="L106">
        <v>-0.13750000000000001</v>
      </c>
      <c r="M106">
        <v>0</v>
      </c>
      <c r="N106">
        <v>0</v>
      </c>
      <c r="P106">
        <v>0.42499999999999999</v>
      </c>
      <c r="Q106">
        <v>0</v>
      </c>
      <c r="R106">
        <v>0</v>
      </c>
      <c r="T106">
        <v>-0.08</v>
      </c>
      <c r="U106">
        <v>0</v>
      </c>
      <c r="V106">
        <v>0</v>
      </c>
      <c r="X106">
        <v>-0.17249999999999999</v>
      </c>
      <c r="Y106">
        <v>0</v>
      </c>
      <c r="Z106">
        <v>0</v>
      </c>
      <c r="AB106">
        <v>-0.1075</v>
      </c>
      <c r="AC106">
        <v>0</v>
      </c>
      <c r="AD106">
        <v>0</v>
      </c>
    </row>
    <row r="107" spans="3:30" x14ac:dyDescent="0.2">
      <c r="C107" s="2"/>
      <c r="D107">
        <v>-0.89249999999999996</v>
      </c>
      <c r="E107">
        <v>0</v>
      </c>
      <c r="F107">
        <v>0</v>
      </c>
      <c r="H107">
        <v>-3.5000000000000003E-2</v>
      </c>
      <c r="I107">
        <v>0</v>
      </c>
      <c r="J107">
        <v>0</v>
      </c>
      <c r="L107">
        <v>-0.13750000000000001</v>
      </c>
      <c r="M107">
        <v>0</v>
      </c>
      <c r="N107">
        <v>0</v>
      </c>
      <c r="P107">
        <v>0.42499999999999999</v>
      </c>
      <c r="Q107">
        <v>0</v>
      </c>
      <c r="R107">
        <v>0</v>
      </c>
      <c r="T107">
        <v>-0.13250000000000001</v>
      </c>
      <c r="U107">
        <v>0</v>
      </c>
      <c r="V107">
        <v>0</v>
      </c>
      <c r="X107">
        <v>-0.17249999999999999</v>
      </c>
      <c r="Y107">
        <v>0</v>
      </c>
      <c r="Z107">
        <v>0</v>
      </c>
      <c r="AB107">
        <v>-0.13250000000000001</v>
      </c>
      <c r="AC107">
        <v>0</v>
      </c>
      <c r="AD107">
        <v>0</v>
      </c>
    </row>
    <row r="108" spans="3:30" x14ac:dyDescent="0.2">
      <c r="C108" s="2"/>
      <c r="D108">
        <v>-0.87</v>
      </c>
      <c r="E108">
        <v>0</v>
      </c>
      <c r="F108">
        <v>0</v>
      </c>
      <c r="H108">
        <v>-3.5000000000000003E-2</v>
      </c>
      <c r="I108">
        <v>0</v>
      </c>
      <c r="J108">
        <v>0</v>
      </c>
      <c r="L108">
        <v>-0.13750000000000001</v>
      </c>
      <c r="M108">
        <v>0</v>
      </c>
      <c r="N108">
        <v>0</v>
      </c>
      <c r="P108">
        <v>0.42499999999999999</v>
      </c>
      <c r="Q108">
        <v>0</v>
      </c>
      <c r="R108">
        <v>0</v>
      </c>
      <c r="T108">
        <v>-0.15</v>
      </c>
      <c r="U108">
        <v>0</v>
      </c>
      <c r="V108">
        <v>0</v>
      </c>
      <c r="X108">
        <v>-0.17249999999999999</v>
      </c>
      <c r="Y108">
        <v>0</v>
      </c>
      <c r="Z108">
        <v>0</v>
      </c>
      <c r="AB108">
        <v>-0.13250000000000001</v>
      </c>
      <c r="AC108">
        <v>0</v>
      </c>
      <c r="AD108">
        <v>0</v>
      </c>
    </row>
    <row r="109" spans="3:30" x14ac:dyDescent="0.2">
      <c r="C109" s="2"/>
      <c r="D109">
        <v>-0.86250000000000004</v>
      </c>
      <c r="E109">
        <v>0</v>
      </c>
      <c r="F109">
        <v>0</v>
      </c>
      <c r="H109">
        <v>-9.5000000000000001E-2</v>
      </c>
      <c r="I109">
        <v>0</v>
      </c>
      <c r="J109">
        <v>0</v>
      </c>
      <c r="L109">
        <v>-5.7500000000000002E-2</v>
      </c>
      <c r="M109">
        <v>0</v>
      </c>
      <c r="N109">
        <v>0</v>
      </c>
      <c r="P109">
        <v>0.41249999999999998</v>
      </c>
      <c r="Q109">
        <v>0</v>
      </c>
      <c r="R109">
        <v>0</v>
      </c>
      <c r="T109">
        <v>-0.20250000000000001</v>
      </c>
      <c r="U109">
        <v>0</v>
      </c>
      <c r="V109">
        <v>0</v>
      </c>
      <c r="X109">
        <v>-0.12</v>
      </c>
      <c r="Y109">
        <v>0</v>
      </c>
      <c r="Z109">
        <v>0</v>
      </c>
      <c r="AB109">
        <v>-0.125</v>
      </c>
      <c r="AC109">
        <v>0</v>
      </c>
      <c r="AD109">
        <v>0</v>
      </c>
    </row>
    <row r="110" spans="3:30" x14ac:dyDescent="0.2">
      <c r="C110" s="2"/>
      <c r="D110">
        <v>-0.83250000000000002</v>
      </c>
      <c r="E110">
        <v>0</v>
      </c>
      <c r="F110">
        <v>0</v>
      </c>
      <c r="H110">
        <v>-0.1825</v>
      </c>
      <c r="I110">
        <v>0</v>
      </c>
      <c r="J110">
        <v>0</v>
      </c>
      <c r="L110">
        <v>-5.7500000000000002E-2</v>
      </c>
      <c r="M110">
        <v>0</v>
      </c>
      <c r="N110">
        <v>0</v>
      </c>
      <c r="P110">
        <v>0.41249999999999998</v>
      </c>
      <c r="Q110">
        <v>0</v>
      </c>
      <c r="R110">
        <v>0</v>
      </c>
      <c r="T110">
        <v>-0.41499999999999998</v>
      </c>
      <c r="U110">
        <v>0</v>
      </c>
      <c r="V110">
        <v>0</v>
      </c>
      <c r="X110">
        <v>-0.12</v>
      </c>
      <c r="Y110">
        <v>0</v>
      </c>
      <c r="Z110">
        <v>0</v>
      </c>
      <c r="AB110">
        <v>-0.05</v>
      </c>
      <c r="AC110">
        <v>0</v>
      </c>
      <c r="AD110">
        <v>0</v>
      </c>
    </row>
    <row r="111" spans="3:30" x14ac:dyDescent="0.2">
      <c r="C111" s="2"/>
      <c r="D111">
        <v>-0.84750000000000003</v>
      </c>
      <c r="E111">
        <v>0</v>
      </c>
      <c r="F111">
        <v>0</v>
      </c>
      <c r="H111">
        <v>-0.29249999999999998</v>
      </c>
      <c r="I111">
        <v>0</v>
      </c>
      <c r="J111">
        <v>0</v>
      </c>
      <c r="L111">
        <v>-5.7500000000000002E-2</v>
      </c>
      <c r="M111">
        <v>0</v>
      </c>
      <c r="N111">
        <v>0</v>
      </c>
      <c r="P111">
        <v>0.41249999999999998</v>
      </c>
      <c r="Q111">
        <v>0</v>
      </c>
      <c r="R111">
        <v>0</v>
      </c>
      <c r="T111">
        <v>-0.40500000000000003</v>
      </c>
      <c r="U111">
        <v>0</v>
      </c>
      <c r="V111">
        <v>0</v>
      </c>
      <c r="X111">
        <v>-0.12</v>
      </c>
      <c r="Y111">
        <v>0</v>
      </c>
      <c r="Z111">
        <v>0</v>
      </c>
      <c r="AB111">
        <v>-6.5000000000000002E-2</v>
      </c>
      <c r="AC111">
        <v>0</v>
      </c>
      <c r="AD111">
        <v>0</v>
      </c>
    </row>
    <row r="112" spans="3:30" x14ac:dyDescent="0.2">
      <c r="C112" s="2"/>
      <c r="D112">
        <v>-0.84750000000000003</v>
      </c>
      <c r="E112">
        <v>0</v>
      </c>
      <c r="F112">
        <v>0</v>
      </c>
      <c r="H112">
        <v>-0.30499999999999999</v>
      </c>
      <c r="I112">
        <v>0</v>
      </c>
      <c r="J112">
        <v>0</v>
      </c>
      <c r="L112">
        <v>-5.7500000000000002E-2</v>
      </c>
      <c r="M112">
        <v>0</v>
      </c>
      <c r="N112">
        <v>0</v>
      </c>
      <c r="P112">
        <v>0.41249999999999998</v>
      </c>
      <c r="Q112">
        <v>0</v>
      </c>
      <c r="R112">
        <v>0</v>
      </c>
      <c r="T112">
        <v>-0.4</v>
      </c>
      <c r="U112">
        <v>0</v>
      </c>
      <c r="V112">
        <v>0</v>
      </c>
      <c r="X112">
        <v>-0.12</v>
      </c>
      <c r="Y112">
        <v>0</v>
      </c>
      <c r="Z112">
        <v>0</v>
      </c>
      <c r="AB112">
        <v>-6.25E-2</v>
      </c>
      <c r="AC112">
        <v>0</v>
      </c>
      <c r="AD112">
        <v>0</v>
      </c>
    </row>
    <row r="113" spans="3:30" x14ac:dyDescent="0.2">
      <c r="C113" s="2"/>
      <c r="D113">
        <v>-0.86250000000000004</v>
      </c>
      <c r="E113">
        <v>0</v>
      </c>
      <c r="F113">
        <v>0</v>
      </c>
      <c r="H113">
        <v>-0.27750000000000002</v>
      </c>
      <c r="I113">
        <v>0</v>
      </c>
      <c r="J113">
        <v>0</v>
      </c>
      <c r="L113">
        <v>-5.7500000000000002E-2</v>
      </c>
      <c r="M113">
        <v>0</v>
      </c>
      <c r="N113">
        <v>0</v>
      </c>
      <c r="P113">
        <v>0.41249999999999998</v>
      </c>
      <c r="Q113">
        <v>0</v>
      </c>
      <c r="R113">
        <v>0</v>
      </c>
      <c r="T113">
        <v>-0.27</v>
      </c>
      <c r="U113">
        <v>0</v>
      </c>
      <c r="V113">
        <v>0</v>
      </c>
      <c r="X113">
        <v>-0.12</v>
      </c>
      <c r="Y113">
        <v>0</v>
      </c>
      <c r="Z113">
        <v>0</v>
      </c>
      <c r="AB113">
        <v>-0.05</v>
      </c>
      <c r="AC113">
        <v>0</v>
      </c>
      <c r="AD113">
        <v>0</v>
      </c>
    </row>
    <row r="114" spans="3:30" x14ac:dyDescent="0.2">
      <c r="C114" s="2"/>
      <c r="D114">
        <v>-0.86499999999999999</v>
      </c>
      <c r="E114">
        <v>0</v>
      </c>
      <c r="F114">
        <v>0</v>
      </c>
      <c r="H114">
        <v>-0.27750000000000002</v>
      </c>
      <c r="I114">
        <v>0</v>
      </c>
      <c r="J114">
        <v>0</v>
      </c>
      <c r="L114">
        <v>-7.2499999999999995E-2</v>
      </c>
      <c r="M114">
        <v>0</v>
      </c>
      <c r="N114">
        <v>0</v>
      </c>
      <c r="P114">
        <v>0.435</v>
      </c>
      <c r="Q114">
        <v>0</v>
      </c>
      <c r="R114">
        <v>0</v>
      </c>
      <c r="T114">
        <v>-0.25750000000000001</v>
      </c>
      <c r="U114">
        <v>0</v>
      </c>
      <c r="V114">
        <v>0</v>
      </c>
      <c r="X114">
        <v>-0.16750000000000001</v>
      </c>
      <c r="Y114">
        <v>0</v>
      </c>
      <c r="Z114">
        <v>0</v>
      </c>
      <c r="AB114">
        <v>-0.05</v>
      </c>
      <c r="AC114">
        <v>0</v>
      </c>
      <c r="AD114">
        <v>0</v>
      </c>
    </row>
    <row r="115" spans="3:30" x14ac:dyDescent="0.2">
      <c r="C115" s="2"/>
      <c r="D115">
        <v>-0.85</v>
      </c>
      <c r="E115">
        <v>0</v>
      </c>
      <c r="F115">
        <v>0</v>
      </c>
      <c r="H115">
        <v>-0.27500000000000002</v>
      </c>
      <c r="I115">
        <v>0</v>
      </c>
      <c r="J115">
        <v>0</v>
      </c>
      <c r="L115">
        <v>-7.2499999999999995E-2</v>
      </c>
      <c r="M115">
        <v>0</v>
      </c>
      <c r="N115">
        <v>0</v>
      </c>
      <c r="P115">
        <v>0.435</v>
      </c>
      <c r="Q115">
        <v>0</v>
      </c>
      <c r="R115">
        <v>0</v>
      </c>
      <c r="T115">
        <v>-0.34749999999999998</v>
      </c>
      <c r="U115">
        <v>0</v>
      </c>
      <c r="V115">
        <v>0</v>
      </c>
      <c r="X115">
        <v>-0.16750000000000001</v>
      </c>
      <c r="Y115">
        <v>0</v>
      </c>
      <c r="Z115">
        <v>0</v>
      </c>
      <c r="AB115">
        <v>-4.2500000000000003E-2</v>
      </c>
      <c r="AC115">
        <v>0</v>
      </c>
      <c r="AD115">
        <v>0</v>
      </c>
    </row>
    <row r="116" spans="3:30" x14ac:dyDescent="0.2">
      <c r="C116" s="2"/>
      <c r="D116">
        <v>-0.84499999999999997</v>
      </c>
      <c r="E116">
        <v>0</v>
      </c>
      <c r="F116">
        <v>0</v>
      </c>
      <c r="H116">
        <v>-0.28000000000000003</v>
      </c>
      <c r="I116">
        <v>0</v>
      </c>
      <c r="J116">
        <v>0</v>
      </c>
      <c r="L116">
        <v>-7.2499999999999995E-2</v>
      </c>
      <c r="M116">
        <v>0</v>
      </c>
      <c r="N116">
        <v>0</v>
      </c>
      <c r="P116">
        <v>0.435</v>
      </c>
      <c r="Q116">
        <v>0</v>
      </c>
      <c r="R116">
        <v>0</v>
      </c>
      <c r="T116">
        <v>-0.40250000000000002</v>
      </c>
      <c r="U116">
        <v>0</v>
      </c>
      <c r="V116">
        <v>0</v>
      </c>
      <c r="X116">
        <v>-0.16750000000000001</v>
      </c>
      <c r="Y116">
        <v>0</v>
      </c>
      <c r="Z116">
        <v>0</v>
      </c>
      <c r="AB116">
        <v>-3.2500000000000001E-2</v>
      </c>
      <c r="AC116">
        <v>0</v>
      </c>
      <c r="AD116">
        <v>0</v>
      </c>
    </row>
    <row r="117" spans="3:30" x14ac:dyDescent="0.2">
      <c r="C117" s="2"/>
      <c r="D117">
        <v>-0.81499999999999995</v>
      </c>
      <c r="E117">
        <v>0</v>
      </c>
      <c r="F117">
        <v>0</v>
      </c>
      <c r="H117">
        <v>-0.10249999999999999</v>
      </c>
      <c r="I117">
        <v>0</v>
      </c>
      <c r="J117">
        <v>0</v>
      </c>
      <c r="L117">
        <v>-7.2499999999999995E-2</v>
      </c>
      <c r="M117">
        <v>0</v>
      </c>
      <c r="N117">
        <v>0</v>
      </c>
      <c r="P117">
        <v>0.435</v>
      </c>
      <c r="Q117">
        <v>0</v>
      </c>
      <c r="R117">
        <v>0</v>
      </c>
      <c r="T117">
        <v>-0.2175</v>
      </c>
      <c r="U117">
        <v>0</v>
      </c>
      <c r="V117">
        <v>0</v>
      </c>
      <c r="X117">
        <v>-0.16750000000000001</v>
      </c>
      <c r="Y117">
        <v>0</v>
      </c>
      <c r="Z117">
        <v>0</v>
      </c>
      <c r="AB117">
        <v>-0.10249999999999999</v>
      </c>
      <c r="AC117">
        <v>0</v>
      </c>
      <c r="AD117">
        <v>0</v>
      </c>
    </row>
    <row r="118" spans="3:30" x14ac:dyDescent="0.2">
      <c r="C118" s="2"/>
      <c r="D118">
        <v>-0.8125</v>
      </c>
      <c r="E118">
        <v>0</v>
      </c>
      <c r="F118">
        <v>0</v>
      </c>
      <c r="H118">
        <v>-6.25E-2</v>
      </c>
      <c r="I118">
        <v>0</v>
      </c>
      <c r="J118">
        <v>0</v>
      </c>
      <c r="L118">
        <v>-7.2499999999999995E-2</v>
      </c>
      <c r="M118">
        <v>0</v>
      </c>
      <c r="N118">
        <v>0</v>
      </c>
      <c r="P118">
        <v>0.435</v>
      </c>
      <c r="Q118">
        <v>0</v>
      </c>
      <c r="R118">
        <v>0</v>
      </c>
      <c r="T118">
        <v>-8.7499999999999994E-2</v>
      </c>
      <c r="U118">
        <v>0</v>
      </c>
      <c r="V118">
        <v>0</v>
      </c>
      <c r="X118">
        <v>-0.16750000000000001</v>
      </c>
      <c r="Y118">
        <v>0</v>
      </c>
      <c r="Z118">
        <v>0</v>
      </c>
      <c r="AB118">
        <v>-0.1075</v>
      </c>
      <c r="AC118">
        <v>0</v>
      </c>
      <c r="AD118">
        <v>0</v>
      </c>
    </row>
    <row r="119" spans="3:30" x14ac:dyDescent="0.2">
      <c r="C119" s="2"/>
      <c r="D119">
        <v>-0.86250000000000004</v>
      </c>
      <c r="E119">
        <v>0</v>
      </c>
      <c r="F119">
        <v>0</v>
      </c>
      <c r="H119">
        <v>-2.5000000000000001E-2</v>
      </c>
      <c r="I119">
        <v>0</v>
      </c>
      <c r="J119">
        <v>0</v>
      </c>
      <c r="L119">
        <v>-7.2499999999999995E-2</v>
      </c>
      <c r="M119">
        <v>0</v>
      </c>
      <c r="N119">
        <v>0</v>
      </c>
      <c r="P119">
        <v>0.435</v>
      </c>
      <c r="Q119">
        <v>0</v>
      </c>
      <c r="R119">
        <v>0</v>
      </c>
      <c r="T119">
        <v>-0.14499999999999999</v>
      </c>
      <c r="U119">
        <v>0</v>
      </c>
      <c r="V119">
        <v>0</v>
      </c>
      <c r="X119">
        <v>-0.16750000000000001</v>
      </c>
      <c r="Y119">
        <v>0</v>
      </c>
      <c r="Z119">
        <v>0</v>
      </c>
      <c r="AB119">
        <v>-0.13250000000000001</v>
      </c>
      <c r="AC119">
        <v>0</v>
      </c>
      <c r="AD119">
        <v>0</v>
      </c>
    </row>
    <row r="120" spans="3:30" x14ac:dyDescent="0.2">
      <c r="C120" s="2"/>
      <c r="D120">
        <v>-0.83250000000000002</v>
      </c>
      <c r="E120">
        <v>0</v>
      </c>
      <c r="F120">
        <v>0</v>
      </c>
      <c r="H120">
        <v>-2.2499999999999999E-2</v>
      </c>
      <c r="I120">
        <v>0</v>
      </c>
      <c r="J120">
        <v>0</v>
      </c>
      <c r="L120">
        <v>-7.2499999999999995E-2</v>
      </c>
      <c r="M120">
        <v>0</v>
      </c>
      <c r="N120">
        <v>0</v>
      </c>
      <c r="P120">
        <v>0.435</v>
      </c>
      <c r="Q120">
        <v>0</v>
      </c>
      <c r="R120">
        <v>0</v>
      </c>
      <c r="T120">
        <v>-0.16250000000000001</v>
      </c>
      <c r="U120">
        <v>0</v>
      </c>
      <c r="V120">
        <v>0</v>
      </c>
      <c r="X120">
        <v>-0.16750000000000001</v>
      </c>
      <c r="Y120">
        <v>0</v>
      </c>
      <c r="Z120">
        <v>0</v>
      </c>
      <c r="AB120">
        <v>-0.13250000000000001</v>
      </c>
      <c r="AC120">
        <v>0</v>
      </c>
      <c r="AD120">
        <v>0</v>
      </c>
    </row>
    <row r="121" spans="3:30" x14ac:dyDescent="0.2">
      <c r="C121" s="2"/>
      <c r="D121">
        <v>-0.83499999999999996</v>
      </c>
      <c r="E121">
        <v>0</v>
      </c>
      <c r="F121">
        <v>0</v>
      </c>
      <c r="H121">
        <v>-0.09</v>
      </c>
      <c r="I121">
        <v>0</v>
      </c>
      <c r="J121">
        <v>0</v>
      </c>
      <c r="L121">
        <v>-5.7500000000000002E-2</v>
      </c>
      <c r="M121">
        <v>0</v>
      </c>
      <c r="N121">
        <v>0</v>
      </c>
      <c r="P121">
        <v>0.42249999999999999</v>
      </c>
      <c r="Q121">
        <v>0</v>
      </c>
      <c r="R121">
        <v>0</v>
      </c>
      <c r="T121">
        <v>-0.2225</v>
      </c>
      <c r="U121">
        <v>0</v>
      </c>
      <c r="V121">
        <v>0</v>
      </c>
      <c r="X121">
        <v>-0.115</v>
      </c>
      <c r="Y121">
        <v>0</v>
      </c>
      <c r="Z121">
        <v>0</v>
      </c>
      <c r="AB121">
        <v>-0.125</v>
      </c>
      <c r="AC121">
        <v>0</v>
      </c>
      <c r="AD121">
        <v>0</v>
      </c>
    </row>
    <row r="122" spans="3:30" x14ac:dyDescent="0.2">
      <c r="C122" s="2"/>
      <c r="D122">
        <v>-0.78500000000000003</v>
      </c>
      <c r="E122">
        <v>0</v>
      </c>
      <c r="F122">
        <v>0</v>
      </c>
      <c r="H122">
        <v>-0.17749999999999999</v>
      </c>
      <c r="I122">
        <v>0</v>
      </c>
      <c r="J122">
        <v>0</v>
      </c>
      <c r="L122">
        <v>-5.7500000000000002E-2</v>
      </c>
      <c r="M122">
        <v>0</v>
      </c>
      <c r="N122">
        <v>0</v>
      </c>
      <c r="P122">
        <v>0.42249999999999999</v>
      </c>
      <c r="Q122">
        <v>0</v>
      </c>
      <c r="R122">
        <v>0</v>
      </c>
      <c r="T122">
        <v>-0.41499999999999998</v>
      </c>
      <c r="U122">
        <v>0</v>
      </c>
      <c r="V122">
        <v>0</v>
      </c>
      <c r="X122">
        <v>-0.115</v>
      </c>
      <c r="Y122">
        <v>0</v>
      </c>
      <c r="Z122">
        <v>0</v>
      </c>
      <c r="AB122">
        <v>-4.2500000000000003E-2</v>
      </c>
      <c r="AC122">
        <v>0</v>
      </c>
      <c r="AD122">
        <v>0</v>
      </c>
    </row>
    <row r="123" spans="3:30" x14ac:dyDescent="0.2">
      <c r="D123">
        <v>-0.79500000000000004</v>
      </c>
      <c r="E123">
        <v>0</v>
      </c>
      <c r="F123">
        <v>0</v>
      </c>
      <c r="H123">
        <v>-0.28000000000000003</v>
      </c>
      <c r="I123">
        <v>0</v>
      </c>
      <c r="J123">
        <v>0</v>
      </c>
      <c r="L123">
        <v>-5.7500000000000002E-2</v>
      </c>
      <c r="M123">
        <v>0</v>
      </c>
      <c r="N123">
        <v>0</v>
      </c>
      <c r="P123">
        <v>0.42249999999999999</v>
      </c>
      <c r="Q123">
        <v>0</v>
      </c>
      <c r="R123">
        <v>0</v>
      </c>
      <c r="T123">
        <v>-0.40500000000000003</v>
      </c>
      <c r="U123">
        <v>0</v>
      </c>
      <c r="V123">
        <v>0</v>
      </c>
      <c r="X123">
        <v>-0.115</v>
      </c>
      <c r="Y123">
        <v>0</v>
      </c>
      <c r="Z123">
        <v>0</v>
      </c>
      <c r="AB123">
        <v>-5.5E-2</v>
      </c>
      <c r="AC123">
        <v>0</v>
      </c>
      <c r="AD123">
        <v>0</v>
      </c>
    </row>
    <row r="124" spans="3:30" x14ac:dyDescent="0.2">
      <c r="D124">
        <v>-0.79749999999999999</v>
      </c>
      <c r="E124">
        <v>0</v>
      </c>
      <c r="F124">
        <v>0</v>
      </c>
      <c r="H124">
        <v>-0.29249999999999998</v>
      </c>
      <c r="I124">
        <v>0</v>
      </c>
      <c r="J124">
        <v>0</v>
      </c>
      <c r="L124">
        <v>-5.7500000000000002E-2</v>
      </c>
      <c r="M124">
        <v>0</v>
      </c>
      <c r="N124">
        <v>0</v>
      </c>
      <c r="P124">
        <v>0.42249999999999999</v>
      </c>
      <c r="Q124">
        <v>0</v>
      </c>
      <c r="R124">
        <v>0</v>
      </c>
      <c r="T124">
        <v>-0.4</v>
      </c>
      <c r="U124">
        <v>0</v>
      </c>
      <c r="V124">
        <v>0</v>
      </c>
      <c r="X124">
        <v>-0.115</v>
      </c>
      <c r="Y124">
        <v>0</v>
      </c>
      <c r="Z124">
        <v>0</v>
      </c>
      <c r="AB124">
        <v>-5.2499999999999998E-2</v>
      </c>
      <c r="AC124">
        <v>0</v>
      </c>
      <c r="AD124">
        <v>0</v>
      </c>
    </row>
    <row r="125" spans="3:30" x14ac:dyDescent="0.2">
      <c r="D125">
        <v>-0.81</v>
      </c>
      <c r="E125">
        <v>0</v>
      </c>
      <c r="F125">
        <v>0</v>
      </c>
      <c r="H125">
        <v>-0.26500000000000001</v>
      </c>
      <c r="I125">
        <v>0</v>
      </c>
      <c r="J125">
        <v>0</v>
      </c>
      <c r="L125">
        <v>-5.7500000000000002E-2</v>
      </c>
      <c r="M125">
        <v>0</v>
      </c>
      <c r="N125">
        <v>0</v>
      </c>
      <c r="P125">
        <v>0.42249999999999999</v>
      </c>
      <c r="Q125">
        <v>0</v>
      </c>
      <c r="R125">
        <v>0</v>
      </c>
      <c r="T125">
        <v>-0.27</v>
      </c>
      <c r="U125">
        <v>0</v>
      </c>
      <c r="V125">
        <v>0</v>
      </c>
      <c r="X125">
        <v>-0.115</v>
      </c>
      <c r="Y125">
        <v>0</v>
      </c>
      <c r="Z125">
        <v>0</v>
      </c>
      <c r="AB125">
        <v>-4.2500000000000003E-2</v>
      </c>
      <c r="AC125">
        <v>0</v>
      </c>
      <c r="AD125">
        <v>0</v>
      </c>
    </row>
    <row r="126" spans="3:30" x14ac:dyDescent="0.2">
      <c r="D126">
        <v>-0.8125</v>
      </c>
      <c r="E126">
        <v>0</v>
      </c>
      <c r="F126">
        <v>0</v>
      </c>
      <c r="H126">
        <v>-0.26500000000000001</v>
      </c>
      <c r="I126">
        <v>0</v>
      </c>
      <c r="J126">
        <v>0</v>
      </c>
      <c r="L126">
        <v>-5.2499999999999998E-2</v>
      </c>
      <c r="M126">
        <v>0</v>
      </c>
      <c r="N126">
        <v>0</v>
      </c>
      <c r="P126">
        <v>0.38500000000000001</v>
      </c>
      <c r="Q126">
        <v>0</v>
      </c>
      <c r="R126">
        <v>0</v>
      </c>
      <c r="T126">
        <v>-0.25750000000000001</v>
      </c>
      <c r="U126">
        <v>0</v>
      </c>
      <c r="V126">
        <v>0</v>
      </c>
      <c r="X126">
        <v>-0.16250000000000001</v>
      </c>
      <c r="Y126">
        <v>0</v>
      </c>
      <c r="Z126">
        <v>0</v>
      </c>
      <c r="AB126">
        <v>-4.2500000000000003E-2</v>
      </c>
      <c r="AC126">
        <v>0</v>
      </c>
      <c r="AD126">
        <v>0</v>
      </c>
    </row>
    <row r="127" spans="3:30" x14ac:dyDescent="0.2">
      <c r="D127">
        <v>-0.80249999999999999</v>
      </c>
      <c r="E127">
        <v>0</v>
      </c>
      <c r="F127">
        <v>0</v>
      </c>
      <c r="H127">
        <v>-0.26500000000000001</v>
      </c>
      <c r="I127">
        <v>0</v>
      </c>
      <c r="J127">
        <v>0</v>
      </c>
      <c r="L127">
        <v>-5.2499999999999998E-2</v>
      </c>
      <c r="M127">
        <v>0</v>
      </c>
      <c r="N127">
        <v>0</v>
      </c>
      <c r="P127">
        <v>0.38500000000000001</v>
      </c>
      <c r="Q127">
        <v>0</v>
      </c>
      <c r="R127">
        <v>0</v>
      </c>
      <c r="T127">
        <v>-0.34749999999999998</v>
      </c>
      <c r="U127">
        <v>0</v>
      </c>
      <c r="V127">
        <v>0</v>
      </c>
      <c r="X127">
        <v>-0.16250000000000001</v>
      </c>
      <c r="Y127">
        <v>0</v>
      </c>
      <c r="Z127">
        <v>0</v>
      </c>
      <c r="AB127">
        <v>-3.5000000000000003E-2</v>
      </c>
      <c r="AC127">
        <v>0</v>
      </c>
      <c r="AD127">
        <v>0</v>
      </c>
    </row>
    <row r="128" spans="3:30" x14ac:dyDescent="0.2">
      <c r="D128">
        <v>-0.79500000000000004</v>
      </c>
      <c r="E128">
        <v>0</v>
      </c>
      <c r="F128">
        <v>0</v>
      </c>
      <c r="H128">
        <v>-0.26750000000000002</v>
      </c>
      <c r="I128">
        <v>0</v>
      </c>
      <c r="J128">
        <v>0</v>
      </c>
      <c r="L128">
        <v>-5.2499999999999998E-2</v>
      </c>
      <c r="M128">
        <v>0</v>
      </c>
      <c r="N128">
        <v>0</v>
      </c>
      <c r="P128">
        <v>0.38500000000000001</v>
      </c>
      <c r="Q128">
        <v>0</v>
      </c>
      <c r="R128">
        <v>0</v>
      </c>
      <c r="T128">
        <v>-0.40250000000000002</v>
      </c>
      <c r="U128">
        <v>0</v>
      </c>
      <c r="V128">
        <v>0</v>
      </c>
      <c r="X128">
        <v>-0.16250000000000001</v>
      </c>
      <c r="Y128">
        <v>0</v>
      </c>
      <c r="Z128">
        <v>0</v>
      </c>
      <c r="AB128">
        <v>-2.75E-2</v>
      </c>
      <c r="AC128">
        <v>0</v>
      </c>
      <c r="AD128">
        <v>0</v>
      </c>
    </row>
    <row r="129" spans="4:30" x14ac:dyDescent="0.2">
      <c r="D129">
        <v>-0.85250000000000004</v>
      </c>
      <c r="E129">
        <v>0</v>
      </c>
      <c r="F129">
        <v>0</v>
      </c>
      <c r="H129">
        <v>-5.5E-2</v>
      </c>
      <c r="I129">
        <v>0</v>
      </c>
      <c r="J129">
        <v>0</v>
      </c>
      <c r="L129">
        <v>-5.2499999999999998E-2</v>
      </c>
      <c r="M129">
        <v>0</v>
      </c>
      <c r="N129">
        <v>0</v>
      </c>
      <c r="P129">
        <v>0.38500000000000001</v>
      </c>
      <c r="Q129">
        <v>0</v>
      </c>
      <c r="R129">
        <v>0</v>
      </c>
      <c r="T129">
        <v>-0.2175</v>
      </c>
      <c r="U129">
        <v>0</v>
      </c>
      <c r="V129">
        <v>0</v>
      </c>
      <c r="X129">
        <v>-0.16250000000000001</v>
      </c>
      <c r="Y129">
        <v>0</v>
      </c>
      <c r="Z129">
        <v>0</v>
      </c>
      <c r="AB129">
        <v>-0.11</v>
      </c>
      <c r="AC129">
        <v>0</v>
      </c>
      <c r="AD129">
        <v>0</v>
      </c>
    </row>
    <row r="130" spans="4:30" x14ac:dyDescent="0.2">
      <c r="D130">
        <v>-0.85250000000000004</v>
      </c>
      <c r="E130">
        <v>0</v>
      </c>
      <c r="F130">
        <v>0</v>
      </c>
      <c r="H130">
        <v>-1.4999999999999999E-2</v>
      </c>
      <c r="I130">
        <v>0</v>
      </c>
      <c r="J130">
        <v>0</v>
      </c>
      <c r="L130">
        <v>-5.2499999999999998E-2</v>
      </c>
      <c r="M130">
        <v>0</v>
      </c>
      <c r="N130">
        <v>0</v>
      </c>
      <c r="P130">
        <v>0.38500000000000001</v>
      </c>
      <c r="Q130">
        <v>0</v>
      </c>
      <c r="R130">
        <v>0</v>
      </c>
      <c r="T130">
        <v>-8.7499999999999994E-2</v>
      </c>
      <c r="U130">
        <v>0</v>
      </c>
      <c r="V130">
        <v>0</v>
      </c>
      <c r="X130">
        <v>-0.16250000000000001</v>
      </c>
      <c r="Y130">
        <v>0</v>
      </c>
      <c r="Z130">
        <v>0</v>
      </c>
      <c r="AB130">
        <v>-0.115</v>
      </c>
      <c r="AC130">
        <v>0</v>
      </c>
      <c r="AD130">
        <v>0</v>
      </c>
    </row>
    <row r="131" spans="4:30" x14ac:dyDescent="0.2">
      <c r="D131">
        <v>-0.36249999999999999</v>
      </c>
      <c r="E131">
        <v>0</v>
      </c>
      <c r="F131">
        <v>0</v>
      </c>
      <c r="H131">
        <v>-0.15</v>
      </c>
      <c r="I131">
        <v>0</v>
      </c>
      <c r="J131">
        <v>0</v>
      </c>
      <c r="L131">
        <v>-5.2499999999999998E-2</v>
      </c>
      <c r="M131">
        <v>0</v>
      </c>
      <c r="N131">
        <v>0</v>
      </c>
      <c r="P131">
        <v>0.38500000000000001</v>
      </c>
      <c r="Q131">
        <v>0</v>
      </c>
      <c r="R131">
        <v>0</v>
      </c>
      <c r="T131">
        <v>-0.14499999999999999</v>
      </c>
      <c r="U131">
        <v>0</v>
      </c>
      <c r="V131">
        <v>0</v>
      </c>
      <c r="X131">
        <v>-0.16250000000000001</v>
      </c>
      <c r="Y131">
        <v>0</v>
      </c>
      <c r="Z131">
        <v>0</v>
      </c>
      <c r="AB131">
        <v>-5.7500000000000002E-2</v>
      </c>
      <c r="AC131">
        <v>0</v>
      </c>
      <c r="AD131">
        <v>0</v>
      </c>
    </row>
    <row r="132" spans="4:30" x14ac:dyDescent="0.2">
      <c r="D132">
        <v>-0.35499999999999998</v>
      </c>
      <c r="E132">
        <v>0</v>
      </c>
      <c r="F132">
        <v>0</v>
      </c>
      <c r="H132">
        <v>-0.15</v>
      </c>
      <c r="I132">
        <v>0</v>
      </c>
      <c r="J132">
        <v>0</v>
      </c>
      <c r="L132">
        <v>-5.2499999999999998E-2</v>
      </c>
      <c r="M132">
        <v>0</v>
      </c>
      <c r="N132">
        <v>0</v>
      </c>
      <c r="P132">
        <v>0.38500000000000001</v>
      </c>
      <c r="Q132">
        <v>0</v>
      </c>
      <c r="R132">
        <v>0</v>
      </c>
      <c r="T132">
        <v>-0.16250000000000001</v>
      </c>
      <c r="U132">
        <v>0</v>
      </c>
      <c r="V132">
        <v>0</v>
      </c>
      <c r="X132">
        <v>-0.16250000000000001</v>
      </c>
      <c r="Y132">
        <v>0</v>
      </c>
      <c r="Z132">
        <v>0</v>
      </c>
      <c r="AB132">
        <v>-5.7500000000000002E-2</v>
      </c>
      <c r="AC132">
        <v>0</v>
      </c>
      <c r="AD132">
        <v>0</v>
      </c>
    </row>
    <row r="133" spans="4:30" x14ac:dyDescent="0.2">
      <c r="D133">
        <v>-0.27250000000000002</v>
      </c>
      <c r="E133">
        <v>0</v>
      </c>
      <c r="F133">
        <v>0</v>
      </c>
      <c r="H133">
        <v>-7.0000000000000007E-2</v>
      </c>
      <c r="I133">
        <v>0</v>
      </c>
      <c r="J133">
        <v>0</v>
      </c>
      <c r="L133">
        <v>-3.7499999999999999E-2</v>
      </c>
      <c r="M133">
        <v>0</v>
      </c>
      <c r="N133">
        <v>0</v>
      </c>
      <c r="P133">
        <v>0.4325</v>
      </c>
      <c r="Q133">
        <v>0</v>
      </c>
      <c r="R133">
        <v>0</v>
      </c>
      <c r="T133">
        <v>-0.2225</v>
      </c>
      <c r="U133">
        <v>0</v>
      </c>
      <c r="V133">
        <v>0</v>
      </c>
      <c r="X133">
        <v>-0.11</v>
      </c>
      <c r="Y133">
        <v>0</v>
      </c>
      <c r="Z133">
        <v>0</v>
      </c>
      <c r="AB133">
        <v>-5.2499999999999998E-2</v>
      </c>
      <c r="AC133">
        <v>0</v>
      </c>
      <c r="AD133">
        <v>0</v>
      </c>
    </row>
    <row r="134" spans="4:30" x14ac:dyDescent="0.2">
      <c r="D134">
        <v>-0.29499999999999998</v>
      </c>
      <c r="E134">
        <v>0</v>
      </c>
      <c r="F134">
        <v>0</v>
      </c>
      <c r="H134">
        <v>-7.0000000000000007E-2</v>
      </c>
      <c r="I134">
        <v>0</v>
      </c>
      <c r="J134">
        <v>0</v>
      </c>
      <c r="L134">
        <v>-3.7499999999999999E-2</v>
      </c>
      <c r="M134">
        <v>0</v>
      </c>
      <c r="N134">
        <v>0</v>
      </c>
      <c r="P134">
        <v>0.4325</v>
      </c>
      <c r="Q134">
        <v>0</v>
      </c>
      <c r="R134">
        <v>0</v>
      </c>
      <c r="T134">
        <v>-0.41249999999999998</v>
      </c>
      <c r="U134">
        <v>0</v>
      </c>
      <c r="V134">
        <v>0</v>
      </c>
      <c r="X134">
        <v>-0.11</v>
      </c>
      <c r="Y134">
        <v>0</v>
      </c>
      <c r="Z134">
        <v>0</v>
      </c>
      <c r="AB134">
        <v>-5.2499999999999998E-2</v>
      </c>
      <c r="AC134">
        <v>0</v>
      </c>
      <c r="AD134">
        <v>0</v>
      </c>
    </row>
    <row r="135" spans="4:30" x14ac:dyDescent="0.2">
      <c r="D135" t="str">
        <f>IF(ISERROR(VLOOKUP("ICE."&amp;$B135&amp;"."&amp;$A135,AEC!records,D$1,FALSE)),"",VLOOKUP("ICE."&amp;$B135&amp;"."&amp;$A135,AEC!records,D$1,FALSE))</f>
        <v/>
      </c>
      <c r="E135" t="str">
        <f>IF(ISERROR(VLOOKUP("ICE."&amp;$B135&amp;"."&amp;$A135,AEC!records,E$1,FALSE)),"",VLOOKUP("ICE."&amp;$B135&amp;"."&amp;$A135,AEC!records,E$1,FALSE))</f>
        <v/>
      </c>
      <c r="F135" t="str">
        <f>IF(ISERROR(VLOOKUP("ICE."&amp;$B135&amp;"."&amp;$A135,AEC!records,F$1,FALSE)),"",VLOOKUP("ICE."&amp;$B135&amp;"."&amp;$A135,AEC!records,F$1,FALSE))</f>
        <v/>
      </c>
      <c r="H135" t="str">
        <f>IF(ISERROR(VLOOKUP("ICE."&amp;$B135&amp;"."&amp;$A135,DGD!records,H$1,FALSE)),"",VLOOKUP("ICE."&amp;$B135&amp;"."&amp;$A135,DGD!records,H$1,FALSE))</f>
        <v/>
      </c>
      <c r="I135" t="str">
        <f>IF(ISERROR(VLOOKUP("ICE."&amp;$B135&amp;"."&amp;$A135,DGD!records,I$1,FALSE)),"",VLOOKUP("ICE."&amp;$B135&amp;"."&amp;$A135,DGD!records,I$1,FALSE))</f>
        <v/>
      </c>
      <c r="J135" t="str">
        <f>IF(ISERROR(VLOOKUP("ICE."&amp;$B135&amp;"."&amp;$A135,DGD!records,J$1,FALSE)),"",VLOOKUP("ICE."&amp;$B135&amp;"."&amp;$A135,DGD!records,J$1,FALSE))</f>
        <v/>
      </c>
      <c r="L135" t="str">
        <f>IF(ISERROR(VLOOKUP("ICE."&amp;$B135&amp;"."&amp;$A135,NWR!records,L$1,FALSE)),"",VLOOKUP("ICE."&amp;$B135&amp;"."&amp;$A135,NWR!records,L$1,FALSE))</f>
        <v/>
      </c>
      <c r="M135" t="str">
        <f>IF(ISERROR(VLOOKUP("ICE."&amp;$B135&amp;"."&amp;$A135,NWR!records,M$1,FALSE)),"",VLOOKUP("ICE."&amp;$B135&amp;"."&amp;$A135,NWR!records,M$1,FALSE))</f>
        <v/>
      </c>
      <c r="N135" t="str">
        <f>IF(ISERROR(VLOOKUP("ICE."&amp;$B135&amp;"."&amp;$A135,NWR!records,N$1,FALSE)),"",VLOOKUP("ICE."&amp;$B135&amp;"."&amp;$A135,NWR!records,N$1,FALSE))</f>
        <v/>
      </c>
      <c r="P135" t="str">
        <f>IF(ISERROR(VLOOKUP("ICE."&amp;$B135&amp;"."&amp;$A135,PGE!records,P$1,FALSE)),"",VLOOKUP("ICE."&amp;$B135&amp;"."&amp;$A135,PGE!records,P$1,FALSE))</f>
        <v/>
      </c>
      <c r="Q135" t="str">
        <f>IF(ISERROR(VLOOKUP("ICE."&amp;$B135&amp;"."&amp;$A135,PGE!records,Q$1,FALSE)),"",VLOOKUP("ICE."&amp;$B135&amp;"."&amp;$A135,PGE!records,Q$1,FALSE))</f>
        <v/>
      </c>
      <c r="R135" t="str">
        <f>IF(ISERROR(VLOOKUP("ICE."&amp;$B135&amp;"."&amp;$A135,PGE!records,R$1,FALSE)),"",VLOOKUP("ICE."&amp;$B135&amp;"."&amp;$A135,PGE!records,R$1,FALSE))</f>
        <v/>
      </c>
      <c r="T135">
        <v>-0.40500000000000003</v>
      </c>
      <c r="U135">
        <v>0</v>
      </c>
      <c r="V135">
        <v>0</v>
      </c>
      <c r="X135" t="str">
        <f>IF(ISERROR(VLOOKUP("ICE."&amp;$B135&amp;"."&amp;$A135,WAH!records,X$1,FALSE)),"",VLOOKUP("ICE."&amp;$B135&amp;"."&amp;$A135,WAH!records,X$1,FALSE))</f>
        <v/>
      </c>
      <c r="Y135" t="str">
        <f>IF(ISERROR(VLOOKUP("ICE."&amp;$B135&amp;"."&amp;$A135,WAH!records,Y$1,FALSE)),"",VLOOKUP("ICE."&amp;$B135&amp;"."&amp;$A135,WAH!records,Y$1,FALSE))</f>
        <v/>
      </c>
      <c r="Z135" t="str">
        <f>IF(ISERROR(VLOOKUP("ICE."&amp;$B135&amp;"."&amp;$A135,WAH!records,Z$1,FALSE)),"",VLOOKUP("ICE."&amp;$B135&amp;"."&amp;$A135,WAH!records,Z$1,FALSE))</f>
        <v/>
      </c>
      <c r="AB135" t="str">
        <f>IF(ISERROR(VLOOKUP("ICE."&amp;$B135&amp;"."&amp;$A135,HSC!records,AB$1,FALSE)),"",VLOOKUP("ICE."&amp;$B135&amp;"."&amp;$A135,HSC!records,AB$1,FALSE))</f>
        <v/>
      </c>
      <c r="AC135" t="str">
        <f>IF(ISERROR(VLOOKUP("ICE."&amp;$B135&amp;"."&amp;$A135,HSC!records,AC$1,FALSE)),"",VLOOKUP("ICE."&amp;$B135&amp;"."&amp;$A135,HSC!records,AC$1,FALSE))</f>
        <v/>
      </c>
      <c r="AD135" t="str">
        <f>IF(ISERROR(VLOOKUP("ICE."&amp;$B135&amp;"."&amp;$A135,HSC!records,AD$1,FALSE)),"",VLOOKUP("ICE."&amp;$B135&amp;"."&amp;$A135,HSC!records,AD$1,FALSE))</f>
        <v/>
      </c>
    </row>
    <row r="136" spans="4:30" x14ac:dyDescent="0.2">
      <c r="D136" t="str">
        <f>IF(ISERROR(VLOOKUP("ICE."&amp;$B136&amp;"."&amp;$A136,AEC!records,D$1,FALSE)),"",VLOOKUP("ICE."&amp;$B136&amp;"."&amp;$A136,AEC!records,D$1,FALSE))</f>
        <v/>
      </c>
      <c r="E136" t="str">
        <f>IF(ISERROR(VLOOKUP("ICE."&amp;$B136&amp;"."&amp;$A136,AEC!records,E$1,FALSE)),"",VLOOKUP("ICE."&amp;$B136&amp;"."&amp;$A136,AEC!records,E$1,FALSE))</f>
        <v/>
      </c>
      <c r="F136" t="str">
        <f>IF(ISERROR(VLOOKUP("ICE."&amp;$B136&amp;"."&amp;$A136,AEC!records,F$1,FALSE)),"",VLOOKUP("ICE."&amp;$B136&amp;"."&amp;$A136,AEC!records,F$1,FALSE))</f>
        <v/>
      </c>
      <c r="H136" t="str">
        <f>IF(ISERROR(VLOOKUP("ICE."&amp;$B136&amp;"."&amp;$A136,DGD!records,H$1,FALSE)),"",VLOOKUP("ICE."&amp;$B136&amp;"."&amp;$A136,DGD!records,H$1,FALSE))</f>
        <v/>
      </c>
      <c r="I136" t="str">
        <f>IF(ISERROR(VLOOKUP("ICE."&amp;$B136&amp;"."&amp;$A136,DGD!records,I$1,FALSE)),"",VLOOKUP("ICE."&amp;$B136&amp;"."&amp;$A136,DGD!records,I$1,FALSE))</f>
        <v/>
      </c>
      <c r="J136" t="str">
        <f>IF(ISERROR(VLOOKUP("ICE."&amp;$B136&amp;"."&amp;$A136,DGD!records,J$1,FALSE)),"",VLOOKUP("ICE."&amp;$B136&amp;"."&amp;$A136,DGD!records,J$1,FALSE))</f>
        <v/>
      </c>
      <c r="L136" t="str">
        <f>IF(ISERROR(VLOOKUP("ICE."&amp;$B136&amp;"."&amp;$A136,NWR!records,L$1,FALSE)),"",VLOOKUP("ICE."&amp;$B136&amp;"."&amp;$A136,NWR!records,L$1,FALSE))</f>
        <v/>
      </c>
      <c r="M136" t="str">
        <f>IF(ISERROR(VLOOKUP("ICE."&amp;$B136&amp;"."&amp;$A136,NWR!records,M$1,FALSE)),"",VLOOKUP("ICE."&amp;$B136&amp;"."&amp;$A136,NWR!records,M$1,FALSE))</f>
        <v/>
      </c>
      <c r="N136" t="str">
        <f>IF(ISERROR(VLOOKUP("ICE."&amp;$B136&amp;"."&amp;$A136,NWR!records,N$1,FALSE)),"",VLOOKUP("ICE."&amp;$B136&amp;"."&amp;$A136,NWR!records,N$1,FALSE))</f>
        <v/>
      </c>
      <c r="P136" t="str">
        <f>IF(ISERROR(VLOOKUP("ICE."&amp;$B136&amp;"."&amp;$A136,PGE!records,P$1,FALSE)),"",VLOOKUP("ICE."&amp;$B136&amp;"."&amp;$A136,PGE!records,P$1,FALSE))</f>
        <v/>
      </c>
      <c r="Q136" t="str">
        <f>IF(ISERROR(VLOOKUP("ICE."&amp;$B136&amp;"."&amp;$A136,PGE!records,Q$1,FALSE)),"",VLOOKUP("ICE."&amp;$B136&amp;"."&amp;$A136,PGE!records,Q$1,FALSE))</f>
        <v/>
      </c>
      <c r="R136" t="str">
        <f>IF(ISERROR(VLOOKUP("ICE."&amp;$B136&amp;"."&amp;$A136,PGE!records,R$1,FALSE)),"",VLOOKUP("ICE."&amp;$B136&amp;"."&amp;$A136,PGE!records,R$1,FALSE))</f>
        <v/>
      </c>
      <c r="T136">
        <v>-0.39750000000000002</v>
      </c>
      <c r="U136">
        <v>0</v>
      </c>
      <c r="V136">
        <v>0</v>
      </c>
      <c r="X136" t="str">
        <f>IF(ISERROR(VLOOKUP("ICE."&amp;$B136&amp;"."&amp;$A136,WAH!records,X$1,FALSE)),"",VLOOKUP("ICE."&amp;$B136&amp;"."&amp;$A136,WAH!records,X$1,FALSE))</f>
        <v/>
      </c>
      <c r="Y136" t="str">
        <f>IF(ISERROR(VLOOKUP("ICE."&amp;$B136&amp;"."&amp;$A136,WAH!records,Y$1,FALSE)),"",VLOOKUP("ICE."&amp;$B136&amp;"."&amp;$A136,WAH!records,Y$1,FALSE))</f>
        <v/>
      </c>
      <c r="Z136" t="str">
        <f>IF(ISERROR(VLOOKUP("ICE."&amp;$B136&amp;"."&amp;$A136,WAH!records,Z$1,FALSE)),"",VLOOKUP("ICE."&amp;$B136&amp;"."&amp;$A136,WAH!records,Z$1,FALSE))</f>
        <v/>
      </c>
      <c r="AB136" t="str">
        <f>IF(ISERROR(VLOOKUP("ICE."&amp;$B136&amp;"."&amp;$A136,HSC!records,AB$1,FALSE)),"",VLOOKUP("ICE."&amp;$B136&amp;"."&amp;$A136,HSC!records,AB$1,FALSE))</f>
        <v/>
      </c>
      <c r="AC136" t="str">
        <f>IF(ISERROR(VLOOKUP("ICE."&amp;$B136&amp;"."&amp;$A136,HSC!records,AC$1,FALSE)),"",VLOOKUP("ICE."&amp;$B136&amp;"."&amp;$A136,HSC!records,AC$1,FALSE))</f>
        <v/>
      </c>
      <c r="AD136" t="str">
        <f>IF(ISERROR(VLOOKUP("ICE."&amp;$B136&amp;"."&amp;$A136,HSC!records,AD$1,FALSE)),"",VLOOKUP("ICE."&amp;$B136&amp;"."&amp;$A136,HSC!records,AD$1,FALSE))</f>
        <v/>
      </c>
    </row>
    <row r="137" spans="4:30" x14ac:dyDescent="0.2">
      <c r="D137" t="str">
        <f>IF(ISERROR(VLOOKUP("ICE."&amp;$B137&amp;"."&amp;$A137,AEC!records,D$1,FALSE)),"",VLOOKUP("ICE."&amp;$B137&amp;"."&amp;$A137,AEC!records,D$1,FALSE))</f>
        <v/>
      </c>
      <c r="E137" t="str">
        <f>IF(ISERROR(VLOOKUP("ICE."&amp;$B137&amp;"."&amp;$A137,AEC!records,E$1,FALSE)),"",VLOOKUP("ICE."&amp;$B137&amp;"."&amp;$A137,AEC!records,E$1,FALSE))</f>
        <v/>
      </c>
      <c r="F137" t="str">
        <f>IF(ISERROR(VLOOKUP("ICE."&amp;$B137&amp;"."&amp;$A137,AEC!records,F$1,FALSE)),"",VLOOKUP("ICE."&amp;$B137&amp;"."&amp;$A137,AEC!records,F$1,FALSE))</f>
        <v/>
      </c>
      <c r="H137" t="str">
        <f>IF(ISERROR(VLOOKUP("ICE."&amp;$B137&amp;"."&amp;$A137,DGD!records,H$1,FALSE)),"",VLOOKUP("ICE."&amp;$B137&amp;"."&amp;$A137,DGD!records,H$1,FALSE))</f>
        <v/>
      </c>
      <c r="I137" t="str">
        <f>IF(ISERROR(VLOOKUP("ICE."&amp;$B137&amp;"."&amp;$A137,DGD!records,I$1,FALSE)),"",VLOOKUP("ICE."&amp;$B137&amp;"."&amp;$A137,DGD!records,I$1,FALSE))</f>
        <v/>
      </c>
      <c r="J137" t="str">
        <f>IF(ISERROR(VLOOKUP("ICE."&amp;$B137&amp;"."&amp;$A137,DGD!records,J$1,FALSE)),"",VLOOKUP("ICE."&amp;$B137&amp;"."&amp;$A137,DGD!records,J$1,FALSE))</f>
        <v/>
      </c>
      <c r="L137" t="str">
        <f>IF(ISERROR(VLOOKUP("ICE."&amp;$B137&amp;"."&amp;$A137,NWR!records,L$1,FALSE)),"",VLOOKUP("ICE."&amp;$B137&amp;"."&amp;$A137,NWR!records,L$1,FALSE))</f>
        <v/>
      </c>
      <c r="M137" t="str">
        <f>IF(ISERROR(VLOOKUP("ICE."&amp;$B137&amp;"."&amp;$A137,NWR!records,M$1,FALSE)),"",VLOOKUP("ICE."&amp;$B137&amp;"."&amp;$A137,NWR!records,M$1,FALSE))</f>
        <v/>
      </c>
      <c r="N137" t="str">
        <f>IF(ISERROR(VLOOKUP("ICE."&amp;$B137&amp;"."&amp;$A137,NWR!records,N$1,FALSE)),"",VLOOKUP("ICE."&amp;$B137&amp;"."&amp;$A137,NWR!records,N$1,FALSE))</f>
        <v/>
      </c>
      <c r="P137" t="str">
        <f>IF(ISERROR(VLOOKUP("ICE."&amp;$B137&amp;"."&amp;$A137,PGE!records,P$1,FALSE)),"",VLOOKUP("ICE."&amp;$B137&amp;"."&amp;$A137,PGE!records,P$1,FALSE))</f>
        <v/>
      </c>
      <c r="Q137" t="str">
        <f>IF(ISERROR(VLOOKUP("ICE."&amp;$B137&amp;"."&amp;$A137,PGE!records,Q$1,FALSE)),"",VLOOKUP("ICE."&amp;$B137&amp;"."&amp;$A137,PGE!records,Q$1,FALSE))</f>
        <v/>
      </c>
      <c r="R137" t="str">
        <f>IF(ISERROR(VLOOKUP("ICE."&amp;$B137&amp;"."&amp;$A137,PGE!records,R$1,FALSE)),"",VLOOKUP("ICE."&amp;$B137&amp;"."&amp;$A137,PGE!records,R$1,FALSE))</f>
        <v/>
      </c>
      <c r="T137">
        <v>-0.27</v>
      </c>
      <c r="U137">
        <v>0</v>
      </c>
      <c r="V137">
        <v>0</v>
      </c>
      <c r="X137" t="str">
        <f>IF(ISERROR(VLOOKUP("ICE."&amp;$B137&amp;"."&amp;$A137,WAH!records,X$1,FALSE)),"",VLOOKUP("ICE."&amp;$B137&amp;"."&amp;$A137,WAH!records,X$1,FALSE))</f>
        <v/>
      </c>
      <c r="Y137" t="str">
        <f>IF(ISERROR(VLOOKUP("ICE."&amp;$B137&amp;"."&amp;$A137,WAH!records,Y$1,FALSE)),"",VLOOKUP("ICE."&amp;$B137&amp;"."&amp;$A137,WAH!records,Y$1,FALSE))</f>
        <v/>
      </c>
      <c r="Z137" t="str">
        <f>IF(ISERROR(VLOOKUP("ICE."&amp;$B137&amp;"."&amp;$A137,WAH!records,Z$1,FALSE)),"",VLOOKUP("ICE."&amp;$B137&amp;"."&amp;$A137,WAH!records,Z$1,FALSE))</f>
        <v/>
      </c>
      <c r="AB137" t="str">
        <f>IF(ISERROR(VLOOKUP("ICE."&amp;$B137&amp;"."&amp;$A137,HSC!records,AB$1,FALSE)),"",VLOOKUP("ICE."&amp;$B137&amp;"."&amp;$A137,HSC!records,AB$1,FALSE))</f>
        <v/>
      </c>
      <c r="AC137" t="str">
        <f>IF(ISERROR(VLOOKUP("ICE."&amp;$B137&amp;"."&amp;$A137,HSC!records,AC$1,FALSE)),"",VLOOKUP("ICE."&amp;$B137&amp;"."&amp;$A137,HSC!records,AC$1,FALSE))</f>
        <v/>
      </c>
      <c r="AD137" t="str">
        <f>IF(ISERROR(VLOOKUP("ICE."&amp;$B137&amp;"."&amp;$A137,HSC!records,AD$1,FALSE)),"",VLOOKUP("ICE."&amp;$B137&amp;"."&amp;$A137,HSC!records,AD$1,FALSE))</f>
        <v/>
      </c>
    </row>
    <row r="138" spans="4:30" x14ac:dyDescent="0.2">
      <c r="T138">
        <v>-0.255</v>
      </c>
      <c r="U138">
        <v>0</v>
      </c>
      <c r="V138">
        <v>0</v>
      </c>
    </row>
    <row r="139" spans="4:30" x14ac:dyDescent="0.2">
      <c r="T139">
        <v>-0.34749999999999998</v>
      </c>
      <c r="U139">
        <v>0</v>
      </c>
      <c r="V139">
        <v>0</v>
      </c>
    </row>
    <row r="140" spans="4:30" x14ac:dyDescent="0.2">
      <c r="T140">
        <v>-0.40250000000000002</v>
      </c>
      <c r="U140">
        <v>0</v>
      </c>
      <c r="V140">
        <v>0</v>
      </c>
    </row>
    <row r="141" spans="4:30" x14ac:dyDescent="0.2">
      <c r="T141">
        <v>-0.22750000000000001</v>
      </c>
      <c r="U141">
        <v>0</v>
      </c>
      <c r="V141">
        <v>0</v>
      </c>
    </row>
    <row r="142" spans="4:30" x14ac:dyDescent="0.2">
      <c r="T142">
        <v>-9.7500000000000003E-2</v>
      </c>
      <c r="U142">
        <v>0</v>
      </c>
      <c r="V142">
        <v>0</v>
      </c>
    </row>
    <row r="143" spans="4:30" x14ac:dyDescent="0.2">
      <c r="T143">
        <v>-0.155</v>
      </c>
      <c r="U143">
        <v>0</v>
      </c>
      <c r="V143">
        <v>0</v>
      </c>
    </row>
    <row r="144" spans="4:30" x14ac:dyDescent="0.2">
      <c r="T144">
        <v>-0.17249999999999999</v>
      </c>
      <c r="U144">
        <v>0</v>
      </c>
      <c r="V144">
        <v>0</v>
      </c>
    </row>
    <row r="145" spans="20:22" customFormat="1" x14ac:dyDescent="0.2">
      <c r="T145">
        <v>-0.23250000000000001</v>
      </c>
      <c r="U145">
        <v>0</v>
      </c>
      <c r="V145">
        <v>0</v>
      </c>
    </row>
    <row r="146" spans="20:22" customFormat="1" x14ac:dyDescent="0.2">
      <c r="T146">
        <v>-0.42749999999999999</v>
      </c>
      <c r="U146">
        <v>0</v>
      </c>
      <c r="V146">
        <v>0</v>
      </c>
    </row>
    <row r="147" spans="20:22" customFormat="1" x14ac:dyDescent="0.2">
      <c r="T147">
        <v>-0.42</v>
      </c>
      <c r="U147">
        <v>0</v>
      </c>
      <c r="V147">
        <v>0</v>
      </c>
    </row>
    <row r="148" spans="20:22" customFormat="1" x14ac:dyDescent="0.2">
      <c r="T148">
        <v>-0.41249999999999998</v>
      </c>
      <c r="U148">
        <v>0</v>
      </c>
      <c r="V148">
        <v>0</v>
      </c>
    </row>
    <row r="149" spans="20:22" customFormat="1" x14ac:dyDescent="0.2">
      <c r="T149">
        <v>-0.28499999999999998</v>
      </c>
      <c r="U149">
        <v>0</v>
      </c>
      <c r="V149">
        <v>0</v>
      </c>
    </row>
    <row r="150" spans="20:22" customFormat="1" x14ac:dyDescent="0.2">
      <c r="T150">
        <v>-0.27</v>
      </c>
      <c r="U150">
        <v>0</v>
      </c>
      <c r="V150">
        <v>0</v>
      </c>
    </row>
    <row r="151" spans="20:22" customFormat="1" x14ac:dyDescent="0.2">
      <c r="T151">
        <v>-0.36249999999999999</v>
      </c>
      <c r="U151">
        <v>0</v>
      </c>
      <c r="V151">
        <v>0</v>
      </c>
    </row>
    <row r="152" spans="20:22" customFormat="1" x14ac:dyDescent="0.2">
      <c r="T152">
        <v>-0.41749999999999998</v>
      </c>
      <c r="U152">
        <v>0</v>
      </c>
      <c r="V152">
        <v>0</v>
      </c>
    </row>
    <row r="153" spans="20:22" customFormat="1" x14ac:dyDescent="0.2">
      <c r="T153">
        <v>-0.2175</v>
      </c>
      <c r="U153">
        <v>0</v>
      </c>
      <c r="V153">
        <v>0</v>
      </c>
    </row>
    <row r="154" spans="20:22" customFormat="1" x14ac:dyDescent="0.2">
      <c r="T154">
        <v>-8.7499999999999994E-2</v>
      </c>
      <c r="U154">
        <v>0</v>
      </c>
      <c r="V154">
        <v>0</v>
      </c>
    </row>
  </sheetData>
  <mergeCells count="9">
    <mergeCell ref="X14:Z14"/>
    <mergeCell ref="AB14:AD14"/>
    <mergeCell ref="D4:F4"/>
    <mergeCell ref="D13:J13"/>
    <mergeCell ref="D14:F14"/>
    <mergeCell ref="H14:J14"/>
    <mergeCell ref="L14:N14"/>
    <mergeCell ref="P14:R14"/>
    <mergeCell ref="T14:V14"/>
  </mergeCells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onthMapping"/>
  <dimension ref="A1:B12"/>
  <sheetViews>
    <sheetView workbookViewId="0">
      <selection sqref="A1:B12"/>
    </sheetView>
  </sheetViews>
  <sheetFormatPr defaultRowHeight="12.75" x14ac:dyDescent="0.2"/>
  <sheetData>
    <row r="1" spans="1:2" x14ac:dyDescent="0.2">
      <c r="A1" s="42">
        <v>1</v>
      </c>
      <c r="B1" s="42" t="s">
        <v>1006</v>
      </c>
    </row>
    <row r="2" spans="1:2" x14ac:dyDescent="0.2">
      <c r="A2" s="42">
        <v>2</v>
      </c>
      <c r="B2" s="42" t="s">
        <v>1007</v>
      </c>
    </row>
    <row r="3" spans="1:2" x14ac:dyDescent="0.2">
      <c r="A3" s="42">
        <v>3</v>
      </c>
      <c r="B3" s="42" t="s">
        <v>1008</v>
      </c>
    </row>
    <row r="4" spans="1:2" x14ac:dyDescent="0.2">
      <c r="A4" s="42">
        <v>4</v>
      </c>
      <c r="B4" s="42" t="s">
        <v>1009</v>
      </c>
    </row>
    <row r="5" spans="1:2" x14ac:dyDescent="0.2">
      <c r="A5" s="42">
        <v>5</v>
      </c>
      <c r="B5" s="42" t="s">
        <v>1010</v>
      </c>
    </row>
    <row r="6" spans="1:2" x14ac:dyDescent="0.2">
      <c r="A6" s="42">
        <v>6</v>
      </c>
      <c r="B6" s="42" t="s">
        <v>1011</v>
      </c>
    </row>
    <row r="7" spans="1:2" x14ac:dyDescent="0.2">
      <c r="A7" s="42">
        <v>7</v>
      </c>
      <c r="B7" s="42" t="s">
        <v>1012</v>
      </c>
    </row>
    <row r="8" spans="1:2" x14ac:dyDescent="0.2">
      <c r="A8" s="42">
        <v>8</v>
      </c>
      <c r="B8" s="42" t="s">
        <v>1013</v>
      </c>
    </row>
    <row r="9" spans="1:2" x14ac:dyDescent="0.2">
      <c r="A9" s="42">
        <v>9</v>
      </c>
      <c r="B9" s="42" t="s">
        <v>1014</v>
      </c>
    </row>
    <row r="10" spans="1:2" x14ac:dyDescent="0.2">
      <c r="A10" s="42">
        <v>10</v>
      </c>
      <c r="B10" s="42" t="s">
        <v>1015</v>
      </c>
    </row>
    <row r="11" spans="1:2" x14ac:dyDescent="0.2">
      <c r="A11" s="42">
        <v>11</v>
      </c>
      <c r="B11" s="42" t="s">
        <v>1016</v>
      </c>
    </row>
    <row r="12" spans="1:2" x14ac:dyDescent="0.2">
      <c r="A12" s="42">
        <v>12</v>
      </c>
      <c r="B12" s="42" t="s">
        <v>1017</v>
      </c>
    </row>
  </sheetData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EC"/>
  <dimension ref="A1:T116"/>
  <sheetViews>
    <sheetView topLeftCell="C1" workbookViewId="0">
      <selection activeCell="M1" sqref="M1:M65536"/>
    </sheetView>
  </sheetViews>
  <sheetFormatPr defaultRowHeight="12.75" x14ac:dyDescent="0.2"/>
  <cols>
    <col min="1" max="1" width="11.140625" bestFit="1" customWidth="1"/>
    <col min="2" max="2" width="8.5703125" bestFit="1" customWidth="1"/>
    <col min="3" max="3" width="5.7109375" bestFit="1" customWidth="1"/>
    <col min="4" max="4" width="5.140625" bestFit="1" customWidth="1"/>
    <col min="5" max="5" width="7.7109375" bestFit="1" customWidth="1"/>
    <col min="6" max="9" width="7.5703125" bestFit="1" customWidth="1"/>
    <col min="10" max="10" width="10.85546875" bestFit="1" customWidth="1"/>
    <col min="11" max="12" width="8" bestFit="1" customWidth="1"/>
    <col min="13" max="13" width="8.7109375" bestFit="1" customWidth="1"/>
    <col min="14" max="14" width="10.5703125" bestFit="1" customWidth="1"/>
    <col min="15" max="16" width="4.5703125" bestFit="1" customWidth="1"/>
    <col min="17" max="17" width="9.5703125" bestFit="1" customWidth="1"/>
    <col min="18" max="18" width="11.140625" bestFit="1" customWidth="1"/>
  </cols>
  <sheetData>
    <row r="1" spans="1:20" s="1" customFormat="1" x14ac:dyDescent="0.2">
      <c r="A1" s="1" t="s">
        <v>1404</v>
      </c>
      <c r="B1" s="1" t="s">
        <v>1402</v>
      </c>
      <c r="C1" s="1" t="s">
        <v>974</v>
      </c>
      <c r="D1" s="1" t="s">
        <v>980</v>
      </c>
      <c r="E1" s="50" t="s">
        <v>1364</v>
      </c>
      <c r="F1" s="45" t="s">
        <v>1365</v>
      </c>
      <c r="G1" s="1" t="s">
        <v>1366</v>
      </c>
      <c r="H1" s="1" t="s">
        <v>1367</v>
      </c>
      <c r="I1" s="1" t="s">
        <v>1368</v>
      </c>
      <c r="J1" s="1" t="s">
        <v>978</v>
      </c>
      <c r="K1" s="1" t="s">
        <v>1369</v>
      </c>
      <c r="L1" s="1" t="s">
        <v>975</v>
      </c>
      <c r="M1" s="1" t="s">
        <v>979</v>
      </c>
      <c r="N1" s="1" t="s">
        <v>969</v>
      </c>
      <c r="O1" s="1" t="s">
        <v>1444</v>
      </c>
      <c r="P1" s="1" t="s">
        <v>1445</v>
      </c>
      <c r="Q1" s="1" t="s">
        <v>976</v>
      </c>
      <c r="R1" s="1" t="s">
        <v>1510</v>
      </c>
      <c r="T1" s="45">
        <v>43236</v>
      </c>
    </row>
    <row r="2" spans="1:20" x14ac:dyDescent="0.2">
      <c r="A2" t="str">
        <f>B2&amp;"."&amp;D2&amp;"."&amp;C2</f>
        <v>ICE.2018.6</v>
      </c>
      <c r="B2" t="s">
        <v>1403</v>
      </c>
      <c r="C2" t="str">
        <f>TEXT(DATEVALUE("1"&amp;E2),"M")</f>
        <v>6</v>
      </c>
      <c r="D2" t="str">
        <f>TEXT(DATEVALUE("1"&amp;E2),"YYYY")</f>
        <v>2018</v>
      </c>
      <c r="E2" s="51" t="s">
        <v>1371</v>
      </c>
      <c r="F2">
        <v>-2.31</v>
      </c>
      <c r="G2">
        <v>-2.2749999999999999</v>
      </c>
      <c r="H2">
        <v>-2.31</v>
      </c>
      <c r="I2">
        <v>-2.29</v>
      </c>
      <c r="J2">
        <v>-2.2749999999999999</v>
      </c>
      <c r="K2">
        <v>1.4999999999999999E-2</v>
      </c>
      <c r="L2">
        <v>1350</v>
      </c>
      <c r="M2">
        <v>32051</v>
      </c>
      <c r="N2">
        <v>-270</v>
      </c>
      <c r="O2">
        <v>0</v>
      </c>
      <c r="P2">
        <v>0</v>
      </c>
      <c r="Q2">
        <v>0</v>
      </c>
      <c r="R2">
        <v>180</v>
      </c>
    </row>
    <row r="3" spans="1:20" x14ac:dyDescent="0.2">
      <c r="A3" t="str">
        <f t="shared" ref="A3:A66" si="0">B3&amp;"."&amp;D3&amp;"."&amp;C3</f>
        <v>ICE.2018.7</v>
      </c>
      <c r="B3" t="s">
        <v>1403</v>
      </c>
      <c r="C3" t="str">
        <f t="shared" ref="C3:C66" si="1">TEXT(DATEVALUE("1"&amp;E3),"M")</f>
        <v>7</v>
      </c>
      <c r="D3" t="str">
        <f t="shared" ref="D3:D66" si="2">TEXT(DATEVALUE("1"&amp;E3),"YYYY")</f>
        <v>2018</v>
      </c>
      <c r="E3" s="51" t="s">
        <v>1372</v>
      </c>
      <c r="F3">
        <v>-2</v>
      </c>
      <c r="G3">
        <v>-1.95</v>
      </c>
      <c r="H3">
        <v>-2.02</v>
      </c>
      <c r="I3">
        <v>-2.02</v>
      </c>
      <c r="J3">
        <v>-1.9850000000000001</v>
      </c>
      <c r="K3">
        <v>4.4999999999999998E-2</v>
      </c>
      <c r="L3">
        <v>1829</v>
      </c>
      <c r="M3">
        <v>35825</v>
      </c>
      <c r="N3">
        <v>531</v>
      </c>
      <c r="O3">
        <v>0</v>
      </c>
      <c r="P3">
        <v>0</v>
      </c>
      <c r="Q3">
        <v>0</v>
      </c>
      <c r="R3">
        <v>124</v>
      </c>
    </row>
    <row r="4" spans="1:20" x14ac:dyDescent="0.2">
      <c r="A4" t="str">
        <f t="shared" si="0"/>
        <v>ICE.2018.8</v>
      </c>
      <c r="B4" t="s">
        <v>1403</v>
      </c>
      <c r="C4" t="str">
        <f t="shared" si="1"/>
        <v>8</v>
      </c>
      <c r="D4" t="str">
        <f t="shared" si="2"/>
        <v>2018</v>
      </c>
      <c r="E4" s="51" t="s">
        <v>1373</v>
      </c>
      <c r="F4">
        <v>-1.9</v>
      </c>
      <c r="G4">
        <v>-1.85</v>
      </c>
      <c r="H4">
        <v>-1.92</v>
      </c>
      <c r="I4">
        <v>-1.92</v>
      </c>
      <c r="J4">
        <v>-1.895</v>
      </c>
      <c r="K4">
        <v>4.4999999999999998E-2</v>
      </c>
      <c r="L4">
        <v>1798</v>
      </c>
      <c r="M4">
        <v>35526</v>
      </c>
      <c r="N4">
        <v>709</v>
      </c>
      <c r="O4">
        <v>0</v>
      </c>
      <c r="P4">
        <v>0</v>
      </c>
      <c r="Q4">
        <v>31</v>
      </c>
      <c r="R4">
        <v>217</v>
      </c>
    </row>
    <row r="5" spans="1:20" x14ac:dyDescent="0.2">
      <c r="A5" t="str">
        <f t="shared" si="0"/>
        <v>ICE.2018.9</v>
      </c>
      <c r="B5" t="s">
        <v>1403</v>
      </c>
      <c r="C5" t="str">
        <f t="shared" si="1"/>
        <v>9</v>
      </c>
      <c r="D5" t="str">
        <f t="shared" si="2"/>
        <v>2018</v>
      </c>
      <c r="E5" s="51" t="s">
        <v>1374</v>
      </c>
      <c r="F5">
        <v>-1.83</v>
      </c>
      <c r="G5">
        <v>-1.81</v>
      </c>
      <c r="H5">
        <v>-1.83</v>
      </c>
      <c r="I5">
        <v>-1.83</v>
      </c>
      <c r="J5">
        <v>-1.8474999999999999</v>
      </c>
      <c r="K5">
        <v>2.2499999999999999E-2</v>
      </c>
      <c r="L5">
        <v>1530</v>
      </c>
      <c r="M5">
        <v>34029</v>
      </c>
      <c r="N5">
        <v>120</v>
      </c>
      <c r="O5">
        <v>0</v>
      </c>
      <c r="P5">
        <v>0</v>
      </c>
      <c r="Q5">
        <v>0</v>
      </c>
      <c r="R5">
        <v>60</v>
      </c>
    </row>
    <row r="6" spans="1:20" x14ac:dyDescent="0.2">
      <c r="A6" t="str">
        <f t="shared" si="0"/>
        <v>ICE.2018.10</v>
      </c>
      <c r="B6" t="s">
        <v>1403</v>
      </c>
      <c r="C6" t="str">
        <f t="shared" si="1"/>
        <v>10</v>
      </c>
      <c r="D6" t="str">
        <f t="shared" si="2"/>
        <v>2018</v>
      </c>
      <c r="E6" s="51" t="s">
        <v>1375</v>
      </c>
      <c r="F6">
        <v>-1.71</v>
      </c>
      <c r="G6">
        <v>-1.69</v>
      </c>
      <c r="H6">
        <v>-1.71</v>
      </c>
      <c r="I6">
        <v>-1.7050000000000001</v>
      </c>
      <c r="J6">
        <v>-1.71</v>
      </c>
      <c r="K6">
        <v>0.03</v>
      </c>
      <c r="L6">
        <v>1457</v>
      </c>
      <c r="M6">
        <v>35291</v>
      </c>
      <c r="N6">
        <v>713</v>
      </c>
      <c r="O6">
        <v>0</v>
      </c>
      <c r="P6">
        <v>0</v>
      </c>
      <c r="Q6">
        <v>0</v>
      </c>
      <c r="R6">
        <v>62</v>
      </c>
    </row>
    <row r="7" spans="1:20" x14ac:dyDescent="0.2">
      <c r="A7" t="str">
        <f t="shared" si="0"/>
        <v>ICE.2018.11</v>
      </c>
      <c r="B7" t="s">
        <v>1403</v>
      </c>
      <c r="C7" t="str">
        <f t="shared" si="1"/>
        <v>11</v>
      </c>
      <c r="D7" t="str">
        <f t="shared" si="2"/>
        <v>2018</v>
      </c>
      <c r="E7" s="51" t="s">
        <v>1376</v>
      </c>
      <c r="F7">
        <v>-1.46</v>
      </c>
      <c r="G7">
        <v>-1.4550000000000001</v>
      </c>
      <c r="H7">
        <v>-1.46</v>
      </c>
      <c r="I7">
        <v>-1.4550000000000001</v>
      </c>
      <c r="J7">
        <v>-1.4550000000000001</v>
      </c>
      <c r="K7">
        <v>0.02</v>
      </c>
      <c r="L7">
        <v>810</v>
      </c>
      <c r="M7">
        <v>28764</v>
      </c>
      <c r="N7">
        <v>240</v>
      </c>
      <c r="O7">
        <v>0</v>
      </c>
      <c r="P7">
        <v>0</v>
      </c>
      <c r="Q7">
        <v>570</v>
      </c>
      <c r="R7">
        <v>30</v>
      </c>
    </row>
    <row r="8" spans="1:20" x14ac:dyDescent="0.2">
      <c r="A8" t="str">
        <f t="shared" si="0"/>
        <v>ICE.2018.12</v>
      </c>
      <c r="B8" t="s">
        <v>1403</v>
      </c>
      <c r="C8" t="str">
        <f t="shared" si="1"/>
        <v>12</v>
      </c>
      <c r="D8" t="str">
        <f t="shared" si="2"/>
        <v>2018</v>
      </c>
      <c r="E8" s="51" t="s">
        <v>1377</v>
      </c>
      <c r="F8">
        <v>-1.3975</v>
      </c>
      <c r="G8">
        <v>-1.3975</v>
      </c>
      <c r="H8">
        <v>-1.3975</v>
      </c>
      <c r="I8">
        <v>-1.3975</v>
      </c>
      <c r="J8">
        <v>-1.4025000000000001</v>
      </c>
      <c r="K8">
        <v>-7.4999999999999997E-3</v>
      </c>
      <c r="L8">
        <v>837</v>
      </c>
      <c r="M8">
        <v>26456</v>
      </c>
      <c r="N8">
        <v>403</v>
      </c>
      <c r="O8">
        <v>0</v>
      </c>
      <c r="P8">
        <v>0</v>
      </c>
      <c r="Q8">
        <v>403</v>
      </c>
      <c r="R8">
        <v>0</v>
      </c>
    </row>
    <row r="9" spans="1:20" x14ac:dyDescent="0.2">
      <c r="A9" t="str">
        <f t="shared" si="0"/>
        <v>ICE.2019.1</v>
      </c>
      <c r="B9" t="s">
        <v>1403</v>
      </c>
      <c r="C9" t="str">
        <f t="shared" si="1"/>
        <v>1</v>
      </c>
      <c r="D9" t="str">
        <f t="shared" si="2"/>
        <v>2019</v>
      </c>
      <c r="E9" s="51" t="s">
        <v>1378</v>
      </c>
      <c r="F9">
        <v>-1.4225000000000001</v>
      </c>
      <c r="G9">
        <v>-1.4225000000000001</v>
      </c>
      <c r="H9">
        <v>-1.4225000000000001</v>
      </c>
      <c r="I9">
        <v>-1.4225000000000001</v>
      </c>
      <c r="J9">
        <v>-1.4225000000000001</v>
      </c>
      <c r="K9">
        <v>0.01</v>
      </c>
      <c r="L9">
        <v>496</v>
      </c>
      <c r="M9">
        <v>25858</v>
      </c>
      <c r="N9">
        <v>354</v>
      </c>
      <c r="O9">
        <v>0</v>
      </c>
      <c r="P9">
        <v>0</v>
      </c>
      <c r="Q9">
        <v>403</v>
      </c>
      <c r="R9">
        <v>0</v>
      </c>
    </row>
    <row r="10" spans="1:20" x14ac:dyDescent="0.2">
      <c r="A10" t="str">
        <f t="shared" si="0"/>
        <v>ICE.2019.2</v>
      </c>
      <c r="B10" t="s">
        <v>1403</v>
      </c>
      <c r="C10" t="str">
        <f t="shared" si="1"/>
        <v>2</v>
      </c>
      <c r="D10" t="str">
        <f t="shared" si="2"/>
        <v>2019</v>
      </c>
      <c r="E10" s="51" t="s">
        <v>1379</v>
      </c>
      <c r="F10">
        <v>-1.4205000000000001</v>
      </c>
      <c r="G10">
        <v>-1.4039999999999999</v>
      </c>
      <c r="H10">
        <v>-1.4205000000000001</v>
      </c>
      <c r="I10">
        <v>-1.4039999999999999</v>
      </c>
      <c r="J10">
        <v>-1.405</v>
      </c>
      <c r="K10">
        <v>5.0000000000000001E-3</v>
      </c>
      <c r="L10">
        <v>644</v>
      </c>
      <c r="M10">
        <v>21052</v>
      </c>
      <c r="N10">
        <v>0</v>
      </c>
      <c r="O10">
        <v>0</v>
      </c>
      <c r="P10">
        <v>0</v>
      </c>
      <c r="Q10">
        <v>364</v>
      </c>
      <c r="R10">
        <v>0</v>
      </c>
    </row>
    <row r="11" spans="1:20" x14ac:dyDescent="0.2">
      <c r="A11" t="str">
        <f t="shared" si="0"/>
        <v>ICE.2019.3</v>
      </c>
      <c r="B11" t="s">
        <v>1403</v>
      </c>
      <c r="C11" t="str">
        <f t="shared" si="1"/>
        <v>3</v>
      </c>
      <c r="D11" t="str">
        <f t="shared" si="2"/>
        <v>2019</v>
      </c>
      <c r="E11" s="51" t="s">
        <v>1380</v>
      </c>
      <c r="F11">
        <v>-1.5004999999999999</v>
      </c>
      <c r="G11">
        <v>-1.4650000000000001</v>
      </c>
      <c r="H11">
        <v>-1.5004999999999999</v>
      </c>
      <c r="I11">
        <v>-1.4650000000000001</v>
      </c>
      <c r="J11">
        <v>-1.4750000000000001</v>
      </c>
      <c r="K11">
        <v>1.4999999999999999E-2</v>
      </c>
      <c r="L11">
        <v>620</v>
      </c>
      <c r="M11">
        <v>24354</v>
      </c>
      <c r="N11">
        <v>75</v>
      </c>
      <c r="O11">
        <v>0</v>
      </c>
      <c r="P11">
        <v>0</v>
      </c>
      <c r="Q11">
        <v>403</v>
      </c>
      <c r="R11">
        <v>124</v>
      </c>
    </row>
    <row r="12" spans="1:20" x14ac:dyDescent="0.2">
      <c r="A12" t="str">
        <f t="shared" si="0"/>
        <v>ICE.2019.4</v>
      </c>
      <c r="B12" t="s">
        <v>1403</v>
      </c>
      <c r="C12" t="str">
        <f t="shared" si="1"/>
        <v>4</v>
      </c>
      <c r="D12" t="str">
        <f t="shared" si="2"/>
        <v>2019</v>
      </c>
      <c r="E12" s="51" t="s">
        <v>1381</v>
      </c>
      <c r="J12">
        <v>-1.595</v>
      </c>
      <c r="K12">
        <v>7.4999999999999997E-3</v>
      </c>
      <c r="L12">
        <v>180</v>
      </c>
      <c r="M12">
        <v>15398</v>
      </c>
      <c r="N12">
        <v>-30</v>
      </c>
      <c r="O12">
        <v>0</v>
      </c>
      <c r="P12">
        <v>0</v>
      </c>
      <c r="Q12">
        <v>150</v>
      </c>
      <c r="R12">
        <v>0</v>
      </c>
    </row>
    <row r="13" spans="1:20" x14ac:dyDescent="0.2">
      <c r="A13" t="str">
        <f t="shared" si="0"/>
        <v>ICE.2019.5</v>
      </c>
      <c r="B13" t="s">
        <v>1403</v>
      </c>
      <c r="C13" t="str">
        <f t="shared" si="1"/>
        <v>5</v>
      </c>
      <c r="D13" t="str">
        <f t="shared" si="2"/>
        <v>2019</v>
      </c>
      <c r="E13" s="51" t="s">
        <v>1382</v>
      </c>
      <c r="F13">
        <v>-1.595</v>
      </c>
      <c r="G13">
        <v>-1.595</v>
      </c>
      <c r="H13">
        <v>-1.595</v>
      </c>
      <c r="I13">
        <v>-1.595</v>
      </c>
      <c r="J13">
        <v>-1.59</v>
      </c>
      <c r="K13">
        <v>0</v>
      </c>
      <c r="L13">
        <v>248</v>
      </c>
      <c r="M13">
        <v>15407</v>
      </c>
      <c r="N13">
        <v>-93</v>
      </c>
      <c r="O13">
        <v>0</v>
      </c>
      <c r="P13">
        <v>0</v>
      </c>
      <c r="Q13">
        <v>155</v>
      </c>
      <c r="R13">
        <v>0</v>
      </c>
    </row>
    <row r="14" spans="1:20" x14ac:dyDescent="0.2">
      <c r="A14" t="str">
        <f t="shared" si="0"/>
        <v>ICE.2019.6</v>
      </c>
      <c r="B14" t="s">
        <v>1403</v>
      </c>
      <c r="C14" t="str">
        <f t="shared" si="1"/>
        <v>6</v>
      </c>
      <c r="D14" t="str">
        <f t="shared" si="2"/>
        <v>2019</v>
      </c>
      <c r="E14" s="51" t="s">
        <v>1383</v>
      </c>
      <c r="J14">
        <v>-1.6025</v>
      </c>
      <c r="K14">
        <v>0</v>
      </c>
      <c r="L14">
        <v>180</v>
      </c>
      <c r="M14">
        <v>15128</v>
      </c>
      <c r="N14">
        <v>-30</v>
      </c>
      <c r="O14">
        <v>0</v>
      </c>
      <c r="P14">
        <v>0</v>
      </c>
      <c r="Q14">
        <v>150</v>
      </c>
      <c r="R14">
        <v>0</v>
      </c>
    </row>
    <row r="15" spans="1:20" x14ac:dyDescent="0.2">
      <c r="A15" t="str">
        <f t="shared" si="0"/>
        <v>ICE.2019.7</v>
      </c>
      <c r="B15" t="s">
        <v>1403</v>
      </c>
      <c r="C15" t="str">
        <f t="shared" si="1"/>
        <v>7</v>
      </c>
      <c r="D15" t="str">
        <f t="shared" si="2"/>
        <v>2019</v>
      </c>
      <c r="E15" s="51" t="s">
        <v>1384</v>
      </c>
      <c r="J15">
        <v>-1.61</v>
      </c>
      <c r="K15">
        <v>0</v>
      </c>
      <c r="L15">
        <v>155</v>
      </c>
      <c r="M15">
        <v>15345</v>
      </c>
      <c r="N15">
        <v>0</v>
      </c>
      <c r="O15">
        <v>0</v>
      </c>
      <c r="P15">
        <v>0</v>
      </c>
      <c r="Q15">
        <v>155</v>
      </c>
      <c r="R15">
        <v>0</v>
      </c>
    </row>
    <row r="16" spans="1:20" x14ac:dyDescent="0.2">
      <c r="A16" t="str">
        <f t="shared" si="0"/>
        <v>ICE.2019.8</v>
      </c>
      <c r="B16" t="s">
        <v>1403</v>
      </c>
      <c r="C16" t="str">
        <f t="shared" si="1"/>
        <v>8</v>
      </c>
      <c r="D16" t="str">
        <f t="shared" si="2"/>
        <v>2019</v>
      </c>
      <c r="E16" s="51" t="s">
        <v>1385</v>
      </c>
      <c r="J16">
        <v>-1.62</v>
      </c>
      <c r="K16">
        <v>0</v>
      </c>
      <c r="L16">
        <v>155</v>
      </c>
      <c r="M16">
        <v>15345</v>
      </c>
      <c r="N16">
        <v>0</v>
      </c>
      <c r="O16">
        <v>0</v>
      </c>
      <c r="P16">
        <v>0</v>
      </c>
      <c r="Q16">
        <v>155</v>
      </c>
      <c r="R16">
        <v>0</v>
      </c>
    </row>
    <row r="17" spans="1:18" x14ac:dyDescent="0.2">
      <c r="A17" t="str">
        <f t="shared" si="0"/>
        <v>ICE.2019.9</v>
      </c>
      <c r="B17" t="s">
        <v>1403</v>
      </c>
      <c r="C17" t="str">
        <f t="shared" si="1"/>
        <v>9</v>
      </c>
      <c r="D17" t="str">
        <f t="shared" si="2"/>
        <v>2019</v>
      </c>
      <c r="E17" s="51" t="s">
        <v>1386</v>
      </c>
      <c r="J17">
        <v>-1.6074999999999999</v>
      </c>
      <c r="K17">
        <v>0</v>
      </c>
      <c r="L17">
        <v>150</v>
      </c>
      <c r="M17">
        <v>14858</v>
      </c>
      <c r="N17">
        <v>0</v>
      </c>
      <c r="O17">
        <v>0</v>
      </c>
      <c r="P17">
        <v>0</v>
      </c>
      <c r="Q17">
        <v>150</v>
      </c>
      <c r="R17">
        <v>0</v>
      </c>
    </row>
    <row r="18" spans="1:18" x14ac:dyDescent="0.2">
      <c r="A18" t="str">
        <f t="shared" si="0"/>
        <v>ICE.2019.10</v>
      </c>
      <c r="B18" t="s">
        <v>1403</v>
      </c>
      <c r="C18" t="str">
        <f t="shared" si="1"/>
        <v>10</v>
      </c>
      <c r="D18" t="str">
        <f t="shared" si="2"/>
        <v>2019</v>
      </c>
      <c r="E18" s="51" t="s">
        <v>1387</v>
      </c>
      <c r="J18">
        <v>-1.58</v>
      </c>
      <c r="K18">
        <v>0</v>
      </c>
      <c r="L18">
        <v>155</v>
      </c>
      <c r="M18">
        <v>15500</v>
      </c>
      <c r="N18">
        <v>0</v>
      </c>
      <c r="O18">
        <v>0</v>
      </c>
      <c r="P18">
        <v>0</v>
      </c>
      <c r="Q18">
        <v>155</v>
      </c>
      <c r="R18">
        <v>0</v>
      </c>
    </row>
    <row r="19" spans="1:18" x14ac:dyDescent="0.2">
      <c r="A19" t="str">
        <f t="shared" si="0"/>
        <v>ICE.2019.11</v>
      </c>
      <c r="B19" t="s">
        <v>1403</v>
      </c>
      <c r="C19" t="str">
        <f t="shared" si="1"/>
        <v>11</v>
      </c>
      <c r="D19" t="str">
        <f t="shared" si="2"/>
        <v>2019</v>
      </c>
      <c r="E19" s="51" t="s">
        <v>1388</v>
      </c>
      <c r="J19">
        <v>-1.2775000000000001</v>
      </c>
      <c r="K19">
        <v>0</v>
      </c>
      <c r="L19">
        <v>202</v>
      </c>
      <c r="M19">
        <v>13244</v>
      </c>
      <c r="N19">
        <v>60</v>
      </c>
      <c r="O19">
        <v>0</v>
      </c>
      <c r="P19">
        <v>0</v>
      </c>
      <c r="Q19">
        <v>112</v>
      </c>
      <c r="R19">
        <v>0</v>
      </c>
    </row>
    <row r="20" spans="1:18" x14ac:dyDescent="0.2">
      <c r="A20" t="str">
        <f t="shared" si="0"/>
        <v>ICE.2019.12</v>
      </c>
      <c r="B20" t="s">
        <v>1403</v>
      </c>
      <c r="C20" t="str">
        <f t="shared" si="1"/>
        <v>12</v>
      </c>
      <c r="D20" t="str">
        <f t="shared" si="2"/>
        <v>2019</v>
      </c>
      <c r="E20" s="51" t="s">
        <v>1389</v>
      </c>
      <c r="J20">
        <v>-1.2875000000000001</v>
      </c>
      <c r="K20">
        <v>0</v>
      </c>
      <c r="L20">
        <v>208</v>
      </c>
      <c r="M20">
        <v>13633</v>
      </c>
      <c r="N20">
        <v>62</v>
      </c>
      <c r="O20">
        <v>0</v>
      </c>
      <c r="P20">
        <v>0</v>
      </c>
      <c r="Q20">
        <v>115</v>
      </c>
      <c r="R20">
        <v>0</v>
      </c>
    </row>
    <row r="21" spans="1:18" x14ac:dyDescent="0.2">
      <c r="A21" t="str">
        <f t="shared" si="0"/>
        <v>ICE.2020.1</v>
      </c>
      <c r="B21" t="s">
        <v>1403</v>
      </c>
      <c r="C21" t="str">
        <f t="shared" si="1"/>
        <v>1</v>
      </c>
      <c r="D21" t="str">
        <f t="shared" si="2"/>
        <v>2020</v>
      </c>
      <c r="E21" s="51" t="s">
        <v>1390</v>
      </c>
      <c r="J21">
        <v>-1.3525</v>
      </c>
      <c r="K21">
        <v>0</v>
      </c>
      <c r="L21">
        <v>239</v>
      </c>
      <c r="M21">
        <v>16074</v>
      </c>
      <c r="N21">
        <v>93</v>
      </c>
      <c r="O21">
        <v>0</v>
      </c>
      <c r="P21">
        <v>0</v>
      </c>
      <c r="Q21">
        <v>146</v>
      </c>
      <c r="R21">
        <v>0</v>
      </c>
    </row>
    <row r="22" spans="1:18" x14ac:dyDescent="0.2">
      <c r="A22" t="str">
        <f t="shared" si="0"/>
        <v>ICE.2020.2</v>
      </c>
      <c r="B22" t="s">
        <v>1403</v>
      </c>
      <c r="C22" t="str">
        <f t="shared" si="1"/>
        <v>2</v>
      </c>
      <c r="D22" t="str">
        <f t="shared" si="2"/>
        <v>2020</v>
      </c>
      <c r="E22" s="51" t="s">
        <v>1391</v>
      </c>
      <c r="J22">
        <v>-1.34</v>
      </c>
      <c r="K22">
        <v>0</v>
      </c>
      <c r="L22">
        <v>225</v>
      </c>
      <c r="M22">
        <v>15070</v>
      </c>
      <c r="N22">
        <v>87</v>
      </c>
      <c r="O22">
        <v>0</v>
      </c>
      <c r="P22">
        <v>0</v>
      </c>
      <c r="Q22">
        <v>138</v>
      </c>
      <c r="R22">
        <v>0</v>
      </c>
    </row>
    <row r="23" spans="1:18" x14ac:dyDescent="0.2">
      <c r="A23" t="str">
        <f t="shared" si="0"/>
        <v>ICE.2020.3</v>
      </c>
      <c r="B23" t="s">
        <v>1403</v>
      </c>
      <c r="C23" t="str">
        <f t="shared" si="1"/>
        <v>3</v>
      </c>
      <c r="D23" t="str">
        <f t="shared" si="2"/>
        <v>2020</v>
      </c>
      <c r="E23" s="51" t="s">
        <v>1392</v>
      </c>
      <c r="J23">
        <v>-1.3149999999999999</v>
      </c>
      <c r="K23">
        <v>0</v>
      </c>
      <c r="L23">
        <v>239</v>
      </c>
      <c r="M23">
        <v>16074</v>
      </c>
      <c r="N23">
        <v>93</v>
      </c>
      <c r="O23">
        <v>0</v>
      </c>
      <c r="P23">
        <v>0</v>
      </c>
      <c r="Q23">
        <v>146</v>
      </c>
      <c r="R23">
        <v>0</v>
      </c>
    </row>
    <row r="24" spans="1:18" x14ac:dyDescent="0.2">
      <c r="A24" t="str">
        <f t="shared" si="0"/>
        <v>ICE.2020.4</v>
      </c>
      <c r="B24" t="s">
        <v>1403</v>
      </c>
      <c r="C24" t="str">
        <f t="shared" si="1"/>
        <v>4</v>
      </c>
      <c r="D24" t="str">
        <f t="shared" si="2"/>
        <v>2020</v>
      </c>
      <c r="E24" s="51" t="s">
        <v>1393</v>
      </c>
      <c r="J24">
        <v>-1.5275000000000001</v>
      </c>
      <c r="K24">
        <v>0</v>
      </c>
      <c r="L24">
        <v>52</v>
      </c>
      <c r="M24">
        <v>13983</v>
      </c>
      <c r="N24">
        <v>30</v>
      </c>
      <c r="O24">
        <v>0</v>
      </c>
      <c r="P24">
        <v>0</v>
      </c>
      <c r="Q24">
        <v>52</v>
      </c>
      <c r="R24">
        <v>0</v>
      </c>
    </row>
    <row r="25" spans="1:18" x14ac:dyDescent="0.2">
      <c r="A25" t="str">
        <f t="shared" si="0"/>
        <v>ICE.2020.5</v>
      </c>
      <c r="B25" t="s">
        <v>1403</v>
      </c>
      <c r="C25" t="str">
        <f t="shared" si="1"/>
        <v>5</v>
      </c>
      <c r="D25" t="str">
        <f t="shared" si="2"/>
        <v>2020</v>
      </c>
      <c r="E25" s="51" t="s">
        <v>1394</v>
      </c>
      <c r="J25">
        <v>-1.5449999999999999</v>
      </c>
      <c r="K25">
        <v>0</v>
      </c>
      <c r="L25">
        <v>53</v>
      </c>
      <c r="M25">
        <v>14442</v>
      </c>
      <c r="N25">
        <v>31</v>
      </c>
      <c r="O25">
        <v>0</v>
      </c>
      <c r="P25">
        <v>0</v>
      </c>
      <c r="Q25">
        <v>53</v>
      </c>
      <c r="R25">
        <v>0</v>
      </c>
    </row>
    <row r="26" spans="1:18" x14ac:dyDescent="0.2">
      <c r="A26" t="str">
        <f t="shared" si="0"/>
        <v>ICE.2020.6</v>
      </c>
      <c r="B26" t="s">
        <v>1403</v>
      </c>
      <c r="C26" t="str">
        <f t="shared" si="1"/>
        <v>6</v>
      </c>
      <c r="D26" t="str">
        <f t="shared" si="2"/>
        <v>2020</v>
      </c>
      <c r="E26" s="51" t="s">
        <v>1395</v>
      </c>
      <c r="J26">
        <v>-1.5475000000000001</v>
      </c>
      <c r="K26">
        <v>0</v>
      </c>
      <c r="L26">
        <v>52</v>
      </c>
      <c r="M26">
        <v>13983</v>
      </c>
      <c r="N26">
        <v>30</v>
      </c>
      <c r="O26">
        <v>0</v>
      </c>
      <c r="P26">
        <v>0</v>
      </c>
      <c r="Q26">
        <v>52</v>
      </c>
      <c r="R26">
        <v>0</v>
      </c>
    </row>
    <row r="27" spans="1:18" x14ac:dyDescent="0.2">
      <c r="A27" t="str">
        <f t="shared" si="0"/>
        <v>ICE.2020.7</v>
      </c>
      <c r="B27" t="s">
        <v>1403</v>
      </c>
      <c r="C27" t="str">
        <f t="shared" si="1"/>
        <v>7</v>
      </c>
      <c r="D27" t="str">
        <f t="shared" si="2"/>
        <v>2020</v>
      </c>
      <c r="E27" s="51" t="s">
        <v>1396</v>
      </c>
      <c r="J27">
        <v>-1.5674999999999999</v>
      </c>
      <c r="K27">
        <v>0</v>
      </c>
      <c r="L27">
        <v>53</v>
      </c>
      <c r="M27">
        <v>14442</v>
      </c>
      <c r="N27">
        <v>31</v>
      </c>
      <c r="O27">
        <v>0</v>
      </c>
      <c r="P27">
        <v>0</v>
      </c>
      <c r="Q27">
        <v>53</v>
      </c>
      <c r="R27">
        <v>0</v>
      </c>
    </row>
    <row r="28" spans="1:18" x14ac:dyDescent="0.2">
      <c r="A28" t="str">
        <f t="shared" si="0"/>
        <v>ICE.2020.8</v>
      </c>
      <c r="B28" t="s">
        <v>1403</v>
      </c>
      <c r="C28" t="str">
        <f t="shared" si="1"/>
        <v>8</v>
      </c>
      <c r="D28" t="str">
        <f t="shared" si="2"/>
        <v>2020</v>
      </c>
      <c r="E28" s="51" t="s">
        <v>1397</v>
      </c>
      <c r="J28">
        <v>-1.57</v>
      </c>
      <c r="K28">
        <v>0</v>
      </c>
      <c r="L28">
        <v>53</v>
      </c>
      <c r="M28">
        <v>14442</v>
      </c>
      <c r="N28">
        <v>31</v>
      </c>
      <c r="O28">
        <v>0</v>
      </c>
      <c r="P28">
        <v>0</v>
      </c>
      <c r="Q28">
        <v>53</v>
      </c>
      <c r="R28">
        <v>0</v>
      </c>
    </row>
    <row r="29" spans="1:18" x14ac:dyDescent="0.2">
      <c r="A29" t="str">
        <f t="shared" si="0"/>
        <v>ICE.2020.9</v>
      </c>
      <c r="B29" t="s">
        <v>1403</v>
      </c>
      <c r="C29" t="str">
        <f t="shared" si="1"/>
        <v>9</v>
      </c>
      <c r="D29" t="str">
        <f t="shared" si="2"/>
        <v>2020</v>
      </c>
      <c r="E29" s="51" t="s">
        <v>1398</v>
      </c>
      <c r="J29">
        <v>-1.5525</v>
      </c>
      <c r="K29">
        <v>0</v>
      </c>
      <c r="L29">
        <v>52</v>
      </c>
      <c r="M29">
        <v>13983</v>
      </c>
      <c r="N29">
        <v>30</v>
      </c>
      <c r="O29">
        <v>0</v>
      </c>
      <c r="P29">
        <v>0</v>
      </c>
      <c r="Q29">
        <v>52</v>
      </c>
      <c r="R29">
        <v>0</v>
      </c>
    </row>
    <row r="30" spans="1:18" x14ac:dyDescent="0.2">
      <c r="A30" t="str">
        <f t="shared" si="0"/>
        <v>ICE.2020.10</v>
      </c>
      <c r="B30" t="s">
        <v>1403</v>
      </c>
      <c r="C30" t="str">
        <f t="shared" si="1"/>
        <v>10</v>
      </c>
      <c r="D30" t="str">
        <f t="shared" si="2"/>
        <v>2020</v>
      </c>
      <c r="E30" s="51" t="s">
        <v>1399</v>
      </c>
      <c r="J30">
        <v>-1.5425</v>
      </c>
      <c r="K30">
        <v>0</v>
      </c>
      <c r="L30">
        <v>53</v>
      </c>
      <c r="M30">
        <v>14442</v>
      </c>
      <c r="N30">
        <v>31</v>
      </c>
      <c r="O30">
        <v>0</v>
      </c>
      <c r="P30">
        <v>0</v>
      </c>
      <c r="Q30">
        <v>53</v>
      </c>
      <c r="R30">
        <v>0</v>
      </c>
    </row>
    <row r="31" spans="1:18" x14ac:dyDescent="0.2">
      <c r="A31" t="str">
        <f t="shared" si="0"/>
        <v>ICE.2020.11</v>
      </c>
      <c r="B31" t="s">
        <v>1403</v>
      </c>
      <c r="C31" t="str">
        <f t="shared" si="1"/>
        <v>11</v>
      </c>
      <c r="D31" t="str">
        <f t="shared" si="2"/>
        <v>2020</v>
      </c>
      <c r="E31" s="51" t="s">
        <v>1400</v>
      </c>
      <c r="J31">
        <v>-1.2275</v>
      </c>
      <c r="K31">
        <v>0</v>
      </c>
      <c r="L31">
        <v>60</v>
      </c>
      <c r="M31">
        <v>11926</v>
      </c>
      <c r="N31">
        <v>30</v>
      </c>
      <c r="O31">
        <v>0</v>
      </c>
      <c r="P31">
        <v>0</v>
      </c>
      <c r="Q31">
        <v>60</v>
      </c>
      <c r="R31">
        <v>0</v>
      </c>
    </row>
    <row r="32" spans="1:18" x14ac:dyDescent="0.2">
      <c r="A32" t="str">
        <f t="shared" si="0"/>
        <v>ICE.2020.12</v>
      </c>
      <c r="B32" t="s">
        <v>1403</v>
      </c>
      <c r="C32" t="str">
        <f t="shared" si="1"/>
        <v>12</v>
      </c>
      <c r="D32" t="str">
        <f t="shared" si="2"/>
        <v>2020</v>
      </c>
      <c r="E32" s="51" t="s">
        <v>1401</v>
      </c>
      <c r="J32">
        <v>-1.21</v>
      </c>
      <c r="K32">
        <v>0</v>
      </c>
      <c r="L32">
        <v>62</v>
      </c>
      <c r="M32">
        <v>12310</v>
      </c>
      <c r="N32">
        <v>31</v>
      </c>
      <c r="O32">
        <v>0</v>
      </c>
      <c r="P32">
        <v>0</v>
      </c>
      <c r="Q32">
        <v>62</v>
      </c>
      <c r="R32">
        <v>0</v>
      </c>
    </row>
    <row r="33" spans="1:18" x14ac:dyDescent="0.2">
      <c r="A33" t="str">
        <f t="shared" si="0"/>
        <v>ICE.2021.1</v>
      </c>
      <c r="B33" t="s">
        <v>1403</v>
      </c>
      <c r="C33" t="str">
        <f t="shared" si="1"/>
        <v>1</v>
      </c>
      <c r="D33" t="str">
        <f t="shared" si="2"/>
        <v>2021</v>
      </c>
      <c r="E33" s="51" t="s">
        <v>1405</v>
      </c>
      <c r="J33">
        <v>-1.165</v>
      </c>
      <c r="K33">
        <v>0</v>
      </c>
      <c r="L33">
        <v>124</v>
      </c>
      <c r="M33">
        <v>8281</v>
      </c>
      <c r="N33">
        <v>31</v>
      </c>
      <c r="O33">
        <v>0</v>
      </c>
      <c r="P33">
        <v>0</v>
      </c>
      <c r="Q33">
        <v>124</v>
      </c>
      <c r="R33">
        <v>0</v>
      </c>
    </row>
    <row r="34" spans="1:18" x14ac:dyDescent="0.2">
      <c r="A34" t="str">
        <f t="shared" si="0"/>
        <v>ICE.2021.2</v>
      </c>
      <c r="B34" t="s">
        <v>1403</v>
      </c>
      <c r="C34" t="str">
        <f t="shared" si="1"/>
        <v>2</v>
      </c>
      <c r="D34" t="str">
        <f t="shared" si="2"/>
        <v>2021</v>
      </c>
      <c r="E34" s="51" t="s">
        <v>1406</v>
      </c>
      <c r="J34">
        <v>-1.1399999999999999</v>
      </c>
      <c r="K34">
        <v>0</v>
      </c>
      <c r="L34">
        <v>112</v>
      </c>
      <c r="M34">
        <v>7498</v>
      </c>
      <c r="N34">
        <v>28</v>
      </c>
      <c r="O34">
        <v>0</v>
      </c>
      <c r="P34">
        <v>0</v>
      </c>
      <c r="Q34">
        <v>112</v>
      </c>
      <c r="R34">
        <v>0</v>
      </c>
    </row>
    <row r="35" spans="1:18" x14ac:dyDescent="0.2">
      <c r="A35" t="str">
        <f t="shared" si="0"/>
        <v>ICE.2021.3</v>
      </c>
      <c r="B35" t="s">
        <v>1403</v>
      </c>
      <c r="C35" t="str">
        <f t="shared" si="1"/>
        <v>3</v>
      </c>
      <c r="D35" t="str">
        <f t="shared" si="2"/>
        <v>2021</v>
      </c>
      <c r="E35" s="51" t="s">
        <v>1407</v>
      </c>
      <c r="J35">
        <v>-1.1299999999999999</v>
      </c>
      <c r="K35">
        <v>0</v>
      </c>
      <c r="L35">
        <v>124</v>
      </c>
      <c r="M35">
        <v>8281</v>
      </c>
      <c r="N35">
        <v>31</v>
      </c>
      <c r="O35">
        <v>0</v>
      </c>
      <c r="P35">
        <v>0</v>
      </c>
      <c r="Q35">
        <v>124</v>
      </c>
      <c r="R35">
        <v>0</v>
      </c>
    </row>
    <row r="36" spans="1:18" x14ac:dyDescent="0.2">
      <c r="A36" t="str">
        <f t="shared" si="0"/>
        <v>ICE.2021.4</v>
      </c>
      <c r="B36" t="s">
        <v>1403</v>
      </c>
      <c r="C36" t="str">
        <f t="shared" si="1"/>
        <v>4</v>
      </c>
      <c r="D36" t="str">
        <f t="shared" si="2"/>
        <v>2021</v>
      </c>
      <c r="E36" s="51" t="s">
        <v>1408</v>
      </c>
      <c r="J36">
        <v>-1.25</v>
      </c>
      <c r="K36">
        <v>5.0000000000000001E-3</v>
      </c>
      <c r="L36">
        <v>270</v>
      </c>
      <c r="M36">
        <v>6706</v>
      </c>
      <c r="N36">
        <v>30</v>
      </c>
      <c r="O36">
        <v>0</v>
      </c>
      <c r="P36">
        <v>0</v>
      </c>
      <c r="Q36">
        <v>90</v>
      </c>
      <c r="R36">
        <v>0</v>
      </c>
    </row>
    <row r="37" spans="1:18" x14ac:dyDescent="0.2">
      <c r="A37" t="str">
        <f t="shared" si="0"/>
        <v>ICE.2021.5</v>
      </c>
      <c r="B37" t="s">
        <v>1403</v>
      </c>
      <c r="C37" t="str">
        <f t="shared" si="1"/>
        <v>5</v>
      </c>
      <c r="D37" t="str">
        <f t="shared" si="2"/>
        <v>2021</v>
      </c>
      <c r="E37" s="51" t="s">
        <v>1409</v>
      </c>
      <c r="J37">
        <v>-1.2625</v>
      </c>
      <c r="K37">
        <v>5.0000000000000001E-3</v>
      </c>
      <c r="L37">
        <v>279</v>
      </c>
      <c r="M37">
        <v>6928</v>
      </c>
      <c r="N37">
        <v>31</v>
      </c>
      <c r="O37">
        <v>0</v>
      </c>
      <c r="P37">
        <v>0</v>
      </c>
      <c r="Q37">
        <v>93</v>
      </c>
      <c r="R37">
        <v>0</v>
      </c>
    </row>
    <row r="38" spans="1:18" x14ac:dyDescent="0.2">
      <c r="A38" t="str">
        <f t="shared" si="0"/>
        <v>ICE.2021.6</v>
      </c>
      <c r="B38" t="s">
        <v>1403</v>
      </c>
      <c r="C38" t="str">
        <f t="shared" si="1"/>
        <v>6</v>
      </c>
      <c r="D38" t="str">
        <f t="shared" si="2"/>
        <v>2021</v>
      </c>
      <c r="E38" s="51" t="s">
        <v>1410</v>
      </c>
      <c r="J38">
        <v>-1.2675000000000001</v>
      </c>
      <c r="K38">
        <v>5.0000000000000001E-3</v>
      </c>
      <c r="L38">
        <v>270</v>
      </c>
      <c r="M38">
        <v>6706</v>
      </c>
      <c r="N38">
        <v>30</v>
      </c>
      <c r="O38">
        <v>0</v>
      </c>
      <c r="P38">
        <v>0</v>
      </c>
      <c r="Q38">
        <v>90</v>
      </c>
      <c r="R38">
        <v>0</v>
      </c>
    </row>
    <row r="39" spans="1:18" x14ac:dyDescent="0.2">
      <c r="A39" t="str">
        <f t="shared" si="0"/>
        <v>ICE.2021.7</v>
      </c>
      <c r="B39" t="s">
        <v>1403</v>
      </c>
      <c r="C39" t="str">
        <f t="shared" si="1"/>
        <v>7</v>
      </c>
      <c r="D39" t="str">
        <f t="shared" si="2"/>
        <v>2021</v>
      </c>
      <c r="E39" s="51" t="s">
        <v>1411</v>
      </c>
      <c r="J39">
        <v>-1.2849999999999999</v>
      </c>
      <c r="K39">
        <v>5.0000000000000001E-3</v>
      </c>
      <c r="L39">
        <v>279</v>
      </c>
      <c r="M39">
        <v>6928</v>
      </c>
      <c r="N39">
        <v>31</v>
      </c>
      <c r="O39">
        <v>0</v>
      </c>
      <c r="P39">
        <v>0</v>
      </c>
      <c r="Q39">
        <v>93</v>
      </c>
      <c r="R39">
        <v>0</v>
      </c>
    </row>
    <row r="40" spans="1:18" x14ac:dyDescent="0.2">
      <c r="A40" t="str">
        <f t="shared" si="0"/>
        <v>ICE.2021.8</v>
      </c>
      <c r="B40" t="s">
        <v>1403</v>
      </c>
      <c r="C40" t="str">
        <f t="shared" si="1"/>
        <v>8</v>
      </c>
      <c r="D40" t="str">
        <f t="shared" si="2"/>
        <v>2021</v>
      </c>
      <c r="E40" s="51" t="s">
        <v>1412</v>
      </c>
      <c r="J40">
        <v>-1.2849999999999999</v>
      </c>
      <c r="K40">
        <v>5.0000000000000001E-3</v>
      </c>
      <c r="L40">
        <v>279</v>
      </c>
      <c r="M40">
        <v>6928</v>
      </c>
      <c r="N40">
        <v>31</v>
      </c>
      <c r="O40">
        <v>0</v>
      </c>
      <c r="P40">
        <v>0</v>
      </c>
      <c r="Q40">
        <v>93</v>
      </c>
      <c r="R40">
        <v>0</v>
      </c>
    </row>
    <row r="41" spans="1:18" x14ac:dyDescent="0.2">
      <c r="A41" t="str">
        <f t="shared" si="0"/>
        <v>ICE.2021.9</v>
      </c>
      <c r="B41" t="s">
        <v>1403</v>
      </c>
      <c r="C41" t="str">
        <f t="shared" si="1"/>
        <v>9</v>
      </c>
      <c r="D41" t="str">
        <f t="shared" si="2"/>
        <v>2021</v>
      </c>
      <c r="E41" s="51" t="s">
        <v>1413</v>
      </c>
      <c r="J41">
        <v>-1.2725</v>
      </c>
      <c r="K41">
        <v>5.0000000000000001E-3</v>
      </c>
      <c r="L41">
        <v>270</v>
      </c>
      <c r="M41">
        <v>6706</v>
      </c>
      <c r="N41">
        <v>30</v>
      </c>
      <c r="O41">
        <v>0</v>
      </c>
      <c r="P41">
        <v>0</v>
      </c>
      <c r="Q41">
        <v>90</v>
      </c>
      <c r="R41">
        <v>0</v>
      </c>
    </row>
    <row r="42" spans="1:18" x14ac:dyDescent="0.2">
      <c r="A42" t="str">
        <f t="shared" si="0"/>
        <v>ICE.2021.10</v>
      </c>
      <c r="B42" t="s">
        <v>1403</v>
      </c>
      <c r="C42" t="str">
        <f t="shared" si="1"/>
        <v>10</v>
      </c>
      <c r="D42" t="str">
        <f t="shared" si="2"/>
        <v>2021</v>
      </c>
      <c r="E42" s="51" t="s">
        <v>1414</v>
      </c>
      <c r="J42">
        <v>-1.2625</v>
      </c>
      <c r="K42">
        <v>5.0000000000000001E-3</v>
      </c>
      <c r="L42">
        <v>279</v>
      </c>
      <c r="M42">
        <v>6928</v>
      </c>
      <c r="N42">
        <v>31</v>
      </c>
      <c r="O42">
        <v>0</v>
      </c>
      <c r="P42">
        <v>0</v>
      </c>
      <c r="Q42">
        <v>93</v>
      </c>
      <c r="R42">
        <v>0</v>
      </c>
    </row>
    <row r="43" spans="1:18" x14ac:dyDescent="0.2">
      <c r="A43" t="str">
        <f t="shared" si="0"/>
        <v>ICE.2021.11</v>
      </c>
      <c r="B43" t="s">
        <v>1403</v>
      </c>
      <c r="C43" t="str">
        <f t="shared" si="1"/>
        <v>11</v>
      </c>
      <c r="D43" t="str">
        <f t="shared" si="2"/>
        <v>2021</v>
      </c>
      <c r="E43" s="51" t="s">
        <v>1415</v>
      </c>
      <c r="J43">
        <v>-1.0175000000000001</v>
      </c>
      <c r="K43">
        <v>0</v>
      </c>
      <c r="L43">
        <v>180</v>
      </c>
      <c r="M43">
        <v>6334</v>
      </c>
      <c r="N43">
        <v>90</v>
      </c>
      <c r="O43">
        <v>0</v>
      </c>
      <c r="P43">
        <v>0</v>
      </c>
      <c r="Q43">
        <v>90</v>
      </c>
      <c r="R43">
        <v>0</v>
      </c>
    </row>
    <row r="44" spans="1:18" x14ac:dyDescent="0.2">
      <c r="A44" t="str">
        <f t="shared" si="0"/>
        <v>ICE.2021.12</v>
      </c>
      <c r="B44" t="s">
        <v>1403</v>
      </c>
      <c r="C44" t="str">
        <f t="shared" si="1"/>
        <v>12</v>
      </c>
      <c r="D44" t="str">
        <f t="shared" si="2"/>
        <v>2021</v>
      </c>
      <c r="E44" s="51" t="s">
        <v>1416</v>
      </c>
      <c r="J44">
        <v>-1.02</v>
      </c>
      <c r="K44">
        <v>0</v>
      </c>
      <c r="L44">
        <v>186</v>
      </c>
      <c r="M44">
        <v>6543</v>
      </c>
      <c r="N44">
        <v>93</v>
      </c>
      <c r="O44">
        <v>0</v>
      </c>
      <c r="P44">
        <v>0</v>
      </c>
      <c r="Q44">
        <v>93</v>
      </c>
      <c r="R44">
        <v>0</v>
      </c>
    </row>
    <row r="45" spans="1:18" x14ac:dyDescent="0.2">
      <c r="A45" t="str">
        <f t="shared" si="0"/>
        <v>ICE.2022.1</v>
      </c>
      <c r="B45" t="s">
        <v>1403</v>
      </c>
      <c r="C45" t="str">
        <f t="shared" si="1"/>
        <v>1</v>
      </c>
      <c r="D45" t="str">
        <f t="shared" si="2"/>
        <v>2022</v>
      </c>
      <c r="E45" s="51" t="s">
        <v>1485</v>
      </c>
      <c r="J45">
        <v>-1.0774999999999999</v>
      </c>
      <c r="K45">
        <v>0</v>
      </c>
      <c r="L45">
        <v>372</v>
      </c>
      <c r="M45">
        <v>6053</v>
      </c>
      <c r="N45">
        <v>-62</v>
      </c>
      <c r="O45">
        <v>0</v>
      </c>
      <c r="P45">
        <v>0</v>
      </c>
      <c r="Q45">
        <v>279</v>
      </c>
      <c r="R45">
        <v>0</v>
      </c>
    </row>
    <row r="46" spans="1:18" x14ac:dyDescent="0.2">
      <c r="A46" t="str">
        <f t="shared" si="0"/>
        <v>ICE.2022.2</v>
      </c>
      <c r="B46" t="s">
        <v>1403</v>
      </c>
      <c r="C46" t="str">
        <f t="shared" si="1"/>
        <v>2</v>
      </c>
      <c r="D46" t="str">
        <f t="shared" si="2"/>
        <v>2022</v>
      </c>
      <c r="E46" s="51" t="s">
        <v>1486</v>
      </c>
      <c r="J46">
        <v>-1.0449999999999999</v>
      </c>
      <c r="K46">
        <v>0</v>
      </c>
      <c r="L46">
        <v>336</v>
      </c>
      <c r="M46">
        <v>5480</v>
      </c>
      <c r="N46">
        <v>-56</v>
      </c>
      <c r="O46">
        <v>0</v>
      </c>
      <c r="P46">
        <v>0</v>
      </c>
      <c r="Q46">
        <v>252</v>
      </c>
      <c r="R46">
        <v>0</v>
      </c>
    </row>
    <row r="47" spans="1:18" x14ac:dyDescent="0.2">
      <c r="A47" t="str">
        <f t="shared" si="0"/>
        <v>ICE.2022.3</v>
      </c>
      <c r="B47" t="s">
        <v>1403</v>
      </c>
      <c r="C47" t="str">
        <f t="shared" si="1"/>
        <v>3</v>
      </c>
      <c r="D47" t="str">
        <f t="shared" si="2"/>
        <v>2022</v>
      </c>
      <c r="E47" s="51" t="s">
        <v>1487</v>
      </c>
      <c r="J47">
        <v>-1.0425</v>
      </c>
      <c r="K47">
        <v>0</v>
      </c>
      <c r="L47">
        <v>372</v>
      </c>
      <c r="M47">
        <v>6053</v>
      </c>
      <c r="N47">
        <v>-62</v>
      </c>
      <c r="O47">
        <v>0</v>
      </c>
      <c r="P47">
        <v>0</v>
      </c>
      <c r="Q47">
        <v>279</v>
      </c>
      <c r="R47">
        <v>0</v>
      </c>
    </row>
    <row r="48" spans="1:18" x14ac:dyDescent="0.2">
      <c r="A48" t="str">
        <f t="shared" si="0"/>
        <v>ICE.2022.4</v>
      </c>
      <c r="B48" t="s">
        <v>1403</v>
      </c>
      <c r="C48" t="str">
        <f t="shared" si="1"/>
        <v>4</v>
      </c>
      <c r="D48" t="str">
        <f t="shared" si="2"/>
        <v>2022</v>
      </c>
      <c r="E48" s="51" t="s">
        <v>1488</v>
      </c>
      <c r="J48">
        <v>-1.0375000000000001</v>
      </c>
      <c r="K48">
        <v>5.0000000000000001E-3</v>
      </c>
      <c r="L48">
        <v>300</v>
      </c>
      <c r="M48">
        <v>4916</v>
      </c>
      <c r="N48">
        <v>90</v>
      </c>
      <c r="O48">
        <v>0</v>
      </c>
      <c r="P48">
        <v>0</v>
      </c>
      <c r="Q48">
        <v>270</v>
      </c>
      <c r="R48">
        <v>30</v>
      </c>
    </row>
    <row r="49" spans="1:18" x14ac:dyDescent="0.2">
      <c r="A49" t="str">
        <f t="shared" si="0"/>
        <v>ICE.2022.5</v>
      </c>
      <c r="B49" t="s">
        <v>1403</v>
      </c>
      <c r="C49" t="str">
        <f t="shared" si="1"/>
        <v>5</v>
      </c>
      <c r="D49" t="str">
        <f t="shared" si="2"/>
        <v>2022</v>
      </c>
      <c r="E49" s="51" t="s">
        <v>1489</v>
      </c>
      <c r="J49">
        <v>-1.05</v>
      </c>
      <c r="K49">
        <v>5.0000000000000001E-3</v>
      </c>
      <c r="L49">
        <v>310</v>
      </c>
      <c r="M49">
        <v>5078</v>
      </c>
      <c r="N49">
        <v>93</v>
      </c>
      <c r="O49">
        <v>0</v>
      </c>
      <c r="P49">
        <v>0</v>
      </c>
      <c r="Q49">
        <v>279</v>
      </c>
      <c r="R49">
        <v>31</v>
      </c>
    </row>
    <row r="50" spans="1:18" x14ac:dyDescent="0.2">
      <c r="A50" t="str">
        <f t="shared" si="0"/>
        <v>ICE.2022.6</v>
      </c>
      <c r="B50" t="s">
        <v>1403</v>
      </c>
      <c r="C50" t="str">
        <f t="shared" si="1"/>
        <v>6</v>
      </c>
      <c r="D50" t="str">
        <f t="shared" si="2"/>
        <v>2022</v>
      </c>
      <c r="E50" s="51" t="s">
        <v>1490</v>
      </c>
      <c r="J50">
        <v>-1.0525</v>
      </c>
      <c r="K50">
        <v>5.0000000000000001E-3</v>
      </c>
      <c r="L50">
        <v>300</v>
      </c>
      <c r="M50">
        <v>4916</v>
      </c>
      <c r="N50">
        <v>90</v>
      </c>
      <c r="O50">
        <v>0</v>
      </c>
      <c r="P50">
        <v>0</v>
      </c>
      <c r="Q50">
        <v>270</v>
      </c>
      <c r="R50">
        <v>30</v>
      </c>
    </row>
    <row r="51" spans="1:18" x14ac:dyDescent="0.2">
      <c r="A51" t="str">
        <f t="shared" si="0"/>
        <v>ICE.2022.7</v>
      </c>
      <c r="B51" t="s">
        <v>1403</v>
      </c>
      <c r="C51" t="str">
        <f t="shared" si="1"/>
        <v>7</v>
      </c>
      <c r="D51" t="str">
        <f t="shared" si="2"/>
        <v>2022</v>
      </c>
      <c r="E51" s="51" t="s">
        <v>1491</v>
      </c>
      <c r="J51">
        <v>-1.07</v>
      </c>
      <c r="K51">
        <v>5.0000000000000001E-3</v>
      </c>
      <c r="L51">
        <v>310</v>
      </c>
      <c r="M51">
        <v>5078</v>
      </c>
      <c r="N51">
        <v>93</v>
      </c>
      <c r="O51">
        <v>0</v>
      </c>
      <c r="P51">
        <v>0</v>
      </c>
      <c r="Q51">
        <v>279</v>
      </c>
      <c r="R51">
        <v>31</v>
      </c>
    </row>
    <row r="52" spans="1:18" x14ac:dyDescent="0.2">
      <c r="A52" t="str">
        <f t="shared" si="0"/>
        <v>ICE.2022.8</v>
      </c>
      <c r="B52" t="s">
        <v>1403</v>
      </c>
      <c r="C52" t="str">
        <f t="shared" si="1"/>
        <v>8</v>
      </c>
      <c r="D52" t="str">
        <f t="shared" si="2"/>
        <v>2022</v>
      </c>
      <c r="E52" s="51" t="s">
        <v>1492</v>
      </c>
      <c r="J52">
        <v>-1.0725</v>
      </c>
      <c r="K52">
        <v>5.0000000000000001E-3</v>
      </c>
      <c r="L52">
        <v>310</v>
      </c>
      <c r="M52">
        <v>5078</v>
      </c>
      <c r="N52">
        <v>93</v>
      </c>
      <c r="O52">
        <v>0</v>
      </c>
      <c r="P52">
        <v>0</v>
      </c>
      <c r="Q52">
        <v>279</v>
      </c>
      <c r="R52">
        <v>31</v>
      </c>
    </row>
    <row r="53" spans="1:18" x14ac:dyDescent="0.2">
      <c r="A53" t="str">
        <f t="shared" si="0"/>
        <v>ICE.2022.9</v>
      </c>
      <c r="B53" t="s">
        <v>1403</v>
      </c>
      <c r="C53" t="str">
        <f t="shared" si="1"/>
        <v>9</v>
      </c>
      <c r="D53" t="str">
        <f t="shared" si="2"/>
        <v>2022</v>
      </c>
      <c r="E53" s="51" t="s">
        <v>1493</v>
      </c>
      <c r="J53">
        <v>-1.0575000000000001</v>
      </c>
      <c r="K53">
        <v>5.0000000000000001E-3</v>
      </c>
      <c r="L53">
        <v>300</v>
      </c>
      <c r="M53">
        <v>4916</v>
      </c>
      <c r="N53">
        <v>90</v>
      </c>
      <c r="O53">
        <v>0</v>
      </c>
      <c r="P53">
        <v>0</v>
      </c>
      <c r="Q53">
        <v>270</v>
      </c>
      <c r="R53">
        <v>30</v>
      </c>
    </row>
    <row r="54" spans="1:18" x14ac:dyDescent="0.2">
      <c r="A54" t="str">
        <f t="shared" si="0"/>
        <v>ICE.2022.10</v>
      </c>
      <c r="B54" t="s">
        <v>1403</v>
      </c>
      <c r="C54" t="str">
        <f t="shared" si="1"/>
        <v>10</v>
      </c>
      <c r="D54" t="str">
        <f t="shared" si="2"/>
        <v>2022</v>
      </c>
      <c r="E54" s="51" t="s">
        <v>1494</v>
      </c>
      <c r="J54">
        <v>-1.05</v>
      </c>
      <c r="K54">
        <v>5.0000000000000001E-3</v>
      </c>
      <c r="L54">
        <v>310</v>
      </c>
      <c r="M54">
        <v>5078</v>
      </c>
      <c r="N54">
        <v>93</v>
      </c>
      <c r="O54">
        <v>0</v>
      </c>
      <c r="P54">
        <v>0</v>
      </c>
      <c r="Q54">
        <v>279</v>
      </c>
      <c r="R54">
        <v>31</v>
      </c>
    </row>
    <row r="55" spans="1:18" x14ac:dyDescent="0.2">
      <c r="A55" t="str">
        <f t="shared" si="0"/>
        <v>ICE.2022.11</v>
      </c>
      <c r="B55" t="s">
        <v>1403</v>
      </c>
      <c r="C55" t="str">
        <f t="shared" si="1"/>
        <v>11</v>
      </c>
      <c r="D55" t="str">
        <f t="shared" si="2"/>
        <v>2022</v>
      </c>
      <c r="E55" s="51" t="s">
        <v>1495</v>
      </c>
      <c r="J55">
        <v>-0.97499999999999998</v>
      </c>
      <c r="K55">
        <v>0</v>
      </c>
      <c r="L55">
        <v>270</v>
      </c>
      <c r="M55">
        <v>4406</v>
      </c>
      <c r="N55">
        <v>120</v>
      </c>
      <c r="O55">
        <v>0</v>
      </c>
      <c r="P55">
        <v>0</v>
      </c>
      <c r="Q55">
        <v>270</v>
      </c>
      <c r="R55">
        <v>0</v>
      </c>
    </row>
    <row r="56" spans="1:18" x14ac:dyDescent="0.2">
      <c r="A56" t="str">
        <f t="shared" si="0"/>
        <v>ICE.2022.12</v>
      </c>
      <c r="B56" t="s">
        <v>1403</v>
      </c>
      <c r="C56" t="str">
        <f t="shared" si="1"/>
        <v>12</v>
      </c>
      <c r="D56" t="str">
        <f t="shared" si="2"/>
        <v>2022</v>
      </c>
      <c r="E56" s="51" t="s">
        <v>1496</v>
      </c>
      <c r="J56">
        <v>-0.97</v>
      </c>
      <c r="K56">
        <v>0</v>
      </c>
      <c r="L56">
        <v>279</v>
      </c>
      <c r="M56">
        <v>4551</v>
      </c>
      <c r="N56">
        <v>124</v>
      </c>
      <c r="O56">
        <v>0</v>
      </c>
      <c r="P56">
        <v>0</v>
      </c>
      <c r="Q56">
        <v>279</v>
      </c>
      <c r="R56">
        <v>0</v>
      </c>
    </row>
    <row r="57" spans="1:18" x14ac:dyDescent="0.2">
      <c r="A57" t="str">
        <f t="shared" si="0"/>
        <v>ICE.2023.1</v>
      </c>
      <c r="B57" t="s">
        <v>1403</v>
      </c>
      <c r="C57" t="str">
        <f t="shared" si="1"/>
        <v>1</v>
      </c>
      <c r="D57" t="str">
        <f t="shared" si="2"/>
        <v>2023</v>
      </c>
      <c r="E57" s="51" t="s">
        <v>1511</v>
      </c>
      <c r="J57">
        <v>-1.0175000000000001</v>
      </c>
      <c r="K57">
        <v>0</v>
      </c>
      <c r="L57">
        <v>217</v>
      </c>
      <c r="M57">
        <v>4148</v>
      </c>
      <c r="N57">
        <v>186</v>
      </c>
      <c r="O57">
        <v>0</v>
      </c>
      <c r="P57">
        <v>0</v>
      </c>
      <c r="Q57">
        <v>217</v>
      </c>
      <c r="R57">
        <v>0</v>
      </c>
    </row>
    <row r="58" spans="1:18" x14ac:dyDescent="0.2">
      <c r="A58" t="str">
        <f t="shared" si="0"/>
        <v>ICE.2023.2</v>
      </c>
      <c r="B58" t="s">
        <v>1403</v>
      </c>
      <c r="C58" t="str">
        <f t="shared" si="1"/>
        <v>2</v>
      </c>
      <c r="D58" t="str">
        <f t="shared" si="2"/>
        <v>2023</v>
      </c>
      <c r="E58" s="51" t="s">
        <v>1512</v>
      </c>
      <c r="J58">
        <v>-1.0024999999999999</v>
      </c>
      <c r="K58">
        <v>0</v>
      </c>
      <c r="L58">
        <v>196</v>
      </c>
      <c r="M58">
        <v>3752</v>
      </c>
      <c r="N58">
        <v>168</v>
      </c>
      <c r="O58">
        <v>0</v>
      </c>
      <c r="P58">
        <v>0</v>
      </c>
      <c r="Q58">
        <v>196</v>
      </c>
      <c r="R58">
        <v>0</v>
      </c>
    </row>
    <row r="59" spans="1:18" x14ac:dyDescent="0.2">
      <c r="A59" t="str">
        <f t="shared" si="0"/>
        <v>ICE.2023.3</v>
      </c>
      <c r="B59" t="s">
        <v>1403</v>
      </c>
      <c r="C59" t="str">
        <f t="shared" si="1"/>
        <v>3</v>
      </c>
      <c r="D59" t="str">
        <f t="shared" si="2"/>
        <v>2023</v>
      </c>
      <c r="E59" s="51" t="s">
        <v>1513</v>
      </c>
      <c r="J59">
        <v>-0.98499999999999999</v>
      </c>
      <c r="K59">
        <v>0</v>
      </c>
      <c r="L59">
        <v>217</v>
      </c>
      <c r="M59">
        <v>4148</v>
      </c>
      <c r="N59">
        <v>186</v>
      </c>
      <c r="O59">
        <v>0</v>
      </c>
      <c r="P59">
        <v>0</v>
      </c>
      <c r="Q59">
        <v>217</v>
      </c>
      <c r="R59">
        <v>0</v>
      </c>
    </row>
    <row r="60" spans="1:18" x14ac:dyDescent="0.2">
      <c r="A60" t="str">
        <f t="shared" si="0"/>
        <v>ICE.2023.4</v>
      </c>
      <c r="B60" t="s">
        <v>1403</v>
      </c>
      <c r="C60" t="str">
        <f t="shared" si="1"/>
        <v>4</v>
      </c>
      <c r="D60" t="str">
        <f t="shared" si="2"/>
        <v>2023</v>
      </c>
      <c r="E60" s="51" t="s">
        <v>1514</v>
      </c>
      <c r="J60">
        <v>-0.99250000000000005</v>
      </c>
      <c r="K60">
        <v>5.0000000000000001E-3</v>
      </c>
      <c r="L60">
        <v>210</v>
      </c>
      <c r="M60">
        <v>3416</v>
      </c>
      <c r="N60">
        <v>120</v>
      </c>
      <c r="O60">
        <v>0</v>
      </c>
      <c r="P60">
        <v>0</v>
      </c>
      <c r="Q60">
        <v>210</v>
      </c>
      <c r="R60">
        <v>0</v>
      </c>
    </row>
    <row r="61" spans="1:18" x14ac:dyDescent="0.2">
      <c r="A61" t="str">
        <f t="shared" si="0"/>
        <v>ICE.2023.5</v>
      </c>
      <c r="B61" t="s">
        <v>1403</v>
      </c>
      <c r="C61" t="str">
        <f t="shared" si="1"/>
        <v>5</v>
      </c>
      <c r="D61" t="str">
        <f t="shared" si="2"/>
        <v>2023</v>
      </c>
      <c r="E61" s="51" t="s">
        <v>1515</v>
      </c>
      <c r="J61">
        <v>-1.0024999999999999</v>
      </c>
      <c r="K61">
        <v>5.0000000000000001E-3</v>
      </c>
      <c r="L61">
        <v>217</v>
      </c>
      <c r="M61">
        <v>3528</v>
      </c>
      <c r="N61">
        <v>124</v>
      </c>
      <c r="O61">
        <v>0</v>
      </c>
      <c r="P61">
        <v>0</v>
      </c>
      <c r="Q61">
        <v>217</v>
      </c>
      <c r="R61">
        <v>0</v>
      </c>
    </row>
    <row r="62" spans="1:18" x14ac:dyDescent="0.2">
      <c r="A62" t="str">
        <f t="shared" si="0"/>
        <v>ICE.2023.6</v>
      </c>
      <c r="B62" t="s">
        <v>1403</v>
      </c>
      <c r="C62" t="str">
        <f t="shared" si="1"/>
        <v>6</v>
      </c>
      <c r="D62" t="str">
        <f t="shared" si="2"/>
        <v>2023</v>
      </c>
      <c r="E62" s="51" t="s">
        <v>1516</v>
      </c>
      <c r="J62">
        <v>-1.01</v>
      </c>
      <c r="K62">
        <v>5.0000000000000001E-3</v>
      </c>
      <c r="L62">
        <v>210</v>
      </c>
      <c r="M62">
        <v>3416</v>
      </c>
      <c r="N62">
        <v>120</v>
      </c>
      <c r="O62">
        <v>0</v>
      </c>
      <c r="P62">
        <v>0</v>
      </c>
      <c r="Q62">
        <v>210</v>
      </c>
      <c r="R62">
        <v>0</v>
      </c>
    </row>
    <row r="63" spans="1:18" x14ac:dyDescent="0.2">
      <c r="A63" t="str">
        <f t="shared" si="0"/>
        <v>ICE.2023.7</v>
      </c>
      <c r="B63" t="s">
        <v>1403</v>
      </c>
      <c r="C63" t="str">
        <f t="shared" si="1"/>
        <v>7</v>
      </c>
      <c r="D63" t="str">
        <f t="shared" si="2"/>
        <v>2023</v>
      </c>
      <c r="E63" s="51" t="s">
        <v>1517</v>
      </c>
      <c r="J63">
        <v>-1.0225</v>
      </c>
      <c r="K63">
        <v>5.0000000000000001E-3</v>
      </c>
      <c r="L63">
        <v>217</v>
      </c>
      <c r="M63">
        <v>3528</v>
      </c>
      <c r="N63">
        <v>124</v>
      </c>
      <c r="O63">
        <v>0</v>
      </c>
      <c r="P63">
        <v>0</v>
      </c>
      <c r="Q63">
        <v>217</v>
      </c>
      <c r="R63">
        <v>0</v>
      </c>
    </row>
    <row r="64" spans="1:18" x14ac:dyDescent="0.2">
      <c r="A64" t="str">
        <f t="shared" si="0"/>
        <v>ICE.2023.8</v>
      </c>
      <c r="B64" t="s">
        <v>1403</v>
      </c>
      <c r="C64" t="str">
        <f t="shared" si="1"/>
        <v>8</v>
      </c>
      <c r="D64" t="str">
        <f t="shared" si="2"/>
        <v>2023</v>
      </c>
      <c r="E64" s="51" t="s">
        <v>1518</v>
      </c>
      <c r="J64">
        <v>-1.0225</v>
      </c>
      <c r="K64">
        <v>5.0000000000000001E-3</v>
      </c>
      <c r="L64">
        <v>217</v>
      </c>
      <c r="M64">
        <v>3528</v>
      </c>
      <c r="N64">
        <v>124</v>
      </c>
      <c r="O64">
        <v>0</v>
      </c>
      <c r="P64">
        <v>0</v>
      </c>
      <c r="Q64">
        <v>217</v>
      </c>
      <c r="R64">
        <v>0</v>
      </c>
    </row>
    <row r="65" spans="1:18" x14ac:dyDescent="0.2">
      <c r="A65" t="str">
        <f t="shared" si="0"/>
        <v>ICE.2023.9</v>
      </c>
      <c r="B65" t="s">
        <v>1403</v>
      </c>
      <c r="C65" t="str">
        <f t="shared" si="1"/>
        <v>9</v>
      </c>
      <c r="D65" t="str">
        <f t="shared" si="2"/>
        <v>2023</v>
      </c>
      <c r="E65" s="51" t="s">
        <v>1519</v>
      </c>
      <c r="J65">
        <v>-1.0125</v>
      </c>
      <c r="K65">
        <v>5.0000000000000001E-3</v>
      </c>
      <c r="L65">
        <v>210</v>
      </c>
      <c r="M65">
        <v>3416</v>
      </c>
      <c r="N65">
        <v>120</v>
      </c>
      <c r="O65">
        <v>0</v>
      </c>
      <c r="P65">
        <v>0</v>
      </c>
      <c r="Q65">
        <v>210</v>
      </c>
      <c r="R65">
        <v>0</v>
      </c>
    </row>
    <row r="66" spans="1:18" x14ac:dyDescent="0.2">
      <c r="A66" t="str">
        <f t="shared" si="0"/>
        <v>ICE.2023.10</v>
      </c>
      <c r="B66" t="s">
        <v>1403</v>
      </c>
      <c r="C66" t="str">
        <f t="shared" si="1"/>
        <v>10</v>
      </c>
      <c r="D66" t="str">
        <f t="shared" si="2"/>
        <v>2023</v>
      </c>
      <c r="E66" s="51" t="s">
        <v>1520</v>
      </c>
      <c r="J66">
        <v>-1.0024999999999999</v>
      </c>
      <c r="K66">
        <v>5.0000000000000001E-3</v>
      </c>
      <c r="L66">
        <v>217</v>
      </c>
      <c r="M66">
        <v>3528</v>
      </c>
      <c r="N66">
        <v>124</v>
      </c>
      <c r="O66">
        <v>0</v>
      </c>
      <c r="P66">
        <v>0</v>
      </c>
      <c r="Q66">
        <v>217</v>
      </c>
      <c r="R66">
        <v>0</v>
      </c>
    </row>
    <row r="67" spans="1:18" x14ac:dyDescent="0.2">
      <c r="A67" t="str">
        <f t="shared" ref="A67:A116" si="3">B67&amp;"."&amp;D67&amp;"."&amp;C67</f>
        <v>ICE.2023.11</v>
      </c>
      <c r="B67" t="s">
        <v>1403</v>
      </c>
      <c r="C67" t="str">
        <f t="shared" ref="C67:C116" si="4">TEXT(DATEVALUE("1"&amp;E67),"M")</f>
        <v>11</v>
      </c>
      <c r="D67" t="str">
        <f t="shared" ref="D67:D116" si="5">TEXT(DATEVALUE("1"&amp;E67),"YYYY")</f>
        <v>2023</v>
      </c>
      <c r="E67" s="51" t="s">
        <v>1521</v>
      </c>
      <c r="J67">
        <v>-0.96499999999999997</v>
      </c>
      <c r="K67">
        <v>0</v>
      </c>
      <c r="L67">
        <v>210</v>
      </c>
      <c r="M67">
        <v>2456</v>
      </c>
      <c r="N67">
        <v>90</v>
      </c>
      <c r="O67">
        <v>0</v>
      </c>
      <c r="P67">
        <v>0</v>
      </c>
      <c r="Q67">
        <v>210</v>
      </c>
      <c r="R67">
        <v>0</v>
      </c>
    </row>
    <row r="68" spans="1:18" x14ac:dyDescent="0.2">
      <c r="A68" t="str">
        <f t="shared" si="3"/>
        <v>ICE.2023.12</v>
      </c>
      <c r="B68" t="s">
        <v>1403</v>
      </c>
      <c r="C68" t="str">
        <f t="shared" si="4"/>
        <v>12</v>
      </c>
      <c r="D68" t="str">
        <f t="shared" si="5"/>
        <v>2023</v>
      </c>
      <c r="E68" s="51" t="s">
        <v>1522</v>
      </c>
      <c r="J68">
        <v>-0.96499999999999997</v>
      </c>
      <c r="K68">
        <v>0</v>
      </c>
      <c r="L68">
        <v>217</v>
      </c>
      <c r="M68">
        <v>2536</v>
      </c>
      <c r="N68">
        <v>93</v>
      </c>
      <c r="O68">
        <v>0</v>
      </c>
      <c r="P68">
        <v>0</v>
      </c>
      <c r="Q68">
        <v>217</v>
      </c>
      <c r="R68">
        <v>0</v>
      </c>
    </row>
    <row r="69" spans="1:18" x14ac:dyDescent="0.2">
      <c r="A69" t="str">
        <f t="shared" si="3"/>
        <v>ICE.2024.1</v>
      </c>
      <c r="B69" t="s">
        <v>1403</v>
      </c>
      <c r="C69" t="str">
        <f t="shared" si="4"/>
        <v>1</v>
      </c>
      <c r="D69" t="str">
        <f t="shared" si="5"/>
        <v>2024</v>
      </c>
      <c r="E69" s="51" t="s">
        <v>1523</v>
      </c>
      <c r="J69">
        <v>-1.0175000000000001</v>
      </c>
      <c r="K69">
        <v>0</v>
      </c>
      <c r="L69">
        <v>217</v>
      </c>
      <c r="M69">
        <v>1978</v>
      </c>
      <c r="N69">
        <v>155</v>
      </c>
      <c r="O69">
        <v>0</v>
      </c>
      <c r="P69">
        <v>0</v>
      </c>
      <c r="Q69">
        <v>217</v>
      </c>
      <c r="R69">
        <v>0</v>
      </c>
    </row>
    <row r="70" spans="1:18" x14ac:dyDescent="0.2">
      <c r="A70" t="str">
        <f t="shared" si="3"/>
        <v>ICE.2024.2</v>
      </c>
      <c r="B70" t="s">
        <v>1403</v>
      </c>
      <c r="C70" t="str">
        <f t="shared" si="4"/>
        <v>2</v>
      </c>
      <c r="D70" t="str">
        <f t="shared" si="5"/>
        <v>2024</v>
      </c>
      <c r="E70" s="51" t="s">
        <v>1524</v>
      </c>
      <c r="J70">
        <v>-0.98750000000000004</v>
      </c>
      <c r="K70">
        <v>0</v>
      </c>
      <c r="L70">
        <v>203</v>
      </c>
      <c r="M70">
        <v>1854</v>
      </c>
      <c r="N70">
        <v>145</v>
      </c>
      <c r="O70">
        <v>0</v>
      </c>
      <c r="P70">
        <v>0</v>
      </c>
      <c r="Q70">
        <v>203</v>
      </c>
      <c r="R70">
        <v>0</v>
      </c>
    </row>
    <row r="71" spans="1:18" x14ac:dyDescent="0.2">
      <c r="A71" t="str">
        <f t="shared" si="3"/>
        <v>ICE.2024.3</v>
      </c>
      <c r="B71" t="s">
        <v>1403</v>
      </c>
      <c r="C71" t="str">
        <f t="shared" si="4"/>
        <v>3</v>
      </c>
      <c r="D71" t="str">
        <f t="shared" si="5"/>
        <v>2024</v>
      </c>
      <c r="E71" s="51" t="s">
        <v>1525</v>
      </c>
      <c r="J71">
        <v>-0.98499999999999999</v>
      </c>
      <c r="K71">
        <v>0</v>
      </c>
      <c r="L71">
        <v>217</v>
      </c>
      <c r="M71">
        <v>1978</v>
      </c>
      <c r="N71">
        <v>155</v>
      </c>
      <c r="O71">
        <v>0</v>
      </c>
      <c r="P71">
        <v>0</v>
      </c>
      <c r="Q71">
        <v>217</v>
      </c>
      <c r="R71">
        <v>0</v>
      </c>
    </row>
    <row r="72" spans="1:18" x14ac:dyDescent="0.2">
      <c r="A72" t="str">
        <f t="shared" si="3"/>
        <v>ICE.2024.4</v>
      </c>
      <c r="B72" t="s">
        <v>1403</v>
      </c>
      <c r="C72" t="str">
        <f t="shared" si="4"/>
        <v>4</v>
      </c>
      <c r="D72" t="str">
        <f t="shared" si="5"/>
        <v>2024</v>
      </c>
      <c r="E72" s="51" t="s">
        <v>1526</v>
      </c>
      <c r="J72">
        <v>-0.97</v>
      </c>
      <c r="K72">
        <v>0</v>
      </c>
      <c r="L72">
        <v>210</v>
      </c>
      <c r="M72">
        <v>2246</v>
      </c>
      <c r="N72">
        <v>210</v>
      </c>
      <c r="O72">
        <v>0</v>
      </c>
      <c r="P72">
        <v>0</v>
      </c>
      <c r="Q72">
        <v>210</v>
      </c>
      <c r="R72">
        <v>0</v>
      </c>
    </row>
    <row r="73" spans="1:18" x14ac:dyDescent="0.2">
      <c r="A73" t="str">
        <f t="shared" si="3"/>
        <v>ICE.2024.5</v>
      </c>
      <c r="B73" t="s">
        <v>1403</v>
      </c>
      <c r="C73" t="str">
        <f t="shared" si="4"/>
        <v>5</v>
      </c>
      <c r="D73" t="str">
        <f t="shared" si="5"/>
        <v>2024</v>
      </c>
      <c r="E73" s="51" t="s">
        <v>1527</v>
      </c>
      <c r="J73">
        <v>-0.98250000000000004</v>
      </c>
      <c r="K73">
        <v>0</v>
      </c>
      <c r="L73">
        <v>217</v>
      </c>
      <c r="M73">
        <v>2319</v>
      </c>
      <c r="N73">
        <v>217</v>
      </c>
      <c r="O73">
        <v>0</v>
      </c>
      <c r="P73">
        <v>0</v>
      </c>
      <c r="Q73">
        <v>217</v>
      </c>
      <c r="R73">
        <v>0</v>
      </c>
    </row>
    <row r="74" spans="1:18" x14ac:dyDescent="0.2">
      <c r="A74" t="str">
        <f t="shared" si="3"/>
        <v>ICE.2024.6</v>
      </c>
      <c r="B74" t="s">
        <v>1403</v>
      </c>
      <c r="C74" t="str">
        <f t="shared" si="4"/>
        <v>6</v>
      </c>
      <c r="D74" t="str">
        <f t="shared" si="5"/>
        <v>2024</v>
      </c>
      <c r="E74" s="51" t="s">
        <v>1528</v>
      </c>
      <c r="J74">
        <v>-0.98499999999999999</v>
      </c>
      <c r="K74">
        <v>0</v>
      </c>
      <c r="L74">
        <v>210</v>
      </c>
      <c r="M74">
        <v>2246</v>
      </c>
      <c r="N74">
        <v>210</v>
      </c>
      <c r="O74">
        <v>0</v>
      </c>
      <c r="P74">
        <v>0</v>
      </c>
      <c r="Q74">
        <v>210</v>
      </c>
      <c r="R74">
        <v>0</v>
      </c>
    </row>
    <row r="75" spans="1:18" x14ac:dyDescent="0.2">
      <c r="A75" t="str">
        <f t="shared" si="3"/>
        <v>ICE.2024.7</v>
      </c>
      <c r="B75" t="s">
        <v>1403</v>
      </c>
      <c r="C75" t="str">
        <f t="shared" si="4"/>
        <v>7</v>
      </c>
      <c r="D75" t="str">
        <f t="shared" si="5"/>
        <v>2024</v>
      </c>
      <c r="E75" s="51" t="s">
        <v>1529</v>
      </c>
      <c r="J75">
        <v>-1</v>
      </c>
      <c r="K75">
        <v>0</v>
      </c>
      <c r="L75">
        <v>217</v>
      </c>
      <c r="M75">
        <v>2319</v>
      </c>
      <c r="N75">
        <v>217</v>
      </c>
      <c r="O75">
        <v>0</v>
      </c>
      <c r="P75">
        <v>0</v>
      </c>
      <c r="Q75">
        <v>217</v>
      </c>
      <c r="R75">
        <v>0</v>
      </c>
    </row>
    <row r="76" spans="1:18" x14ac:dyDescent="0.2">
      <c r="A76" t="str">
        <f t="shared" si="3"/>
        <v>ICE.2024.8</v>
      </c>
      <c r="B76" t="s">
        <v>1403</v>
      </c>
      <c r="C76" t="str">
        <f t="shared" si="4"/>
        <v>8</v>
      </c>
      <c r="D76" t="str">
        <f t="shared" si="5"/>
        <v>2024</v>
      </c>
      <c r="E76" s="51" t="s">
        <v>1530</v>
      </c>
      <c r="J76">
        <v>-1.0024999999999999</v>
      </c>
      <c r="K76">
        <v>0</v>
      </c>
      <c r="L76">
        <v>217</v>
      </c>
      <c r="M76">
        <v>2319</v>
      </c>
      <c r="N76">
        <v>217</v>
      </c>
      <c r="O76">
        <v>0</v>
      </c>
      <c r="P76">
        <v>0</v>
      </c>
      <c r="Q76">
        <v>217</v>
      </c>
      <c r="R76">
        <v>0</v>
      </c>
    </row>
    <row r="77" spans="1:18" x14ac:dyDescent="0.2">
      <c r="A77" t="str">
        <f t="shared" si="3"/>
        <v>ICE.2024.9</v>
      </c>
      <c r="B77" t="s">
        <v>1403</v>
      </c>
      <c r="C77" t="str">
        <f t="shared" si="4"/>
        <v>9</v>
      </c>
      <c r="D77" t="str">
        <f t="shared" si="5"/>
        <v>2024</v>
      </c>
      <c r="E77" s="51" t="s">
        <v>1531</v>
      </c>
      <c r="J77">
        <v>-0.99</v>
      </c>
      <c r="K77">
        <v>0</v>
      </c>
      <c r="L77">
        <v>210</v>
      </c>
      <c r="M77">
        <v>2246</v>
      </c>
      <c r="N77">
        <v>210</v>
      </c>
      <c r="O77">
        <v>0</v>
      </c>
      <c r="P77">
        <v>0</v>
      </c>
      <c r="Q77">
        <v>210</v>
      </c>
      <c r="R77">
        <v>0</v>
      </c>
    </row>
    <row r="78" spans="1:18" x14ac:dyDescent="0.2">
      <c r="A78" t="str">
        <f t="shared" si="3"/>
        <v>ICE.2024.10</v>
      </c>
      <c r="B78" t="s">
        <v>1403</v>
      </c>
      <c r="C78" t="str">
        <f t="shared" si="4"/>
        <v>10</v>
      </c>
      <c r="D78" t="str">
        <f t="shared" si="5"/>
        <v>2024</v>
      </c>
      <c r="E78" s="51" t="s">
        <v>1532</v>
      </c>
      <c r="J78">
        <v>-0.98</v>
      </c>
      <c r="K78">
        <v>0</v>
      </c>
      <c r="L78">
        <v>217</v>
      </c>
      <c r="M78">
        <v>2319</v>
      </c>
      <c r="N78">
        <v>217</v>
      </c>
      <c r="O78">
        <v>0</v>
      </c>
      <c r="P78">
        <v>0</v>
      </c>
      <c r="Q78">
        <v>217</v>
      </c>
      <c r="R78">
        <v>0</v>
      </c>
    </row>
    <row r="79" spans="1:18" x14ac:dyDescent="0.2">
      <c r="A79" t="str">
        <f t="shared" si="3"/>
        <v>ICE.2024.11</v>
      </c>
      <c r="B79" t="s">
        <v>1403</v>
      </c>
      <c r="C79" t="str">
        <f t="shared" si="4"/>
        <v>11</v>
      </c>
      <c r="D79" t="str">
        <f t="shared" si="5"/>
        <v>2024</v>
      </c>
      <c r="E79" s="51" t="s">
        <v>1533</v>
      </c>
      <c r="J79">
        <v>-0.92500000000000004</v>
      </c>
      <c r="K79">
        <v>0</v>
      </c>
      <c r="L79">
        <v>210</v>
      </c>
      <c r="M79">
        <v>1736</v>
      </c>
      <c r="N79">
        <v>150</v>
      </c>
      <c r="O79">
        <v>0</v>
      </c>
      <c r="P79">
        <v>0</v>
      </c>
      <c r="Q79">
        <v>210</v>
      </c>
      <c r="R79">
        <v>0</v>
      </c>
    </row>
    <row r="80" spans="1:18" x14ac:dyDescent="0.2">
      <c r="A80" t="str">
        <f t="shared" si="3"/>
        <v>ICE.2024.12</v>
      </c>
      <c r="B80" t="s">
        <v>1403</v>
      </c>
      <c r="C80" t="str">
        <f t="shared" si="4"/>
        <v>12</v>
      </c>
      <c r="D80" t="str">
        <f t="shared" si="5"/>
        <v>2024</v>
      </c>
      <c r="E80" s="51" t="s">
        <v>1534</v>
      </c>
      <c r="J80">
        <v>-0.92500000000000004</v>
      </c>
      <c r="K80">
        <v>0</v>
      </c>
      <c r="L80">
        <v>217</v>
      </c>
      <c r="M80">
        <v>1792</v>
      </c>
      <c r="N80">
        <v>155</v>
      </c>
      <c r="O80">
        <v>0</v>
      </c>
      <c r="P80">
        <v>0</v>
      </c>
      <c r="Q80">
        <v>217</v>
      </c>
      <c r="R80">
        <v>0</v>
      </c>
    </row>
    <row r="81" spans="1:18" x14ac:dyDescent="0.2">
      <c r="A81" t="str">
        <f t="shared" si="3"/>
        <v>ICE.2025.1</v>
      </c>
      <c r="B81" t="s">
        <v>1403</v>
      </c>
      <c r="C81" t="str">
        <f t="shared" si="4"/>
        <v>1</v>
      </c>
      <c r="D81" t="str">
        <f t="shared" si="5"/>
        <v>2025</v>
      </c>
      <c r="E81" s="51" t="s">
        <v>1538</v>
      </c>
      <c r="J81">
        <v>-0.97750000000000004</v>
      </c>
      <c r="K81">
        <v>0</v>
      </c>
      <c r="L81">
        <v>0</v>
      </c>
      <c r="M81">
        <v>124</v>
      </c>
      <c r="N81">
        <v>0</v>
      </c>
      <c r="O81">
        <v>0</v>
      </c>
      <c r="P81">
        <v>0</v>
      </c>
      <c r="Q81">
        <v>0</v>
      </c>
      <c r="R81">
        <v>0</v>
      </c>
    </row>
    <row r="82" spans="1:18" x14ac:dyDescent="0.2">
      <c r="A82" t="str">
        <f t="shared" si="3"/>
        <v>ICE.2025.2</v>
      </c>
      <c r="B82" t="s">
        <v>1403</v>
      </c>
      <c r="C82" t="str">
        <f t="shared" si="4"/>
        <v>2</v>
      </c>
      <c r="D82" t="str">
        <f t="shared" si="5"/>
        <v>2025</v>
      </c>
      <c r="E82" s="51" t="s">
        <v>1539</v>
      </c>
      <c r="J82">
        <v>-0.95</v>
      </c>
      <c r="K82">
        <v>0</v>
      </c>
      <c r="L82">
        <v>0</v>
      </c>
      <c r="M82">
        <v>112</v>
      </c>
      <c r="N82">
        <v>0</v>
      </c>
      <c r="O82">
        <v>0</v>
      </c>
      <c r="P82">
        <v>0</v>
      </c>
      <c r="Q82">
        <v>0</v>
      </c>
      <c r="R82">
        <v>0</v>
      </c>
    </row>
    <row r="83" spans="1:18" x14ac:dyDescent="0.2">
      <c r="A83" t="str">
        <f t="shared" si="3"/>
        <v>ICE.2025.3</v>
      </c>
      <c r="B83" t="s">
        <v>1403</v>
      </c>
      <c r="C83" t="str">
        <f t="shared" si="4"/>
        <v>3</v>
      </c>
      <c r="D83" t="str">
        <f t="shared" si="5"/>
        <v>2025</v>
      </c>
      <c r="E83" s="51" t="s">
        <v>1540</v>
      </c>
      <c r="J83">
        <v>-0.94750000000000001</v>
      </c>
      <c r="K83">
        <v>0</v>
      </c>
      <c r="L83">
        <v>0</v>
      </c>
      <c r="M83">
        <v>124</v>
      </c>
      <c r="N83">
        <v>0</v>
      </c>
      <c r="O83">
        <v>0</v>
      </c>
      <c r="P83">
        <v>0</v>
      </c>
      <c r="Q83">
        <v>0</v>
      </c>
      <c r="R83">
        <v>0</v>
      </c>
    </row>
    <row r="84" spans="1:18" x14ac:dyDescent="0.2">
      <c r="A84" t="str">
        <f t="shared" si="3"/>
        <v>ICE.2025.4</v>
      </c>
      <c r="B84" t="s">
        <v>1403</v>
      </c>
      <c r="C84" t="str">
        <f t="shared" si="4"/>
        <v>4</v>
      </c>
      <c r="D84" t="str">
        <f t="shared" si="5"/>
        <v>2025</v>
      </c>
      <c r="E84" s="51" t="s">
        <v>1541</v>
      </c>
      <c r="J84">
        <v>-0.92</v>
      </c>
      <c r="K84">
        <v>0</v>
      </c>
      <c r="L84">
        <v>0</v>
      </c>
      <c r="M84">
        <v>90</v>
      </c>
      <c r="N84">
        <v>0</v>
      </c>
      <c r="O84">
        <v>0</v>
      </c>
      <c r="P84">
        <v>0</v>
      </c>
      <c r="Q84">
        <v>0</v>
      </c>
      <c r="R84">
        <v>0</v>
      </c>
    </row>
    <row r="85" spans="1:18" x14ac:dyDescent="0.2">
      <c r="A85" t="str">
        <f t="shared" si="3"/>
        <v>ICE.2025.5</v>
      </c>
      <c r="B85" t="s">
        <v>1403</v>
      </c>
      <c r="C85" t="str">
        <f t="shared" si="4"/>
        <v>5</v>
      </c>
      <c r="D85" t="str">
        <f t="shared" si="5"/>
        <v>2025</v>
      </c>
      <c r="E85" s="51" t="s">
        <v>1542</v>
      </c>
      <c r="J85">
        <v>-0.93</v>
      </c>
      <c r="K85">
        <v>0</v>
      </c>
      <c r="L85">
        <v>0</v>
      </c>
      <c r="M85">
        <v>93</v>
      </c>
      <c r="N85">
        <v>0</v>
      </c>
      <c r="O85">
        <v>0</v>
      </c>
      <c r="P85">
        <v>0</v>
      </c>
      <c r="Q85">
        <v>0</v>
      </c>
      <c r="R85">
        <v>0</v>
      </c>
    </row>
    <row r="86" spans="1:18" x14ac:dyDescent="0.2">
      <c r="A86" t="str">
        <f t="shared" si="3"/>
        <v>ICE.2025.6</v>
      </c>
      <c r="B86" t="s">
        <v>1403</v>
      </c>
      <c r="C86" t="str">
        <f t="shared" si="4"/>
        <v>6</v>
      </c>
      <c r="D86" t="str">
        <f t="shared" si="5"/>
        <v>2025</v>
      </c>
      <c r="E86" s="51" t="s">
        <v>1543</v>
      </c>
      <c r="J86">
        <v>-0.9325</v>
      </c>
      <c r="K86">
        <v>0</v>
      </c>
      <c r="L86">
        <v>0</v>
      </c>
      <c r="M86">
        <v>90</v>
      </c>
      <c r="N86">
        <v>0</v>
      </c>
      <c r="O86">
        <v>0</v>
      </c>
      <c r="P86">
        <v>0</v>
      </c>
      <c r="Q86">
        <v>0</v>
      </c>
      <c r="R86">
        <v>0</v>
      </c>
    </row>
    <row r="87" spans="1:18" x14ac:dyDescent="0.2">
      <c r="A87" t="str">
        <f t="shared" si="3"/>
        <v>ICE.2025.7</v>
      </c>
      <c r="B87" t="s">
        <v>1403</v>
      </c>
      <c r="C87" t="str">
        <f t="shared" si="4"/>
        <v>7</v>
      </c>
      <c r="D87" t="str">
        <f t="shared" si="5"/>
        <v>2025</v>
      </c>
      <c r="E87" s="51" t="s">
        <v>1544</v>
      </c>
      <c r="J87">
        <v>-0.94750000000000001</v>
      </c>
      <c r="K87">
        <v>0</v>
      </c>
      <c r="L87">
        <v>0</v>
      </c>
      <c r="M87">
        <v>93</v>
      </c>
      <c r="N87">
        <v>0</v>
      </c>
      <c r="O87">
        <v>0</v>
      </c>
      <c r="P87">
        <v>0</v>
      </c>
      <c r="Q87">
        <v>0</v>
      </c>
      <c r="R87">
        <v>0</v>
      </c>
    </row>
    <row r="88" spans="1:18" x14ac:dyDescent="0.2">
      <c r="A88" t="str">
        <f t="shared" si="3"/>
        <v>ICE.2025.8</v>
      </c>
      <c r="B88" t="s">
        <v>1403</v>
      </c>
      <c r="C88" t="str">
        <f t="shared" si="4"/>
        <v>8</v>
      </c>
      <c r="D88" t="str">
        <f t="shared" si="5"/>
        <v>2025</v>
      </c>
      <c r="E88" s="51" t="s">
        <v>1545</v>
      </c>
      <c r="J88">
        <v>-0.95</v>
      </c>
      <c r="K88">
        <v>0</v>
      </c>
      <c r="L88">
        <v>0</v>
      </c>
      <c r="M88">
        <v>93</v>
      </c>
      <c r="N88">
        <v>0</v>
      </c>
      <c r="O88">
        <v>0</v>
      </c>
      <c r="P88">
        <v>0</v>
      </c>
      <c r="Q88">
        <v>0</v>
      </c>
      <c r="R88">
        <v>0</v>
      </c>
    </row>
    <row r="89" spans="1:18" x14ac:dyDescent="0.2">
      <c r="A89" t="str">
        <f t="shared" si="3"/>
        <v>ICE.2025.9</v>
      </c>
      <c r="B89" t="s">
        <v>1403</v>
      </c>
      <c r="C89" t="str">
        <f t="shared" si="4"/>
        <v>9</v>
      </c>
      <c r="D89" t="str">
        <f t="shared" si="5"/>
        <v>2025</v>
      </c>
      <c r="E89" s="51" t="s">
        <v>1546</v>
      </c>
      <c r="J89">
        <v>-0.9375</v>
      </c>
      <c r="K89">
        <v>0</v>
      </c>
      <c r="L89">
        <v>0</v>
      </c>
      <c r="M89">
        <v>90</v>
      </c>
      <c r="N89">
        <v>0</v>
      </c>
      <c r="O89">
        <v>0</v>
      </c>
      <c r="P89">
        <v>0</v>
      </c>
      <c r="Q89">
        <v>0</v>
      </c>
      <c r="R89">
        <v>0</v>
      </c>
    </row>
    <row r="90" spans="1:18" x14ac:dyDescent="0.2">
      <c r="A90" t="str">
        <f t="shared" si="3"/>
        <v>ICE.2025.10</v>
      </c>
      <c r="B90" t="s">
        <v>1403</v>
      </c>
      <c r="C90" t="str">
        <f t="shared" si="4"/>
        <v>10</v>
      </c>
      <c r="D90" t="str">
        <f t="shared" si="5"/>
        <v>2025</v>
      </c>
      <c r="E90" s="51" t="s">
        <v>1547</v>
      </c>
      <c r="J90">
        <v>-0.93</v>
      </c>
      <c r="K90">
        <v>0</v>
      </c>
      <c r="L90">
        <v>0</v>
      </c>
      <c r="M90">
        <v>93</v>
      </c>
      <c r="N90">
        <v>0</v>
      </c>
      <c r="O90">
        <v>0</v>
      </c>
      <c r="P90">
        <v>0</v>
      </c>
      <c r="Q90">
        <v>0</v>
      </c>
      <c r="R90">
        <v>0</v>
      </c>
    </row>
    <row r="91" spans="1:18" x14ac:dyDescent="0.2">
      <c r="A91" t="str">
        <f t="shared" si="3"/>
        <v>ICE.2025.11</v>
      </c>
      <c r="B91" t="s">
        <v>1403</v>
      </c>
      <c r="C91" t="str">
        <f t="shared" si="4"/>
        <v>11</v>
      </c>
      <c r="D91" t="str">
        <f t="shared" si="5"/>
        <v>2025</v>
      </c>
      <c r="E91" s="51" t="s">
        <v>1548</v>
      </c>
      <c r="J91">
        <v>-0.84250000000000003</v>
      </c>
      <c r="K91">
        <v>0</v>
      </c>
      <c r="L91">
        <v>0</v>
      </c>
      <c r="M91">
        <v>60</v>
      </c>
      <c r="N91">
        <v>0</v>
      </c>
      <c r="O91">
        <v>0</v>
      </c>
      <c r="P91">
        <v>0</v>
      </c>
      <c r="Q91">
        <v>0</v>
      </c>
      <c r="R91">
        <v>0</v>
      </c>
    </row>
    <row r="92" spans="1:18" x14ac:dyDescent="0.2">
      <c r="A92" t="str">
        <f t="shared" si="3"/>
        <v>ICE.2025.12</v>
      </c>
      <c r="B92" t="s">
        <v>1403</v>
      </c>
      <c r="C92" t="str">
        <f t="shared" si="4"/>
        <v>12</v>
      </c>
      <c r="D92" t="str">
        <f t="shared" si="5"/>
        <v>2025</v>
      </c>
      <c r="E92" s="51" t="s">
        <v>1549</v>
      </c>
      <c r="J92">
        <v>-0.84250000000000003</v>
      </c>
      <c r="K92">
        <v>0</v>
      </c>
      <c r="L92">
        <v>0</v>
      </c>
      <c r="M92">
        <v>62</v>
      </c>
      <c r="N92">
        <v>0</v>
      </c>
      <c r="O92">
        <v>0</v>
      </c>
      <c r="P92">
        <v>0</v>
      </c>
      <c r="Q92">
        <v>0</v>
      </c>
      <c r="R92">
        <v>0</v>
      </c>
    </row>
    <row r="93" spans="1:18" x14ac:dyDescent="0.2">
      <c r="A93" t="str">
        <f t="shared" si="3"/>
        <v>ICE.2026.1</v>
      </c>
      <c r="B93" t="s">
        <v>1403</v>
      </c>
      <c r="C93" t="str">
        <f t="shared" si="4"/>
        <v>1</v>
      </c>
      <c r="D93" t="str">
        <f t="shared" si="5"/>
        <v>2026</v>
      </c>
      <c r="E93" s="51" t="s">
        <v>1550</v>
      </c>
      <c r="J93">
        <v>-0.89249999999999996</v>
      </c>
      <c r="K93">
        <v>0</v>
      </c>
      <c r="L93">
        <v>0</v>
      </c>
      <c r="M93">
        <v>31</v>
      </c>
      <c r="N93">
        <v>0</v>
      </c>
      <c r="O93">
        <v>0</v>
      </c>
      <c r="P93">
        <v>0</v>
      </c>
      <c r="Q93">
        <v>0</v>
      </c>
      <c r="R93">
        <v>0</v>
      </c>
    </row>
    <row r="94" spans="1:18" x14ac:dyDescent="0.2">
      <c r="A94" t="str">
        <f t="shared" si="3"/>
        <v>ICE.2026.2</v>
      </c>
      <c r="B94" t="s">
        <v>1403</v>
      </c>
      <c r="C94" t="str">
        <f t="shared" si="4"/>
        <v>2</v>
      </c>
      <c r="D94" t="str">
        <f t="shared" si="5"/>
        <v>2026</v>
      </c>
      <c r="E94" s="51" t="s">
        <v>1551</v>
      </c>
      <c r="J94">
        <v>-0.87</v>
      </c>
      <c r="K94">
        <v>0</v>
      </c>
      <c r="L94">
        <v>0</v>
      </c>
      <c r="M94">
        <v>28</v>
      </c>
      <c r="N94">
        <v>0</v>
      </c>
      <c r="O94">
        <v>0</v>
      </c>
      <c r="P94">
        <v>0</v>
      </c>
      <c r="Q94">
        <v>0</v>
      </c>
      <c r="R94">
        <v>0</v>
      </c>
    </row>
    <row r="95" spans="1:18" x14ac:dyDescent="0.2">
      <c r="A95" t="str">
        <f t="shared" si="3"/>
        <v>ICE.2026.3</v>
      </c>
      <c r="B95" t="s">
        <v>1403</v>
      </c>
      <c r="C95" t="str">
        <f t="shared" si="4"/>
        <v>3</v>
      </c>
      <c r="D95" t="str">
        <f t="shared" si="5"/>
        <v>2026</v>
      </c>
      <c r="E95" s="51" t="s">
        <v>1552</v>
      </c>
      <c r="J95">
        <v>-0.86250000000000004</v>
      </c>
      <c r="K95">
        <v>0</v>
      </c>
      <c r="L95">
        <v>0</v>
      </c>
      <c r="M95">
        <v>31</v>
      </c>
      <c r="N95">
        <v>0</v>
      </c>
      <c r="O95">
        <v>0</v>
      </c>
      <c r="P95">
        <v>0</v>
      </c>
      <c r="Q95">
        <v>0</v>
      </c>
      <c r="R95">
        <v>0</v>
      </c>
    </row>
    <row r="96" spans="1:18" x14ac:dyDescent="0.2">
      <c r="A96" t="str">
        <f t="shared" si="3"/>
        <v>ICE.2026.4</v>
      </c>
      <c r="B96" t="s">
        <v>1403</v>
      </c>
      <c r="C96" t="str">
        <f t="shared" si="4"/>
        <v>4</v>
      </c>
      <c r="D96" t="str">
        <f t="shared" si="5"/>
        <v>2026</v>
      </c>
      <c r="E96" s="51" t="s">
        <v>1553</v>
      </c>
      <c r="J96">
        <v>-0.83250000000000002</v>
      </c>
      <c r="K96">
        <v>0</v>
      </c>
      <c r="L96">
        <v>0</v>
      </c>
      <c r="M96">
        <v>30</v>
      </c>
      <c r="N96">
        <v>0</v>
      </c>
      <c r="O96">
        <v>0</v>
      </c>
      <c r="P96">
        <v>0</v>
      </c>
      <c r="Q96">
        <v>0</v>
      </c>
      <c r="R96">
        <v>0</v>
      </c>
    </row>
    <row r="97" spans="1:18" x14ac:dyDescent="0.2">
      <c r="A97" t="str">
        <f t="shared" si="3"/>
        <v>ICE.2026.5</v>
      </c>
      <c r="B97" t="s">
        <v>1403</v>
      </c>
      <c r="C97" t="str">
        <f t="shared" si="4"/>
        <v>5</v>
      </c>
      <c r="D97" t="str">
        <f t="shared" si="5"/>
        <v>2026</v>
      </c>
      <c r="E97" s="51" t="s">
        <v>1554</v>
      </c>
      <c r="J97">
        <v>-0.84750000000000003</v>
      </c>
      <c r="K97">
        <v>0</v>
      </c>
      <c r="L97">
        <v>0</v>
      </c>
      <c r="M97">
        <v>31</v>
      </c>
      <c r="N97">
        <v>0</v>
      </c>
      <c r="O97">
        <v>0</v>
      </c>
      <c r="P97">
        <v>0</v>
      </c>
      <c r="Q97">
        <v>0</v>
      </c>
      <c r="R97">
        <v>0</v>
      </c>
    </row>
    <row r="98" spans="1:18" x14ac:dyDescent="0.2">
      <c r="A98" t="str">
        <f t="shared" si="3"/>
        <v>ICE.2026.6</v>
      </c>
      <c r="B98" t="s">
        <v>1403</v>
      </c>
      <c r="C98" t="str">
        <f t="shared" si="4"/>
        <v>6</v>
      </c>
      <c r="D98" t="str">
        <f t="shared" si="5"/>
        <v>2026</v>
      </c>
      <c r="E98" s="51" t="s">
        <v>1555</v>
      </c>
      <c r="J98">
        <v>-0.84750000000000003</v>
      </c>
      <c r="K98">
        <v>0</v>
      </c>
      <c r="L98">
        <v>0</v>
      </c>
      <c r="M98">
        <v>30</v>
      </c>
      <c r="N98">
        <v>0</v>
      </c>
      <c r="O98">
        <v>0</v>
      </c>
      <c r="P98">
        <v>0</v>
      </c>
      <c r="Q98">
        <v>0</v>
      </c>
      <c r="R98">
        <v>0</v>
      </c>
    </row>
    <row r="99" spans="1:18" x14ac:dyDescent="0.2">
      <c r="A99" t="str">
        <f t="shared" si="3"/>
        <v>ICE.2026.7</v>
      </c>
      <c r="B99" t="s">
        <v>1403</v>
      </c>
      <c r="C99" t="str">
        <f t="shared" si="4"/>
        <v>7</v>
      </c>
      <c r="D99" t="str">
        <f t="shared" si="5"/>
        <v>2026</v>
      </c>
      <c r="E99" s="51" t="s">
        <v>1556</v>
      </c>
      <c r="J99">
        <v>-0.86250000000000004</v>
      </c>
      <c r="K99">
        <v>0</v>
      </c>
      <c r="L99">
        <v>0</v>
      </c>
      <c r="M99">
        <v>31</v>
      </c>
      <c r="N99">
        <v>0</v>
      </c>
      <c r="O99">
        <v>0</v>
      </c>
      <c r="P99">
        <v>0</v>
      </c>
      <c r="Q99">
        <v>0</v>
      </c>
      <c r="R99">
        <v>0</v>
      </c>
    </row>
    <row r="100" spans="1:18" x14ac:dyDescent="0.2">
      <c r="A100" t="str">
        <f t="shared" si="3"/>
        <v>ICE.2026.8</v>
      </c>
      <c r="B100" t="s">
        <v>1403</v>
      </c>
      <c r="C100" t="str">
        <f t="shared" si="4"/>
        <v>8</v>
      </c>
      <c r="D100" t="str">
        <f t="shared" si="5"/>
        <v>2026</v>
      </c>
      <c r="E100" s="51" t="s">
        <v>1557</v>
      </c>
      <c r="J100">
        <v>-0.86499999999999999</v>
      </c>
      <c r="K100">
        <v>0</v>
      </c>
      <c r="L100">
        <v>0</v>
      </c>
      <c r="M100">
        <v>31</v>
      </c>
      <c r="N100">
        <v>0</v>
      </c>
      <c r="O100">
        <v>0</v>
      </c>
      <c r="P100">
        <v>0</v>
      </c>
      <c r="Q100">
        <v>0</v>
      </c>
      <c r="R100">
        <v>0</v>
      </c>
    </row>
    <row r="101" spans="1:18" x14ac:dyDescent="0.2">
      <c r="A101" t="str">
        <f t="shared" si="3"/>
        <v>ICE.2026.9</v>
      </c>
      <c r="B101" t="s">
        <v>1403</v>
      </c>
      <c r="C101" t="str">
        <f t="shared" si="4"/>
        <v>9</v>
      </c>
      <c r="D101" t="str">
        <f t="shared" si="5"/>
        <v>2026</v>
      </c>
      <c r="E101" s="51" t="s">
        <v>1558</v>
      </c>
      <c r="J101">
        <v>-0.85</v>
      </c>
      <c r="K101">
        <v>0</v>
      </c>
      <c r="L101">
        <v>0</v>
      </c>
      <c r="M101">
        <v>30</v>
      </c>
      <c r="N101">
        <v>0</v>
      </c>
      <c r="O101">
        <v>0</v>
      </c>
      <c r="P101">
        <v>0</v>
      </c>
      <c r="Q101">
        <v>0</v>
      </c>
      <c r="R101">
        <v>0</v>
      </c>
    </row>
    <row r="102" spans="1:18" x14ac:dyDescent="0.2">
      <c r="A102" t="str">
        <f t="shared" si="3"/>
        <v>ICE.2026.10</v>
      </c>
      <c r="B102" t="s">
        <v>1403</v>
      </c>
      <c r="C102" t="str">
        <f t="shared" si="4"/>
        <v>10</v>
      </c>
      <c r="D102" t="str">
        <f t="shared" si="5"/>
        <v>2026</v>
      </c>
      <c r="E102" s="51" t="s">
        <v>1559</v>
      </c>
      <c r="J102">
        <v>-0.84499999999999997</v>
      </c>
      <c r="K102">
        <v>0</v>
      </c>
      <c r="L102">
        <v>0</v>
      </c>
      <c r="M102">
        <v>31</v>
      </c>
      <c r="N102">
        <v>0</v>
      </c>
      <c r="O102">
        <v>0</v>
      </c>
      <c r="P102">
        <v>0</v>
      </c>
      <c r="Q102">
        <v>0</v>
      </c>
      <c r="R102">
        <v>0</v>
      </c>
    </row>
    <row r="103" spans="1:18" x14ac:dyDescent="0.2">
      <c r="A103" t="str">
        <f t="shared" si="3"/>
        <v>ICE.2026.11</v>
      </c>
      <c r="B103" t="s">
        <v>1403</v>
      </c>
      <c r="C103" t="str">
        <f t="shared" si="4"/>
        <v>11</v>
      </c>
      <c r="D103" t="str">
        <f t="shared" si="5"/>
        <v>2026</v>
      </c>
      <c r="E103" s="51" t="s">
        <v>1560</v>
      </c>
      <c r="J103">
        <v>-0.81499999999999995</v>
      </c>
      <c r="K103">
        <v>0</v>
      </c>
      <c r="L103">
        <v>0</v>
      </c>
      <c r="M103">
        <v>30</v>
      </c>
      <c r="N103">
        <v>0</v>
      </c>
      <c r="O103">
        <v>0</v>
      </c>
      <c r="P103">
        <v>0</v>
      </c>
      <c r="Q103">
        <v>0</v>
      </c>
      <c r="R103">
        <v>0</v>
      </c>
    </row>
    <row r="104" spans="1:18" x14ac:dyDescent="0.2">
      <c r="A104" t="str">
        <f t="shared" si="3"/>
        <v>ICE.2026.12</v>
      </c>
      <c r="B104" t="s">
        <v>1403</v>
      </c>
      <c r="C104" t="str">
        <f t="shared" si="4"/>
        <v>12</v>
      </c>
      <c r="D104" t="str">
        <f t="shared" si="5"/>
        <v>2026</v>
      </c>
      <c r="E104" s="51" t="s">
        <v>1561</v>
      </c>
      <c r="J104">
        <v>-0.8125</v>
      </c>
      <c r="K104">
        <v>0</v>
      </c>
      <c r="L104">
        <v>0</v>
      </c>
      <c r="M104">
        <v>31</v>
      </c>
      <c r="N104">
        <v>0</v>
      </c>
      <c r="O104">
        <v>0</v>
      </c>
      <c r="P104">
        <v>0</v>
      </c>
      <c r="Q104">
        <v>0</v>
      </c>
      <c r="R104">
        <v>0</v>
      </c>
    </row>
    <row r="105" spans="1:18" x14ac:dyDescent="0.2">
      <c r="A105" t="str">
        <f t="shared" si="3"/>
        <v>ICE.2027.1</v>
      </c>
      <c r="B105" t="s">
        <v>1403</v>
      </c>
      <c r="C105" t="str">
        <f t="shared" si="4"/>
        <v>1</v>
      </c>
      <c r="D105" t="str">
        <f t="shared" si="5"/>
        <v>2027</v>
      </c>
      <c r="E105" s="51" t="s">
        <v>1562</v>
      </c>
      <c r="J105">
        <v>-0.86250000000000004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</row>
    <row r="106" spans="1:18" x14ac:dyDescent="0.2">
      <c r="A106" t="str">
        <f t="shared" si="3"/>
        <v>ICE.2027.2</v>
      </c>
      <c r="B106" t="s">
        <v>1403</v>
      </c>
      <c r="C106" t="str">
        <f t="shared" si="4"/>
        <v>2</v>
      </c>
      <c r="D106" t="str">
        <f t="shared" si="5"/>
        <v>2027</v>
      </c>
      <c r="E106" s="51" t="s">
        <v>1563</v>
      </c>
      <c r="J106">
        <v>-0.83250000000000002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</row>
    <row r="107" spans="1:18" x14ac:dyDescent="0.2">
      <c r="A107" t="str">
        <f t="shared" si="3"/>
        <v>ICE.2027.3</v>
      </c>
      <c r="B107" t="s">
        <v>1403</v>
      </c>
      <c r="C107" t="str">
        <f t="shared" si="4"/>
        <v>3</v>
      </c>
      <c r="D107" t="str">
        <f t="shared" si="5"/>
        <v>2027</v>
      </c>
      <c r="E107" s="51" t="s">
        <v>1564</v>
      </c>
      <c r="J107">
        <v>-0.83499999999999996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</row>
    <row r="108" spans="1:18" x14ac:dyDescent="0.2">
      <c r="A108" t="str">
        <f t="shared" si="3"/>
        <v>ICE.2027.4</v>
      </c>
      <c r="B108" t="s">
        <v>1403</v>
      </c>
      <c r="C108" t="str">
        <f t="shared" si="4"/>
        <v>4</v>
      </c>
      <c r="D108" t="str">
        <f t="shared" si="5"/>
        <v>2027</v>
      </c>
      <c r="E108" s="51" t="s">
        <v>1565</v>
      </c>
      <c r="J108">
        <v>-0.78500000000000003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</row>
    <row r="109" spans="1:18" x14ac:dyDescent="0.2">
      <c r="A109" t="str">
        <f t="shared" si="3"/>
        <v>ICE.2027.5</v>
      </c>
      <c r="B109" t="s">
        <v>1403</v>
      </c>
      <c r="C109" t="str">
        <f t="shared" si="4"/>
        <v>5</v>
      </c>
      <c r="D109" t="str">
        <f t="shared" si="5"/>
        <v>2027</v>
      </c>
      <c r="E109" s="51" t="s">
        <v>1566</v>
      </c>
      <c r="J109">
        <v>-0.79500000000000004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</row>
    <row r="110" spans="1:18" x14ac:dyDescent="0.2">
      <c r="A110" t="str">
        <f t="shared" si="3"/>
        <v>ICE.2027.6</v>
      </c>
      <c r="B110" t="s">
        <v>1403</v>
      </c>
      <c r="C110" t="str">
        <f t="shared" si="4"/>
        <v>6</v>
      </c>
      <c r="D110" t="str">
        <f t="shared" si="5"/>
        <v>2027</v>
      </c>
      <c r="E110" s="51" t="s">
        <v>1567</v>
      </c>
      <c r="J110">
        <v>-0.79749999999999999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</row>
    <row r="111" spans="1:18" x14ac:dyDescent="0.2">
      <c r="A111" t="str">
        <f t="shared" si="3"/>
        <v>ICE.2027.7</v>
      </c>
      <c r="B111" t="s">
        <v>1403</v>
      </c>
      <c r="C111" t="str">
        <f t="shared" si="4"/>
        <v>7</v>
      </c>
      <c r="D111" t="str">
        <f t="shared" si="5"/>
        <v>2027</v>
      </c>
      <c r="E111" s="51" t="s">
        <v>1568</v>
      </c>
      <c r="J111">
        <v>-0.81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</row>
    <row r="112" spans="1:18" x14ac:dyDescent="0.2">
      <c r="A112" t="str">
        <f t="shared" si="3"/>
        <v>ICE.2027.8</v>
      </c>
      <c r="B112" t="s">
        <v>1403</v>
      </c>
      <c r="C112" t="str">
        <f t="shared" si="4"/>
        <v>8</v>
      </c>
      <c r="D112" t="str">
        <f t="shared" si="5"/>
        <v>2027</v>
      </c>
      <c r="E112" s="51" t="s">
        <v>1569</v>
      </c>
      <c r="J112">
        <v>-0.8125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</row>
    <row r="113" spans="1:18" x14ac:dyDescent="0.2">
      <c r="A113" t="str">
        <f t="shared" si="3"/>
        <v>ICE.2027.9</v>
      </c>
      <c r="B113" t="s">
        <v>1403</v>
      </c>
      <c r="C113" t="str">
        <f t="shared" si="4"/>
        <v>9</v>
      </c>
      <c r="D113" t="str">
        <f t="shared" si="5"/>
        <v>2027</v>
      </c>
      <c r="E113" s="51" t="s">
        <v>1570</v>
      </c>
      <c r="J113">
        <v>-0.80249999999999999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</row>
    <row r="114" spans="1:18" x14ac:dyDescent="0.2">
      <c r="A114" t="str">
        <f t="shared" si="3"/>
        <v>ICE.2027.10</v>
      </c>
      <c r="B114" t="s">
        <v>1403</v>
      </c>
      <c r="C114" t="str">
        <f t="shared" si="4"/>
        <v>10</v>
      </c>
      <c r="D114" t="str">
        <f t="shared" si="5"/>
        <v>2027</v>
      </c>
      <c r="E114" s="51" t="s">
        <v>1571</v>
      </c>
      <c r="J114">
        <v>-0.79500000000000004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</row>
    <row r="115" spans="1:18" x14ac:dyDescent="0.2">
      <c r="A115" t="str">
        <f t="shared" si="3"/>
        <v>ICE.2027.11</v>
      </c>
      <c r="B115" t="s">
        <v>1403</v>
      </c>
      <c r="C115" t="str">
        <f t="shared" si="4"/>
        <v>11</v>
      </c>
      <c r="D115" t="str">
        <f t="shared" si="5"/>
        <v>2027</v>
      </c>
      <c r="E115" s="51" t="s">
        <v>1572</v>
      </c>
      <c r="J115">
        <v>-0.85250000000000004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</row>
    <row r="116" spans="1:18" x14ac:dyDescent="0.2">
      <c r="A116" t="str">
        <f t="shared" si="3"/>
        <v>ICE.2027.12</v>
      </c>
      <c r="B116" t="s">
        <v>1403</v>
      </c>
      <c r="C116" t="str">
        <f t="shared" si="4"/>
        <v>12</v>
      </c>
      <c r="D116" t="str">
        <f t="shared" si="5"/>
        <v>2027</v>
      </c>
      <c r="E116" s="51" t="s">
        <v>1573</v>
      </c>
      <c r="J116">
        <v>-0.85250000000000004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ECPrevious"/>
  <dimension ref="A1:F110"/>
  <sheetViews>
    <sheetView workbookViewId="0">
      <selection activeCell="M1" sqref="M1:M65536"/>
    </sheetView>
  </sheetViews>
  <sheetFormatPr defaultRowHeight="12.75" x14ac:dyDescent="0.2"/>
  <cols>
    <col min="1" max="1" width="81.140625" bestFit="1" customWidth="1"/>
  </cols>
  <sheetData>
    <row r="1" spans="1:6" s="1" customFormat="1" x14ac:dyDescent="0.2">
      <c r="A1" s="1" t="s">
        <v>1020</v>
      </c>
      <c r="C1" s="1" t="s">
        <v>1444</v>
      </c>
      <c r="D1" s="1" t="s">
        <v>1445</v>
      </c>
      <c r="E1" s="1" t="s">
        <v>976</v>
      </c>
      <c r="F1" s="45">
        <v>41221</v>
      </c>
    </row>
    <row r="2" spans="1:6" x14ac:dyDescent="0.2">
      <c r="A2" t="s">
        <v>550</v>
      </c>
      <c r="B2" t="s">
        <v>1446</v>
      </c>
      <c r="C2">
        <v>0</v>
      </c>
      <c r="D2">
        <v>0</v>
      </c>
      <c r="E2">
        <v>186</v>
      </c>
    </row>
    <row r="3" spans="1:6" x14ac:dyDescent="0.2">
      <c r="A3" t="s">
        <v>551</v>
      </c>
      <c r="B3" t="s">
        <v>1446</v>
      </c>
      <c r="C3">
        <v>0</v>
      </c>
      <c r="D3">
        <v>0</v>
      </c>
      <c r="E3">
        <v>806</v>
      </c>
    </row>
    <row r="4" spans="1:6" x14ac:dyDescent="0.2">
      <c r="A4" t="s">
        <v>552</v>
      </c>
      <c r="B4" t="s">
        <v>1446</v>
      </c>
      <c r="C4">
        <v>0</v>
      </c>
      <c r="D4">
        <v>0</v>
      </c>
      <c r="E4">
        <v>728</v>
      </c>
    </row>
    <row r="5" spans="1:6" x14ac:dyDescent="0.2">
      <c r="A5" t="s">
        <v>553</v>
      </c>
      <c r="B5" t="s">
        <v>1446</v>
      </c>
      <c r="C5">
        <v>0</v>
      </c>
      <c r="D5">
        <v>0</v>
      </c>
      <c r="E5">
        <v>806</v>
      </c>
    </row>
    <row r="6" spans="1:6" x14ac:dyDescent="0.2">
      <c r="A6" t="s">
        <v>554</v>
      </c>
      <c r="B6" t="s">
        <v>1446</v>
      </c>
      <c r="C6">
        <v>0</v>
      </c>
      <c r="D6">
        <v>0</v>
      </c>
      <c r="E6">
        <v>630</v>
      </c>
    </row>
    <row r="7" spans="1:6" x14ac:dyDescent="0.2">
      <c r="A7" t="s">
        <v>555</v>
      </c>
      <c r="B7" t="s">
        <v>1446</v>
      </c>
      <c r="C7">
        <v>0</v>
      </c>
      <c r="D7">
        <v>0</v>
      </c>
      <c r="E7">
        <v>651</v>
      </c>
    </row>
    <row r="8" spans="1:6" x14ac:dyDescent="0.2">
      <c r="A8" t="s">
        <v>556</v>
      </c>
      <c r="B8" t="s">
        <v>1446</v>
      </c>
      <c r="C8">
        <v>0</v>
      </c>
      <c r="D8">
        <v>0</v>
      </c>
      <c r="E8">
        <v>630</v>
      </c>
    </row>
    <row r="9" spans="1:6" x14ac:dyDescent="0.2">
      <c r="A9" t="s">
        <v>557</v>
      </c>
      <c r="B9" t="s">
        <v>1446</v>
      </c>
      <c r="C9">
        <v>0</v>
      </c>
      <c r="D9">
        <v>0</v>
      </c>
      <c r="E9">
        <v>651</v>
      </c>
    </row>
    <row r="10" spans="1:6" x14ac:dyDescent="0.2">
      <c r="A10" t="s">
        <v>558</v>
      </c>
      <c r="B10" t="s">
        <v>1446</v>
      </c>
      <c r="C10">
        <v>0</v>
      </c>
      <c r="D10">
        <v>0</v>
      </c>
      <c r="E10">
        <v>651</v>
      </c>
    </row>
    <row r="11" spans="1:6" x14ac:dyDescent="0.2">
      <c r="A11" t="s">
        <v>559</v>
      </c>
      <c r="B11" t="s">
        <v>1446</v>
      </c>
      <c r="C11">
        <v>0</v>
      </c>
      <c r="D11">
        <v>0</v>
      </c>
      <c r="E11">
        <v>630</v>
      </c>
    </row>
    <row r="12" spans="1:6" x14ac:dyDescent="0.2">
      <c r="A12" t="s">
        <v>560</v>
      </c>
      <c r="B12" t="s">
        <v>1446</v>
      </c>
      <c r="C12">
        <v>0</v>
      </c>
      <c r="D12">
        <v>0</v>
      </c>
      <c r="E12">
        <v>651</v>
      </c>
    </row>
    <row r="13" spans="1:6" x14ac:dyDescent="0.2">
      <c r="A13" t="s">
        <v>561</v>
      </c>
      <c r="B13" t="s">
        <v>1446</v>
      </c>
      <c r="C13">
        <v>0</v>
      </c>
      <c r="D13">
        <v>0</v>
      </c>
      <c r="E13">
        <v>180</v>
      </c>
    </row>
    <row r="14" spans="1:6" x14ac:dyDescent="0.2">
      <c r="A14" t="s">
        <v>562</v>
      </c>
      <c r="B14" t="s">
        <v>1446</v>
      </c>
      <c r="C14">
        <v>0</v>
      </c>
      <c r="D14">
        <v>0</v>
      </c>
      <c r="E14">
        <v>186</v>
      </c>
    </row>
    <row r="15" spans="1:6" x14ac:dyDescent="0.2">
      <c r="A15" t="s">
        <v>563</v>
      </c>
      <c r="B15" t="s">
        <v>1446</v>
      </c>
      <c r="C15">
        <v>0</v>
      </c>
      <c r="D15">
        <v>0</v>
      </c>
      <c r="E15">
        <v>241</v>
      </c>
    </row>
    <row r="16" spans="1:6" x14ac:dyDescent="0.2">
      <c r="A16" t="s">
        <v>564</v>
      </c>
      <c r="B16" t="s">
        <v>1446</v>
      </c>
      <c r="C16">
        <v>0</v>
      </c>
      <c r="D16">
        <v>0</v>
      </c>
      <c r="E16">
        <v>220</v>
      </c>
    </row>
    <row r="17" spans="1:5" x14ac:dyDescent="0.2">
      <c r="A17" t="s">
        <v>565</v>
      </c>
      <c r="B17" t="s">
        <v>1446</v>
      </c>
      <c r="C17">
        <v>0</v>
      </c>
      <c r="D17">
        <v>0</v>
      </c>
      <c r="E17">
        <v>241</v>
      </c>
    </row>
    <row r="18" spans="1:5" x14ac:dyDescent="0.2">
      <c r="A18" t="s">
        <v>566</v>
      </c>
      <c r="B18" t="s">
        <v>1446</v>
      </c>
      <c r="C18">
        <v>0</v>
      </c>
      <c r="D18">
        <v>0</v>
      </c>
      <c r="E18">
        <v>54</v>
      </c>
    </row>
    <row r="19" spans="1:5" x14ac:dyDescent="0.2">
      <c r="A19" t="s">
        <v>567</v>
      </c>
      <c r="B19" t="s">
        <v>1446</v>
      </c>
      <c r="C19">
        <v>0</v>
      </c>
      <c r="D19">
        <v>0</v>
      </c>
      <c r="E19">
        <v>55</v>
      </c>
    </row>
    <row r="20" spans="1:5" x14ac:dyDescent="0.2">
      <c r="A20" t="s">
        <v>568</v>
      </c>
      <c r="B20" t="s">
        <v>1446</v>
      </c>
      <c r="C20">
        <v>0</v>
      </c>
      <c r="D20">
        <v>0</v>
      </c>
      <c r="E20">
        <v>54</v>
      </c>
    </row>
    <row r="21" spans="1:5" x14ac:dyDescent="0.2">
      <c r="A21" t="s">
        <v>569</v>
      </c>
      <c r="B21" t="s">
        <v>1446</v>
      </c>
      <c r="C21">
        <v>0</v>
      </c>
      <c r="D21">
        <v>0</v>
      </c>
      <c r="E21">
        <v>55</v>
      </c>
    </row>
    <row r="22" spans="1:5" x14ac:dyDescent="0.2">
      <c r="A22" t="s">
        <v>570</v>
      </c>
      <c r="B22" t="s">
        <v>1446</v>
      </c>
      <c r="C22">
        <v>0</v>
      </c>
      <c r="D22">
        <v>0</v>
      </c>
      <c r="E22">
        <v>55</v>
      </c>
    </row>
    <row r="23" spans="1:5" x14ac:dyDescent="0.2">
      <c r="A23" t="s">
        <v>571</v>
      </c>
      <c r="B23" t="s">
        <v>1446</v>
      </c>
      <c r="C23">
        <v>0</v>
      </c>
      <c r="D23">
        <v>0</v>
      </c>
      <c r="E23">
        <v>54</v>
      </c>
    </row>
    <row r="24" spans="1:5" x14ac:dyDescent="0.2">
      <c r="A24" t="s">
        <v>572</v>
      </c>
      <c r="B24" t="s">
        <v>1446</v>
      </c>
      <c r="C24">
        <v>0</v>
      </c>
      <c r="D24">
        <v>0</v>
      </c>
      <c r="E24">
        <v>55</v>
      </c>
    </row>
    <row r="25" spans="1:5" x14ac:dyDescent="0.2">
      <c r="A25" t="s">
        <v>573</v>
      </c>
      <c r="B25" t="s">
        <v>1446</v>
      </c>
      <c r="C25">
        <v>0</v>
      </c>
      <c r="D25">
        <v>0</v>
      </c>
      <c r="E25">
        <v>54</v>
      </c>
    </row>
    <row r="26" spans="1:5" x14ac:dyDescent="0.2">
      <c r="A26" t="s">
        <v>574</v>
      </c>
      <c r="B26" t="s">
        <v>1446</v>
      </c>
      <c r="C26">
        <v>0</v>
      </c>
      <c r="D26">
        <v>0</v>
      </c>
      <c r="E26">
        <v>55</v>
      </c>
    </row>
    <row r="27" spans="1:5" x14ac:dyDescent="0.2">
      <c r="A27" t="s">
        <v>575</v>
      </c>
      <c r="B27" t="s">
        <v>1446</v>
      </c>
      <c r="C27">
        <v>0</v>
      </c>
      <c r="D27">
        <v>0</v>
      </c>
      <c r="E27">
        <v>0</v>
      </c>
    </row>
    <row r="28" spans="1:5" x14ac:dyDescent="0.2">
      <c r="A28" t="s">
        <v>576</v>
      </c>
      <c r="B28" t="s">
        <v>1446</v>
      </c>
      <c r="C28">
        <v>0</v>
      </c>
      <c r="D28">
        <v>0</v>
      </c>
      <c r="E28">
        <v>0</v>
      </c>
    </row>
    <row r="29" spans="1:5" x14ac:dyDescent="0.2">
      <c r="A29" t="s">
        <v>577</v>
      </c>
      <c r="B29" t="s">
        <v>1446</v>
      </c>
      <c r="C29">
        <v>0</v>
      </c>
      <c r="D29">
        <v>0</v>
      </c>
      <c r="E29">
        <v>0</v>
      </c>
    </row>
    <row r="30" spans="1:5" x14ac:dyDescent="0.2">
      <c r="A30" t="s">
        <v>578</v>
      </c>
      <c r="B30" t="s">
        <v>1446</v>
      </c>
      <c r="C30">
        <v>0</v>
      </c>
      <c r="D30">
        <v>0</v>
      </c>
      <c r="E30">
        <v>0</v>
      </c>
    </row>
    <row r="31" spans="1:5" x14ac:dyDescent="0.2">
      <c r="A31" t="s">
        <v>579</v>
      </c>
      <c r="B31" t="s">
        <v>1446</v>
      </c>
      <c r="C31">
        <v>0</v>
      </c>
      <c r="D31">
        <v>0</v>
      </c>
      <c r="E31">
        <v>0</v>
      </c>
    </row>
    <row r="32" spans="1:5" x14ac:dyDescent="0.2">
      <c r="A32" t="s">
        <v>580</v>
      </c>
      <c r="B32" t="s">
        <v>1446</v>
      </c>
      <c r="C32">
        <v>0</v>
      </c>
      <c r="D32">
        <v>0</v>
      </c>
      <c r="E32">
        <v>0</v>
      </c>
    </row>
    <row r="33" spans="1:5" x14ac:dyDescent="0.2">
      <c r="A33" t="s">
        <v>581</v>
      </c>
      <c r="B33" t="s">
        <v>1446</v>
      </c>
      <c r="C33">
        <v>0</v>
      </c>
      <c r="D33">
        <v>0</v>
      </c>
      <c r="E33">
        <v>0</v>
      </c>
    </row>
    <row r="34" spans="1:5" x14ac:dyDescent="0.2">
      <c r="A34" t="s">
        <v>582</v>
      </c>
      <c r="B34" t="s">
        <v>1446</v>
      </c>
      <c r="C34">
        <v>0</v>
      </c>
      <c r="D34">
        <v>0</v>
      </c>
      <c r="E34">
        <v>0</v>
      </c>
    </row>
    <row r="35" spans="1:5" x14ac:dyDescent="0.2">
      <c r="A35" t="s">
        <v>583</v>
      </c>
      <c r="B35" t="s">
        <v>1446</v>
      </c>
      <c r="C35">
        <v>0</v>
      </c>
      <c r="D35">
        <v>0</v>
      </c>
      <c r="E35">
        <v>0</v>
      </c>
    </row>
    <row r="36" spans="1:5" x14ac:dyDescent="0.2">
      <c r="A36" t="s">
        <v>584</v>
      </c>
      <c r="B36" t="s">
        <v>1446</v>
      </c>
      <c r="C36">
        <v>0</v>
      </c>
      <c r="D36">
        <v>0</v>
      </c>
      <c r="E36">
        <v>0</v>
      </c>
    </row>
    <row r="37" spans="1:5" x14ac:dyDescent="0.2">
      <c r="A37" t="s">
        <v>585</v>
      </c>
      <c r="B37" t="s">
        <v>1446</v>
      </c>
      <c r="C37">
        <v>0</v>
      </c>
      <c r="D37">
        <v>0</v>
      </c>
      <c r="E37">
        <v>0</v>
      </c>
    </row>
    <row r="38" spans="1:5" x14ac:dyDescent="0.2">
      <c r="A38" t="s">
        <v>586</v>
      </c>
      <c r="B38" t="s">
        <v>1446</v>
      </c>
      <c r="C38">
        <v>0</v>
      </c>
      <c r="D38">
        <v>0</v>
      </c>
      <c r="E38">
        <v>0</v>
      </c>
    </row>
    <row r="39" spans="1:5" x14ac:dyDescent="0.2">
      <c r="A39" t="s">
        <v>587</v>
      </c>
      <c r="B39" t="s">
        <v>1446</v>
      </c>
      <c r="C39">
        <v>0</v>
      </c>
      <c r="D39">
        <v>0</v>
      </c>
      <c r="E39">
        <v>0</v>
      </c>
    </row>
    <row r="40" spans="1:5" x14ac:dyDescent="0.2">
      <c r="A40" t="s">
        <v>588</v>
      </c>
      <c r="B40" t="s">
        <v>1446</v>
      </c>
      <c r="C40">
        <v>0</v>
      </c>
      <c r="D40">
        <v>0</v>
      </c>
      <c r="E40">
        <v>0</v>
      </c>
    </row>
    <row r="41" spans="1:5" x14ac:dyDescent="0.2">
      <c r="A41" t="s">
        <v>589</v>
      </c>
      <c r="B41" t="s">
        <v>1446</v>
      </c>
      <c r="C41">
        <v>0</v>
      </c>
      <c r="D41">
        <v>0</v>
      </c>
      <c r="E41">
        <v>0</v>
      </c>
    </row>
    <row r="42" spans="1:5" x14ac:dyDescent="0.2">
      <c r="A42" t="s">
        <v>590</v>
      </c>
      <c r="B42" t="s">
        <v>1446</v>
      </c>
      <c r="C42">
        <v>0</v>
      </c>
      <c r="D42">
        <v>0</v>
      </c>
      <c r="E42">
        <v>0</v>
      </c>
    </row>
    <row r="43" spans="1:5" x14ac:dyDescent="0.2">
      <c r="A43" t="s">
        <v>591</v>
      </c>
      <c r="B43" t="s">
        <v>1446</v>
      </c>
      <c r="C43">
        <v>0</v>
      </c>
      <c r="D43">
        <v>0</v>
      </c>
      <c r="E43">
        <v>0</v>
      </c>
    </row>
    <row r="44" spans="1:5" x14ac:dyDescent="0.2">
      <c r="A44" t="s">
        <v>592</v>
      </c>
      <c r="B44" t="s">
        <v>1446</v>
      </c>
      <c r="C44">
        <v>0</v>
      </c>
      <c r="D44">
        <v>0</v>
      </c>
      <c r="E44">
        <v>0</v>
      </c>
    </row>
    <row r="45" spans="1:5" x14ac:dyDescent="0.2">
      <c r="A45" t="s">
        <v>593</v>
      </c>
      <c r="B45" t="s">
        <v>1446</v>
      </c>
      <c r="C45">
        <v>0</v>
      </c>
      <c r="D45">
        <v>0</v>
      </c>
      <c r="E45">
        <v>0</v>
      </c>
    </row>
    <row r="46" spans="1:5" x14ac:dyDescent="0.2">
      <c r="A46" t="s">
        <v>594</v>
      </c>
      <c r="B46" t="s">
        <v>1446</v>
      </c>
      <c r="C46">
        <v>0</v>
      </c>
      <c r="D46">
        <v>0</v>
      </c>
      <c r="E46">
        <v>0</v>
      </c>
    </row>
    <row r="47" spans="1:5" x14ac:dyDescent="0.2">
      <c r="A47" t="s">
        <v>595</v>
      </c>
      <c r="B47" t="s">
        <v>1446</v>
      </c>
      <c r="C47">
        <v>0</v>
      </c>
      <c r="D47">
        <v>0</v>
      </c>
      <c r="E47">
        <v>0</v>
      </c>
    </row>
    <row r="48" spans="1:5" x14ac:dyDescent="0.2">
      <c r="A48" t="s">
        <v>596</v>
      </c>
      <c r="B48" t="s">
        <v>1446</v>
      </c>
      <c r="C48">
        <v>0</v>
      </c>
      <c r="D48">
        <v>0</v>
      </c>
      <c r="E48">
        <v>0</v>
      </c>
    </row>
    <row r="49" spans="1:5" x14ac:dyDescent="0.2">
      <c r="A49" t="s">
        <v>597</v>
      </c>
      <c r="B49" t="s">
        <v>1446</v>
      </c>
      <c r="C49">
        <v>0</v>
      </c>
      <c r="D49">
        <v>0</v>
      </c>
      <c r="E49">
        <v>0</v>
      </c>
    </row>
    <row r="50" spans="1:5" x14ac:dyDescent="0.2">
      <c r="A50" t="s">
        <v>598</v>
      </c>
      <c r="B50" t="s">
        <v>1446</v>
      </c>
      <c r="C50">
        <v>0</v>
      </c>
      <c r="D50">
        <v>0</v>
      </c>
      <c r="E50">
        <v>0</v>
      </c>
    </row>
    <row r="51" spans="1:5" x14ac:dyDescent="0.2">
      <c r="A51" t="s">
        <v>599</v>
      </c>
      <c r="B51" t="s">
        <v>1446</v>
      </c>
      <c r="C51">
        <v>0</v>
      </c>
      <c r="D51">
        <v>0</v>
      </c>
      <c r="E51">
        <v>0</v>
      </c>
    </row>
    <row r="52" spans="1:5" x14ac:dyDescent="0.2">
      <c r="A52" t="s">
        <v>600</v>
      </c>
      <c r="B52" t="s">
        <v>1446</v>
      </c>
      <c r="C52">
        <v>0</v>
      </c>
      <c r="D52">
        <v>0</v>
      </c>
      <c r="E52">
        <v>0</v>
      </c>
    </row>
    <row r="53" spans="1:5" x14ac:dyDescent="0.2">
      <c r="A53" t="s">
        <v>601</v>
      </c>
      <c r="B53" t="s">
        <v>1446</v>
      </c>
      <c r="C53">
        <v>0</v>
      </c>
      <c r="D53">
        <v>0</v>
      </c>
      <c r="E53">
        <v>0</v>
      </c>
    </row>
    <row r="54" spans="1:5" x14ac:dyDescent="0.2">
      <c r="A54" t="s">
        <v>602</v>
      </c>
      <c r="B54" t="s">
        <v>1446</v>
      </c>
      <c r="C54">
        <v>0</v>
      </c>
      <c r="D54">
        <v>0</v>
      </c>
      <c r="E54">
        <v>0</v>
      </c>
    </row>
    <row r="55" spans="1:5" x14ac:dyDescent="0.2">
      <c r="A55" t="s">
        <v>603</v>
      </c>
      <c r="B55" t="s">
        <v>1446</v>
      </c>
      <c r="C55">
        <v>0</v>
      </c>
      <c r="D55">
        <v>0</v>
      </c>
      <c r="E55">
        <v>0</v>
      </c>
    </row>
    <row r="56" spans="1:5" x14ac:dyDescent="0.2">
      <c r="A56" t="s">
        <v>604</v>
      </c>
      <c r="B56" t="s">
        <v>1446</v>
      </c>
      <c r="C56">
        <v>0</v>
      </c>
      <c r="D56">
        <v>0</v>
      </c>
      <c r="E56">
        <v>0</v>
      </c>
    </row>
    <row r="57" spans="1:5" x14ac:dyDescent="0.2">
      <c r="A57" t="s">
        <v>1334</v>
      </c>
      <c r="B57" t="s">
        <v>1446</v>
      </c>
      <c r="C57">
        <v>0</v>
      </c>
      <c r="D57">
        <v>0</v>
      </c>
      <c r="E57">
        <v>0</v>
      </c>
    </row>
    <row r="58" spans="1:5" x14ac:dyDescent="0.2">
      <c r="A58" t="s">
        <v>1335</v>
      </c>
      <c r="B58" t="s">
        <v>1446</v>
      </c>
      <c r="C58">
        <v>0</v>
      </c>
      <c r="D58">
        <v>0</v>
      </c>
      <c r="E58">
        <v>0</v>
      </c>
    </row>
    <row r="59" spans="1:5" x14ac:dyDescent="0.2">
      <c r="A59" t="s">
        <v>1336</v>
      </c>
      <c r="B59" t="s">
        <v>1446</v>
      </c>
      <c r="C59">
        <v>0</v>
      </c>
      <c r="D59">
        <v>0</v>
      </c>
      <c r="E59">
        <v>0</v>
      </c>
    </row>
    <row r="60" spans="1:5" x14ac:dyDescent="0.2">
      <c r="A60" t="s">
        <v>1337</v>
      </c>
      <c r="B60" t="s">
        <v>1446</v>
      </c>
      <c r="C60">
        <v>0</v>
      </c>
      <c r="D60">
        <v>0</v>
      </c>
      <c r="E60">
        <v>0</v>
      </c>
    </row>
    <row r="61" spans="1:5" x14ac:dyDescent="0.2">
      <c r="A61" t="s">
        <v>1338</v>
      </c>
      <c r="B61" t="s">
        <v>1446</v>
      </c>
      <c r="C61">
        <v>0</v>
      </c>
      <c r="D61">
        <v>0</v>
      </c>
      <c r="E61">
        <v>0</v>
      </c>
    </row>
    <row r="62" spans="1:5" x14ac:dyDescent="0.2">
      <c r="A62" t="s">
        <v>1339</v>
      </c>
      <c r="B62" t="s">
        <v>1446</v>
      </c>
      <c r="C62">
        <v>0</v>
      </c>
      <c r="D62">
        <v>0</v>
      </c>
      <c r="E62">
        <v>0</v>
      </c>
    </row>
    <row r="63" spans="1:5" x14ac:dyDescent="0.2">
      <c r="A63" t="s">
        <v>1340</v>
      </c>
      <c r="B63" t="s">
        <v>1446</v>
      </c>
      <c r="C63">
        <v>0</v>
      </c>
      <c r="D63">
        <v>0</v>
      </c>
      <c r="E63">
        <v>0</v>
      </c>
    </row>
    <row r="64" spans="1:5" x14ac:dyDescent="0.2">
      <c r="A64" t="s">
        <v>1341</v>
      </c>
      <c r="B64" t="s">
        <v>1446</v>
      </c>
      <c r="C64">
        <v>0</v>
      </c>
      <c r="D64">
        <v>0</v>
      </c>
      <c r="E64">
        <v>0</v>
      </c>
    </row>
    <row r="65" spans="1:5" x14ac:dyDescent="0.2">
      <c r="A65" t="s">
        <v>1342</v>
      </c>
      <c r="B65" t="s">
        <v>1446</v>
      </c>
      <c r="C65">
        <v>0</v>
      </c>
      <c r="D65">
        <v>0</v>
      </c>
      <c r="E65">
        <v>0</v>
      </c>
    </row>
    <row r="66" spans="1:5" x14ac:dyDescent="0.2">
      <c r="A66" t="s">
        <v>1343</v>
      </c>
      <c r="B66" t="s">
        <v>1446</v>
      </c>
      <c r="C66">
        <v>0</v>
      </c>
      <c r="D66">
        <v>0</v>
      </c>
      <c r="E66">
        <v>0</v>
      </c>
    </row>
    <row r="67" spans="1:5" x14ac:dyDescent="0.2">
      <c r="A67" t="s">
        <v>1344</v>
      </c>
      <c r="B67" t="s">
        <v>1446</v>
      </c>
      <c r="C67">
        <v>0</v>
      </c>
      <c r="D67">
        <v>0</v>
      </c>
      <c r="E67">
        <v>0</v>
      </c>
    </row>
    <row r="68" spans="1:5" x14ac:dyDescent="0.2">
      <c r="A68" t="s">
        <v>1345</v>
      </c>
      <c r="B68" t="s">
        <v>1446</v>
      </c>
      <c r="C68">
        <v>0</v>
      </c>
      <c r="D68">
        <v>0</v>
      </c>
      <c r="E68">
        <v>0</v>
      </c>
    </row>
    <row r="69" spans="1:5" x14ac:dyDescent="0.2">
      <c r="A69" t="s">
        <v>1346</v>
      </c>
      <c r="B69" t="s">
        <v>1446</v>
      </c>
      <c r="C69">
        <v>0</v>
      </c>
      <c r="D69">
        <v>0</v>
      </c>
      <c r="E69">
        <v>0</v>
      </c>
    </row>
    <row r="70" spans="1:5" x14ac:dyDescent="0.2">
      <c r="A70" t="s">
        <v>1347</v>
      </c>
      <c r="B70" t="s">
        <v>1446</v>
      </c>
      <c r="C70">
        <v>0</v>
      </c>
      <c r="D70">
        <v>0</v>
      </c>
      <c r="E70">
        <v>0</v>
      </c>
    </row>
    <row r="71" spans="1:5" x14ac:dyDescent="0.2">
      <c r="A71" t="s">
        <v>1348</v>
      </c>
      <c r="B71" t="s">
        <v>1446</v>
      </c>
      <c r="C71">
        <v>0</v>
      </c>
      <c r="D71">
        <v>0</v>
      </c>
      <c r="E71">
        <v>0</v>
      </c>
    </row>
    <row r="72" spans="1:5" x14ac:dyDescent="0.2">
      <c r="A72" t="s">
        <v>1349</v>
      </c>
      <c r="B72" t="s">
        <v>1446</v>
      </c>
      <c r="C72">
        <v>0</v>
      </c>
      <c r="D72">
        <v>0</v>
      </c>
      <c r="E72">
        <v>0</v>
      </c>
    </row>
    <row r="73" spans="1:5" x14ac:dyDescent="0.2">
      <c r="A73" t="s">
        <v>1350</v>
      </c>
      <c r="B73" t="s">
        <v>1446</v>
      </c>
      <c r="C73">
        <v>0</v>
      </c>
      <c r="D73">
        <v>0</v>
      </c>
      <c r="E73">
        <v>0</v>
      </c>
    </row>
    <row r="74" spans="1:5" x14ac:dyDescent="0.2">
      <c r="A74" t="s">
        <v>1351</v>
      </c>
      <c r="B74" t="s">
        <v>1446</v>
      </c>
      <c r="C74">
        <v>0</v>
      </c>
      <c r="D74">
        <v>0</v>
      </c>
      <c r="E74">
        <v>0</v>
      </c>
    </row>
    <row r="75" spans="1:5" x14ac:dyDescent="0.2">
      <c r="A75" t="s">
        <v>1352</v>
      </c>
      <c r="B75" t="s">
        <v>1446</v>
      </c>
      <c r="C75">
        <v>0</v>
      </c>
      <c r="D75">
        <v>0</v>
      </c>
      <c r="E75">
        <v>0</v>
      </c>
    </row>
    <row r="76" spans="1:5" x14ac:dyDescent="0.2">
      <c r="A76" t="s">
        <v>1353</v>
      </c>
      <c r="B76" t="s">
        <v>1446</v>
      </c>
      <c r="C76">
        <v>0</v>
      </c>
      <c r="D76">
        <v>0</v>
      </c>
      <c r="E76">
        <v>0</v>
      </c>
    </row>
    <row r="77" spans="1:5" x14ac:dyDescent="0.2">
      <c r="A77" t="s">
        <v>1354</v>
      </c>
      <c r="B77" t="s">
        <v>1446</v>
      </c>
      <c r="C77">
        <v>0</v>
      </c>
      <c r="D77">
        <v>0</v>
      </c>
      <c r="E77">
        <v>0</v>
      </c>
    </row>
    <row r="78" spans="1:5" x14ac:dyDescent="0.2">
      <c r="A78" t="s">
        <v>1355</v>
      </c>
      <c r="B78" t="s">
        <v>1446</v>
      </c>
      <c r="C78">
        <v>0</v>
      </c>
      <c r="D78">
        <v>0</v>
      </c>
      <c r="E78">
        <v>0</v>
      </c>
    </row>
    <row r="79" spans="1:5" x14ac:dyDescent="0.2">
      <c r="A79" t="s">
        <v>1356</v>
      </c>
      <c r="B79" t="s">
        <v>1446</v>
      </c>
      <c r="C79">
        <v>0</v>
      </c>
      <c r="D79">
        <v>0</v>
      </c>
      <c r="E79">
        <v>0</v>
      </c>
    </row>
    <row r="80" spans="1:5" x14ac:dyDescent="0.2">
      <c r="A80" t="s">
        <v>1357</v>
      </c>
      <c r="B80" t="s">
        <v>1446</v>
      </c>
      <c r="C80">
        <v>0</v>
      </c>
      <c r="D80">
        <v>0</v>
      </c>
      <c r="E80">
        <v>0</v>
      </c>
    </row>
    <row r="81" spans="1:5" x14ac:dyDescent="0.2">
      <c r="A81" t="s">
        <v>1358</v>
      </c>
      <c r="B81" t="s">
        <v>1446</v>
      </c>
      <c r="C81">
        <v>0</v>
      </c>
      <c r="D81">
        <v>0</v>
      </c>
      <c r="E81">
        <v>0</v>
      </c>
    </row>
    <row r="82" spans="1:5" x14ac:dyDescent="0.2">
      <c r="A82" t="s">
        <v>1359</v>
      </c>
      <c r="B82" t="s">
        <v>1446</v>
      </c>
      <c r="C82">
        <v>0</v>
      </c>
      <c r="D82">
        <v>0</v>
      </c>
      <c r="E82">
        <v>0</v>
      </c>
    </row>
    <row r="83" spans="1:5" x14ac:dyDescent="0.2">
      <c r="A83" t="s">
        <v>1360</v>
      </c>
      <c r="B83" t="s">
        <v>1446</v>
      </c>
      <c r="C83">
        <v>0</v>
      </c>
      <c r="D83">
        <v>0</v>
      </c>
      <c r="E83">
        <v>0</v>
      </c>
    </row>
    <row r="84" spans="1:5" x14ac:dyDescent="0.2">
      <c r="A84" t="s">
        <v>1361</v>
      </c>
      <c r="B84" t="s">
        <v>1446</v>
      </c>
      <c r="C84">
        <v>0</v>
      </c>
      <c r="D84">
        <v>0</v>
      </c>
      <c r="E84">
        <v>0</v>
      </c>
    </row>
    <row r="85" spans="1:5" x14ac:dyDescent="0.2">
      <c r="A85" t="s">
        <v>1362</v>
      </c>
      <c r="B85" t="s">
        <v>1446</v>
      </c>
      <c r="C85">
        <v>0</v>
      </c>
      <c r="D85">
        <v>0</v>
      </c>
      <c r="E85">
        <v>0</v>
      </c>
    </row>
    <row r="86" spans="1:5" x14ac:dyDescent="0.2">
      <c r="A86" t="s">
        <v>1363</v>
      </c>
      <c r="B86" t="s">
        <v>1446</v>
      </c>
      <c r="C86">
        <v>0</v>
      </c>
      <c r="D86">
        <v>0</v>
      </c>
      <c r="E86">
        <v>0</v>
      </c>
    </row>
    <row r="87" spans="1:5" x14ac:dyDescent="0.2">
      <c r="A87" t="s">
        <v>712</v>
      </c>
      <c r="B87" t="s">
        <v>1446</v>
      </c>
      <c r="C87">
        <v>0</v>
      </c>
      <c r="D87">
        <v>0</v>
      </c>
      <c r="E87">
        <v>93</v>
      </c>
    </row>
    <row r="88" spans="1:5" x14ac:dyDescent="0.2">
      <c r="A88" t="s">
        <v>713</v>
      </c>
      <c r="B88" t="s">
        <v>1446</v>
      </c>
      <c r="C88">
        <v>0</v>
      </c>
      <c r="D88">
        <v>0</v>
      </c>
      <c r="E88">
        <v>87</v>
      </c>
    </row>
    <row r="89" spans="1:5" x14ac:dyDescent="0.2">
      <c r="A89" t="s">
        <v>714</v>
      </c>
      <c r="B89" t="s">
        <v>1446</v>
      </c>
      <c r="C89">
        <v>0</v>
      </c>
      <c r="D89">
        <v>0</v>
      </c>
      <c r="E89">
        <v>93</v>
      </c>
    </row>
    <row r="90" spans="1:5" x14ac:dyDescent="0.2">
      <c r="A90" t="s">
        <v>715</v>
      </c>
      <c r="B90" t="s">
        <v>1446</v>
      </c>
      <c r="C90">
        <v>0</v>
      </c>
      <c r="D90">
        <v>0</v>
      </c>
      <c r="E90">
        <v>90</v>
      </c>
    </row>
    <row r="91" spans="1:5" x14ac:dyDescent="0.2">
      <c r="A91" t="s">
        <v>716</v>
      </c>
      <c r="B91" t="s">
        <v>1446</v>
      </c>
      <c r="C91">
        <v>0</v>
      </c>
      <c r="D91">
        <v>0</v>
      </c>
      <c r="E91">
        <v>93</v>
      </c>
    </row>
    <row r="92" spans="1:5" x14ac:dyDescent="0.2">
      <c r="A92" t="s">
        <v>717</v>
      </c>
      <c r="B92" t="s">
        <v>1446</v>
      </c>
      <c r="C92">
        <v>0</v>
      </c>
      <c r="D92">
        <v>0</v>
      </c>
      <c r="E92">
        <v>90</v>
      </c>
    </row>
    <row r="93" spans="1:5" x14ac:dyDescent="0.2">
      <c r="A93" t="s">
        <v>718</v>
      </c>
      <c r="B93" t="s">
        <v>1446</v>
      </c>
      <c r="C93">
        <v>0</v>
      </c>
      <c r="D93">
        <v>0</v>
      </c>
      <c r="E93">
        <v>93</v>
      </c>
    </row>
    <row r="94" spans="1:5" x14ac:dyDescent="0.2">
      <c r="A94" t="s">
        <v>719</v>
      </c>
      <c r="B94" t="s">
        <v>1446</v>
      </c>
      <c r="C94">
        <v>0</v>
      </c>
      <c r="D94">
        <v>0</v>
      </c>
      <c r="E94">
        <v>93</v>
      </c>
    </row>
    <row r="95" spans="1:5" x14ac:dyDescent="0.2">
      <c r="A95" t="s">
        <v>720</v>
      </c>
      <c r="B95" t="s">
        <v>1446</v>
      </c>
      <c r="C95">
        <v>0</v>
      </c>
      <c r="D95">
        <v>0</v>
      </c>
      <c r="E95">
        <v>90</v>
      </c>
    </row>
    <row r="96" spans="1:5" x14ac:dyDescent="0.2">
      <c r="A96" t="s">
        <v>721</v>
      </c>
      <c r="B96" t="s">
        <v>1446</v>
      </c>
      <c r="C96">
        <v>0</v>
      </c>
      <c r="D96">
        <v>0</v>
      </c>
      <c r="E96">
        <v>93</v>
      </c>
    </row>
    <row r="97" spans="1:5" x14ac:dyDescent="0.2">
      <c r="A97" t="s">
        <v>722</v>
      </c>
      <c r="B97" t="s">
        <v>1446</v>
      </c>
      <c r="C97">
        <v>0</v>
      </c>
      <c r="D97">
        <v>0</v>
      </c>
      <c r="E97">
        <v>90</v>
      </c>
    </row>
    <row r="98" spans="1:5" x14ac:dyDescent="0.2">
      <c r="A98" t="s">
        <v>723</v>
      </c>
      <c r="B98" t="s">
        <v>1446</v>
      </c>
      <c r="C98">
        <v>0</v>
      </c>
      <c r="D98">
        <v>0</v>
      </c>
      <c r="E98">
        <v>93</v>
      </c>
    </row>
    <row r="99" spans="1:5" x14ac:dyDescent="0.2">
      <c r="A99" t="s">
        <v>724</v>
      </c>
      <c r="B99" t="s">
        <v>1446</v>
      </c>
      <c r="C99">
        <v>0</v>
      </c>
      <c r="D99">
        <v>0</v>
      </c>
      <c r="E99">
        <v>0</v>
      </c>
    </row>
    <row r="100" spans="1:5" x14ac:dyDescent="0.2">
      <c r="A100" t="s">
        <v>725</v>
      </c>
      <c r="B100" t="s">
        <v>1446</v>
      </c>
      <c r="C100">
        <v>0</v>
      </c>
      <c r="D100">
        <v>0</v>
      </c>
      <c r="E100">
        <v>0</v>
      </c>
    </row>
    <row r="101" spans="1:5" x14ac:dyDescent="0.2">
      <c r="A101" t="s">
        <v>726</v>
      </c>
      <c r="B101" t="s">
        <v>1446</v>
      </c>
      <c r="C101">
        <v>0</v>
      </c>
      <c r="D101">
        <v>0</v>
      </c>
      <c r="E101">
        <v>0</v>
      </c>
    </row>
    <row r="102" spans="1:5" x14ac:dyDescent="0.2">
      <c r="A102" t="s">
        <v>727</v>
      </c>
      <c r="B102" t="s">
        <v>1446</v>
      </c>
      <c r="C102">
        <v>0</v>
      </c>
      <c r="D102">
        <v>0</v>
      </c>
      <c r="E102">
        <v>0</v>
      </c>
    </row>
    <row r="103" spans="1:5" x14ac:dyDescent="0.2">
      <c r="A103" t="s">
        <v>728</v>
      </c>
      <c r="B103" t="s">
        <v>1446</v>
      </c>
      <c r="C103">
        <v>0</v>
      </c>
      <c r="D103">
        <v>0</v>
      </c>
      <c r="E103">
        <v>0</v>
      </c>
    </row>
    <row r="104" spans="1:5" x14ac:dyDescent="0.2">
      <c r="A104" t="s">
        <v>729</v>
      </c>
      <c r="B104" t="s">
        <v>1446</v>
      </c>
      <c r="C104">
        <v>0</v>
      </c>
      <c r="D104">
        <v>0</v>
      </c>
      <c r="E104">
        <v>0</v>
      </c>
    </row>
    <row r="105" spans="1:5" x14ac:dyDescent="0.2">
      <c r="A105" t="s">
        <v>730</v>
      </c>
      <c r="B105" t="s">
        <v>1446</v>
      </c>
      <c r="C105">
        <v>0</v>
      </c>
      <c r="D105">
        <v>0</v>
      </c>
      <c r="E105">
        <v>0</v>
      </c>
    </row>
    <row r="106" spans="1:5" x14ac:dyDescent="0.2">
      <c r="A106" t="s">
        <v>731</v>
      </c>
      <c r="B106" t="s">
        <v>1446</v>
      </c>
      <c r="C106">
        <v>0</v>
      </c>
      <c r="D106">
        <v>0</v>
      </c>
      <c r="E106">
        <v>0</v>
      </c>
    </row>
    <row r="107" spans="1:5" x14ac:dyDescent="0.2">
      <c r="A107" t="s">
        <v>732</v>
      </c>
      <c r="B107" t="s">
        <v>1446</v>
      </c>
      <c r="C107">
        <v>0</v>
      </c>
      <c r="D107">
        <v>0</v>
      </c>
      <c r="E107">
        <v>0</v>
      </c>
    </row>
    <row r="108" spans="1:5" x14ac:dyDescent="0.2">
      <c r="A108" t="s">
        <v>733</v>
      </c>
      <c r="B108" t="s">
        <v>1446</v>
      </c>
      <c r="C108">
        <v>0</v>
      </c>
      <c r="D108">
        <v>0</v>
      </c>
      <c r="E108">
        <v>0</v>
      </c>
    </row>
    <row r="109" spans="1:5" x14ac:dyDescent="0.2">
      <c r="A109" t="s">
        <v>734</v>
      </c>
      <c r="B109" t="s">
        <v>1446</v>
      </c>
      <c r="C109">
        <v>0</v>
      </c>
      <c r="D109">
        <v>0</v>
      </c>
      <c r="E109">
        <v>0</v>
      </c>
    </row>
    <row r="110" spans="1:5" x14ac:dyDescent="0.2">
      <c r="A110" t="s">
        <v>735</v>
      </c>
      <c r="B110" t="s">
        <v>1446</v>
      </c>
      <c r="C110">
        <v>0</v>
      </c>
      <c r="D110">
        <v>0</v>
      </c>
      <c r="E110"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GD"/>
  <dimension ref="A1:T116"/>
  <sheetViews>
    <sheetView workbookViewId="0"/>
  </sheetViews>
  <sheetFormatPr defaultRowHeight="12.75" x14ac:dyDescent="0.2"/>
  <cols>
    <col min="1" max="1" width="11.140625" bestFit="1" customWidth="1"/>
    <col min="2" max="2" width="8.5703125" bestFit="1" customWidth="1"/>
    <col min="3" max="3" width="5.7109375" bestFit="1" customWidth="1"/>
    <col min="4" max="4" width="5.140625" bestFit="1" customWidth="1"/>
    <col min="5" max="5" width="7.7109375" bestFit="1" customWidth="1"/>
    <col min="6" max="6" width="5.85546875" bestFit="1" customWidth="1"/>
    <col min="7" max="7" width="5.140625" bestFit="1" customWidth="1"/>
    <col min="8" max="8" width="4.85546875" bestFit="1" customWidth="1"/>
    <col min="9" max="9" width="6" bestFit="1" customWidth="1"/>
    <col min="10" max="10" width="10.85546875" bestFit="1" customWidth="1"/>
    <col min="11" max="12" width="8" bestFit="1" customWidth="1"/>
    <col min="13" max="13" width="8.7109375" bestFit="1" customWidth="1"/>
    <col min="14" max="14" width="10.5703125" bestFit="1" customWidth="1"/>
    <col min="15" max="16" width="4.5703125" bestFit="1" customWidth="1"/>
    <col min="17" max="17" width="9.5703125" bestFit="1" customWidth="1"/>
    <col min="18" max="18" width="11.140625" bestFit="1" customWidth="1"/>
  </cols>
  <sheetData>
    <row r="1" spans="1:20" s="1" customFormat="1" x14ac:dyDescent="0.2">
      <c r="A1" s="1" t="s">
        <v>1404</v>
      </c>
      <c r="B1" s="1" t="s">
        <v>1402</v>
      </c>
      <c r="C1" s="1" t="s">
        <v>974</v>
      </c>
      <c r="D1" s="1" t="s">
        <v>980</v>
      </c>
      <c r="E1" s="50" t="s">
        <v>1364</v>
      </c>
      <c r="F1" s="45" t="s">
        <v>1365</v>
      </c>
      <c r="G1" s="1" t="s">
        <v>1366</v>
      </c>
      <c r="H1" s="1" t="s">
        <v>1367</v>
      </c>
      <c r="I1" s="1" t="s">
        <v>1368</v>
      </c>
      <c r="J1" s="1" t="s">
        <v>978</v>
      </c>
      <c r="K1" s="1" t="s">
        <v>1369</v>
      </c>
      <c r="L1" s="1" t="s">
        <v>975</v>
      </c>
      <c r="M1" s="1" t="s">
        <v>979</v>
      </c>
      <c r="N1" s="1" t="s">
        <v>969</v>
      </c>
      <c r="O1" s="1" t="s">
        <v>1444</v>
      </c>
      <c r="P1" s="1" t="s">
        <v>1445</v>
      </c>
      <c r="Q1" s="1" t="s">
        <v>976</v>
      </c>
      <c r="R1" s="1" t="s">
        <v>1510</v>
      </c>
      <c r="T1" s="45">
        <v>43236</v>
      </c>
    </row>
    <row r="2" spans="1:20" x14ac:dyDescent="0.2">
      <c r="A2" t="str">
        <f>B2&amp;"."&amp;D2&amp;"."&amp;C2</f>
        <v>ICE.2018.6</v>
      </c>
      <c r="B2" t="s">
        <v>1403</v>
      </c>
      <c r="C2" t="str">
        <f>TEXT(DATEVALUE("1"&amp;E2),"M")</f>
        <v>6</v>
      </c>
      <c r="D2" t="str">
        <f>TEXT(DATEVALUE("1"&amp;E2),"YYYY")</f>
        <v>2018</v>
      </c>
      <c r="E2" s="51" t="s">
        <v>1371</v>
      </c>
      <c r="J2">
        <v>-0.27500000000000002</v>
      </c>
      <c r="K2">
        <v>0</v>
      </c>
      <c r="L2">
        <v>0</v>
      </c>
      <c r="M2">
        <v>25239</v>
      </c>
      <c r="N2">
        <v>0</v>
      </c>
      <c r="O2">
        <v>0</v>
      </c>
      <c r="P2">
        <v>0</v>
      </c>
      <c r="Q2">
        <v>0</v>
      </c>
      <c r="R2">
        <v>0</v>
      </c>
    </row>
    <row r="3" spans="1:20" x14ac:dyDescent="0.2">
      <c r="A3" t="str">
        <f t="shared" ref="A3:A66" si="0">B3&amp;"."&amp;D3&amp;"."&amp;C3</f>
        <v>ICE.2018.7</v>
      </c>
      <c r="B3" t="s">
        <v>1403</v>
      </c>
      <c r="C3" t="str">
        <f t="shared" ref="C3:C66" si="1">TEXT(DATEVALUE("1"&amp;E3),"M")</f>
        <v>7</v>
      </c>
      <c r="D3" t="str">
        <f t="shared" ref="D3:D66" si="2">TEXT(DATEVALUE("1"&amp;E3),"YYYY")</f>
        <v>2018</v>
      </c>
      <c r="E3" s="51" t="s">
        <v>1372</v>
      </c>
      <c r="J3">
        <v>-0.3</v>
      </c>
      <c r="K3">
        <v>-0.01</v>
      </c>
      <c r="L3">
        <v>0</v>
      </c>
      <c r="M3">
        <v>26594</v>
      </c>
      <c r="N3">
        <v>0</v>
      </c>
      <c r="O3">
        <v>0</v>
      </c>
      <c r="P3">
        <v>0</v>
      </c>
      <c r="Q3">
        <v>0</v>
      </c>
      <c r="R3">
        <v>0</v>
      </c>
    </row>
    <row r="4" spans="1:20" x14ac:dyDescent="0.2">
      <c r="A4" t="str">
        <f t="shared" si="0"/>
        <v>ICE.2018.8</v>
      </c>
      <c r="B4" t="s">
        <v>1403</v>
      </c>
      <c r="C4" t="str">
        <f t="shared" si="1"/>
        <v>8</v>
      </c>
      <c r="D4" t="str">
        <f t="shared" si="2"/>
        <v>2018</v>
      </c>
      <c r="E4" s="51" t="s">
        <v>1373</v>
      </c>
      <c r="J4">
        <v>-0.3125</v>
      </c>
      <c r="K4">
        <v>0</v>
      </c>
      <c r="L4">
        <v>0</v>
      </c>
      <c r="M4">
        <v>26757</v>
      </c>
      <c r="N4">
        <v>0</v>
      </c>
      <c r="O4">
        <v>0</v>
      </c>
      <c r="P4">
        <v>0</v>
      </c>
      <c r="Q4">
        <v>0</v>
      </c>
      <c r="R4">
        <v>0</v>
      </c>
    </row>
    <row r="5" spans="1:20" x14ac:dyDescent="0.2">
      <c r="A5" t="str">
        <f t="shared" si="0"/>
        <v>ICE.2018.9</v>
      </c>
      <c r="B5" t="s">
        <v>1403</v>
      </c>
      <c r="C5" t="str">
        <f t="shared" si="1"/>
        <v>9</v>
      </c>
      <c r="D5" t="str">
        <f t="shared" si="2"/>
        <v>2018</v>
      </c>
      <c r="E5" s="51" t="s">
        <v>1374</v>
      </c>
      <c r="J5">
        <v>-0.36749999999999999</v>
      </c>
      <c r="K5">
        <v>0</v>
      </c>
      <c r="L5">
        <v>0</v>
      </c>
      <c r="M5">
        <v>24286</v>
      </c>
      <c r="N5">
        <v>0</v>
      </c>
      <c r="O5">
        <v>0</v>
      </c>
      <c r="P5">
        <v>0</v>
      </c>
      <c r="Q5">
        <v>0</v>
      </c>
      <c r="R5">
        <v>0</v>
      </c>
    </row>
    <row r="6" spans="1:20" x14ac:dyDescent="0.2">
      <c r="A6" t="str">
        <f t="shared" si="0"/>
        <v>ICE.2018.10</v>
      </c>
      <c r="B6" t="s">
        <v>1403</v>
      </c>
      <c r="C6" t="str">
        <f t="shared" si="1"/>
        <v>10</v>
      </c>
      <c r="D6" t="str">
        <f t="shared" si="2"/>
        <v>2018</v>
      </c>
      <c r="E6" s="51" t="s">
        <v>1375</v>
      </c>
      <c r="J6">
        <v>-0.3775</v>
      </c>
      <c r="K6">
        <v>0</v>
      </c>
      <c r="L6">
        <v>0</v>
      </c>
      <c r="M6">
        <v>24449</v>
      </c>
      <c r="N6">
        <v>0</v>
      </c>
      <c r="O6">
        <v>0</v>
      </c>
      <c r="P6">
        <v>0</v>
      </c>
      <c r="Q6">
        <v>0</v>
      </c>
      <c r="R6">
        <v>0</v>
      </c>
    </row>
    <row r="7" spans="1:20" x14ac:dyDescent="0.2">
      <c r="A7" t="str">
        <f t="shared" si="0"/>
        <v>ICE.2018.11</v>
      </c>
      <c r="B7" t="s">
        <v>1403</v>
      </c>
      <c r="C7" t="str">
        <f t="shared" si="1"/>
        <v>11</v>
      </c>
      <c r="D7" t="str">
        <f t="shared" si="2"/>
        <v>2018</v>
      </c>
      <c r="E7" s="51" t="s">
        <v>1376</v>
      </c>
      <c r="J7">
        <v>-0.32</v>
      </c>
      <c r="K7">
        <v>0</v>
      </c>
      <c r="L7">
        <v>240</v>
      </c>
      <c r="M7">
        <v>16596</v>
      </c>
      <c r="N7">
        <v>-180</v>
      </c>
      <c r="O7">
        <v>0</v>
      </c>
      <c r="P7">
        <v>0</v>
      </c>
      <c r="Q7">
        <v>240</v>
      </c>
      <c r="R7">
        <v>0</v>
      </c>
    </row>
    <row r="8" spans="1:20" x14ac:dyDescent="0.2">
      <c r="A8" t="str">
        <f t="shared" si="0"/>
        <v>ICE.2018.12</v>
      </c>
      <c r="B8" t="s">
        <v>1403</v>
      </c>
      <c r="C8" t="str">
        <f t="shared" si="1"/>
        <v>12</v>
      </c>
      <c r="D8" t="str">
        <f t="shared" si="2"/>
        <v>2018</v>
      </c>
      <c r="E8" s="51" t="s">
        <v>1377</v>
      </c>
      <c r="J8">
        <v>-0.1275</v>
      </c>
      <c r="K8">
        <v>-2.5000000000000001E-3</v>
      </c>
      <c r="L8">
        <v>248</v>
      </c>
      <c r="M8">
        <v>17024</v>
      </c>
      <c r="N8">
        <v>-186</v>
      </c>
      <c r="O8">
        <v>0</v>
      </c>
      <c r="P8">
        <v>0</v>
      </c>
      <c r="Q8">
        <v>248</v>
      </c>
      <c r="R8">
        <v>0</v>
      </c>
    </row>
    <row r="9" spans="1:20" x14ac:dyDescent="0.2">
      <c r="A9" t="str">
        <f t="shared" si="0"/>
        <v>ICE.2019.1</v>
      </c>
      <c r="B9" t="s">
        <v>1403</v>
      </c>
      <c r="C9" t="str">
        <f t="shared" si="1"/>
        <v>1</v>
      </c>
      <c r="D9" t="str">
        <f t="shared" si="2"/>
        <v>2019</v>
      </c>
      <c r="E9" s="51" t="s">
        <v>1378</v>
      </c>
      <c r="J9">
        <v>-3.5000000000000003E-2</v>
      </c>
      <c r="K9">
        <v>-5.0000000000000001E-3</v>
      </c>
      <c r="L9">
        <v>248</v>
      </c>
      <c r="M9">
        <v>17126</v>
      </c>
      <c r="N9">
        <v>-186</v>
      </c>
      <c r="O9">
        <v>0</v>
      </c>
      <c r="P9">
        <v>0</v>
      </c>
      <c r="Q9">
        <v>248</v>
      </c>
      <c r="R9">
        <v>0</v>
      </c>
    </row>
    <row r="10" spans="1:20" x14ac:dyDescent="0.2">
      <c r="A10" t="str">
        <f t="shared" si="0"/>
        <v>ICE.2019.2</v>
      </c>
      <c r="B10" t="s">
        <v>1403</v>
      </c>
      <c r="C10" t="str">
        <f t="shared" si="1"/>
        <v>2</v>
      </c>
      <c r="D10" t="str">
        <f t="shared" si="2"/>
        <v>2019</v>
      </c>
      <c r="E10" s="51" t="s">
        <v>1379</v>
      </c>
      <c r="J10">
        <v>-2.5000000000000001E-2</v>
      </c>
      <c r="K10">
        <v>-2.5000000000000001E-3</v>
      </c>
      <c r="L10">
        <v>224</v>
      </c>
      <c r="M10">
        <v>14768</v>
      </c>
      <c r="N10">
        <v>-168</v>
      </c>
      <c r="O10">
        <v>0</v>
      </c>
      <c r="P10">
        <v>0</v>
      </c>
      <c r="Q10">
        <v>224</v>
      </c>
      <c r="R10">
        <v>0</v>
      </c>
    </row>
    <row r="11" spans="1:20" x14ac:dyDescent="0.2">
      <c r="A11" t="str">
        <f t="shared" si="0"/>
        <v>ICE.2019.3</v>
      </c>
      <c r="B11" t="s">
        <v>1403</v>
      </c>
      <c r="C11" t="str">
        <f t="shared" si="1"/>
        <v>3</v>
      </c>
      <c r="D11" t="str">
        <f t="shared" si="2"/>
        <v>2019</v>
      </c>
      <c r="E11" s="51" t="s">
        <v>1380</v>
      </c>
      <c r="J11">
        <v>-0.20749999999999999</v>
      </c>
      <c r="K11">
        <v>-1.4999999999999999E-2</v>
      </c>
      <c r="L11">
        <v>248</v>
      </c>
      <c r="M11">
        <v>15617</v>
      </c>
      <c r="N11">
        <v>-186</v>
      </c>
      <c r="O11">
        <v>0</v>
      </c>
      <c r="P11">
        <v>0</v>
      </c>
      <c r="Q11">
        <v>248</v>
      </c>
      <c r="R11">
        <v>0</v>
      </c>
    </row>
    <row r="12" spans="1:20" x14ac:dyDescent="0.2">
      <c r="A12" t="str">
        <f t="shared" si="0"/>
        <v>ICE.2019.4</v>
      </c>
      <c r="B12" t="s">
        <v>1403</v>
      </c>
      <c r="C12" t="str">
        <f t="shared" si="1"/>
        <v>4</v>
      </c>
      <c r="D12" t="str">
        <f t="shared" si="2"/>
        <v>2019</v>
      </c>
      <c r="E12" s="51" t="s">
        <v>1381</v>
      </c>
      <c r="J12">
        <v>-0.27500000000000002</v>
      </c>
      <c r="K12">
        <v>-2.2499999999999999E-2</v>
      </c>
      <c r="L12">
        <v>120</v>
      </c>
      <c r="M12">
        <v>13403</v>
      </c>
      <c r="N12">
        <v>0</v>
      </c>
      <c r="O12">
        <v>0</v>
      </c>
      <c r="P12">
        <v>0</v>
      </c>
      <c r="Q12">
        <v>120</v>
      </c>
      <c r="R12">
        <v>0</v>
      </c>
    </row>
    <row r="13" spans="1:20" x14ac:dyDescent="0.2">
      <c r="A13" t="str">
        <f t="shared" si="0"/>
        <v>ICE.2019.5</v>
      </c>
      <c r="B13" t="s">
        <v>1403</v>
      </c>
      <c r="C13" t="str">
        <f t="shared" si="1"/>
        <v>5</v>
      </c>
      <c r="D13" t="str">
        <f t="shared" si="2"/>
        <v>2019</v>
      </c>
      <c r="E13" s="51" t="s">
        <v>1382</v>
      </c>
      <c r="J13">
        <v>-0.41249999999999998</v>
      </c>
      <c r="K13">
        <v>2.5000000000000001E-3</v>
      </c>
      <c r="L13">
        <v>124</v>
      </c>
      <c r="M13">
        <v>11907</v>
      </c>
      <c r="N13">
        <v>0</v>
      </c>
      <c r="O13">
        <v>0</v>
      </c>
      <c r="P13">
        <v>0</v>
      </c>
      <c r="Q13">
        <v>124</v>
      </c>
      <c r="R13">
        <v>0</v>
      </c>
    </row>
    <row r="14" spans="1:20" x14ac:dyDescent="0.2">
      <c r="A14" t="str">
        <f t="shared" si="0"/>
        <v>ICE.2019.6</v>
      </c>
      <c r="B14" t="s">
        <v>1403</v>
      </c>
      <c r="C14" t="str">
        <f t="shared" si="1"/>
        <v>6</v>
      </c>
      <c r="D14" t="str">
        <f t="shared" si="2"/>
        <v>2019</v>
      </c>
      <c r="E14" s="51" t="s">
        <v>1383</v>
      </c>
      <c r="J14">
        <v>-0.44750000000000001</v>
      </c>
      <c r="K14">
        <v>2.5000000000000001E-3</v>
      </c>
      <c r="L14">
        <v>120</v>
      </c>
      <c r="M14">
        <v>11231</v>
      </c>
      <c r="N14">
        <v>0</v>
      </c>
      <c r="O14">
        <v>0</v>
      </c>
      <c r="P14">
        <v>0</v>
      </c>
      <c r="Q14">
        <v>120</v>
      </c>
      <c r="R14">
        <v>0</v>
      </c>
    </row>
    <row r="15" spans="1:20" x14ac:dyDescent="0.2">
      <c r="A15" t="str">
        <f t="shared" si="0"/>
        <v>ICE.2019.7</v>
      </c>
      <c r="B15" t="s">
        <v>1403</v>
      </c>
      <c r="C15" t="str">
        <f t="shared" si="1"/>
        <v>7</v>
      </c>
      <c r="D15" t="str">
        <f t="shared" si="2"/>
        <v>2019</v>
      </c>
      <c r="E15" s="51" t="s">
        <v>1384</v>
      </c>
      <c r="J15">
        <v>-0.43</v>
      </c>
      <c r="K15">
        <v>2.5000000000000001E-3</v>
      </c>
      <c r="L15">
        <v>124</v>
      </c>
      <c r="M15">
        <v>12032</v>
      </c>
      <c r="N15">
        <v>62</v>
      </c>
      <c r="O15">
        <v>0</v>
      </c>
      <c r="P15">
        <v>0</v>
      </c>
      <c r="Q15">
        <v>124</v>
      </c>
      <c r="R15">
        <v>0</v>
      </c>
    </row>
    <row r="16" spans="1:20" x14ac:dyDescent="0.2">
      <c r="A16" t="str">
        <f t="shared" si="0"/>
        <v>ICE.2019.8</v>
      </c>
      <c r="B16" t="s">
        <v>1403</v>
      </c>
      <c r="C16" t="str">
        <f t="shared" si="1"/>
        <v>8</v>
      </c>
      <c r="D16" t="str">
        <f t="shared" si="2"/>
        <v>2019</v>
      </c>
      <c r="E16" s="51" t="s">
        <v>1385</v>
      </c>
      <c r="J16">
        <v>-0.43</v>
      </c>
      <c r="K16">
        <v>2.5000000000000001E-3</v>
      </c>
      <c r="L16">
        <v>124</v>
      </c>
      <c r="M16">
        <v>12032</v>
      </c>
      <c r="N16">
        <v>62</v>
      </c>
      <c r="O16">
        <v>0</v>
      </c>
      <c r="P16">
        <v>0</v>
      </c>
      <c r="Q16">
        <v>124</v>
      </c>
      <c r="R16">
        <v>0</v>
      </c>
    </row>
    <row r="17" spans="1:18" x14ac:dyDescent="0.2">
      <c r="A17" t="str">
        <f t="shared" si="0"/>
        <v>ICE.2019.9</v>
      </c>
      <c r="B17" t="s">
        <v>1403</v>
      </c>
      <c r="C17" t="str">
        <f t="shared" si="1"/>
        <v>9</v>
      </c>
      <c r="D17" t="str">
        <f t="shared" si="2"/>
        <v>2019</v>
      </c>
      <c r="E17" s="51" t="s">
        <v>1386</v>
      </c>
      <c r="J17">
        <v>-0.4325</v>
      </c>
      <c r="K17">
        <v>2.5000000000000001E-3</v>
      </c>
      <c r="L17">
        <v>120</v>
      </c>
      <c r="M17">
        <v>11087</v>
      </c>
      <c r="N17">
        <v>0</v>
      </c>
      <c r="O17">
        <v>0</v>
      </c>
      <c r="P17">
        <v>0</v>
      </c>
      <c r="Q17">
        <v>120</v>
      </c>
      <c r="R17">
        <v>0</v>
      </c>
    </row>
    <row r="18" spans="1:18" x14ac:dyDescent="0.2">
      <c r="A18" t="str">
        <f t="shared" si="0"/>
        <v>ICE.2019.10</v>
      </c>
      <c r="B18" t="s">
        <v>1403</v>
      </c>
      <c r="C18" t="str">
        <f t="shared" si="1"/>
        <v>10</v>
      </c>
      <c r="D18" t="str">
        <f t="shared" si="2"/>
        <v>2019</v>
      </c>
      <c r="E18" s="51" t="s">
        <v>1387</v>
      </c>
      <c r="J18">
        <v>-0.41249999999999998</v>
      </c>
      <c r="K18">
        <v>2.5000000000000001E-3</v>
      </c>
      <c r="L18">
        <v>124</v>
      </c>
      <c r="M18">
        <v>11821</v>
      </c>
      <c r="N18">
        <v>62</v>
      </c>
      <c r="O18">
        <v>0</v>
      </c>
      <c r="P18">
        <v>0</v>
      </c>
      <c r="Q18">
        <v>124</v>
      </c>
      <c r="R18">
        <v>0</v>
      </c>
    </row>
    <row r="19" spans="1:18" x14ac:dyDescent="0.2">
      <c r="A19" t="str">
        <f t="shared" si="0"/>
        <v>ICE.2019.11</v>
      </c>
      <c r="B19" t="s">
        <v>1403</v>
      </c>
      <c r="C19" t="str">
        <f t="shared" si="1"/>
        <v>11</v>
      </c>
      <c r="D19" t="str">
        <f t="shared" si="2"/>
        <v>2019</v>
      </c>
      <c r="E19" s="51" t="s">
        <v>1388</v>
      </c>
      <c r="J19">
        <v>-0.23749999999999999</v>
      </c>
      <c r="K19">
        <v>0</v>
      </c>
      <c r="L19">
        <v>0</v>
      </c>
      <c r="M19">
        <v>7695</v>
      </c>
      <c r="N19">
        <v>0</v>
      </c>
      <c r="O19">
        <v>0</v>
      </c>
      <c r="P19">
        <v>0</v>
      </c>
      <c r="Q19">
        <v>0</v>
      </c>
      <c r="R19">
        <v>0</v>
      </c>
    </row>
    <row r="20" spans="1:18" x14ac:dyDescent="0.2">
      <c r="A20" t="str">
        <f t="shared" si="0"/>
        <v>ICE.2019.12</v>
      </c>
      <c r="B20" t="s">
        <v>1403</v>
      </c>
      <c r="C20" t="str">
        <f t="shared" si="1"/>
        <v>12</v>
      </c>
      <c r="D20" t="str">
        <f t="shared" si="2"/>
        <v>2019</v>
      </c>
      <c r="E20" s="51" t="s">
        <v>1389</v>
      </c>
      <c r="J20">
        <v>-7.4999999999999997E-2</v>
      </c>
      <c r="K20">
        <v>0</v>
      </c>
      <c r="L20">
        <v>0</v>
      </c>
      <c r="M20">
        <v>8189</v>
      </c>
      <c r="N20">
        <v>0</v>
      </c>
      <c r="O20">
        <v>0</v>
      </c>
      <c r="P20">
        <v>0</v>
      </c>
      <c r="Q20">
        <v>0</v>
      </c>
      <c r="R20">
        <v>0</v>
      </c>
    </row>
    <row r="21" spans="1:18" x14ac:dyDescent="0.2">
      <c r="A21" t="str">
        <f t="shared" si="0"/>
        <v>ICE.2020.1</v>
      </c>
      <c r="B21" t="s">
        <v>1403</v>
      </c>
      <c r="C21" t="str">
        <f t="shared" si="1"/>
        <v>1</v>
      </c>
      <c r="D21" t="str">
        <f t="shared" si="2"/>
        <v>2020</v>
      </c>
      <c r="E21" s="51" t="s">
        <v>1390</v>
      </c>
      <c r="J21">
        <v>-2.5000000000000001E-2</v>
      </c>
      <c r="K21">
        <v>0</v>
      </c>
      <c r="L21">
        <v>0</v>
      </c>
      <c r="M21">
        <v>6703</v>
      </c>
      <c r="N21">
        <v>0</v>
      </c>
      <c r="O21">
        <v>0</v>
      </c>
      <c r="P21">
        <v>0</v>
      </c>
      <c r="Q21">
        <v>0</v>
      </c>
      <c r="R21">
        <v>0</v>
      </c>
    </row>
    <row r="22" spans="1:18" x14ac:dyDescent="0.2">
      <c r="A22" t="str">
        <f t="shared" si="0"/>
        <v>ICE.2020.2</v>
      </c>
      <c r="B22" t="s">
        <v>1403</v>
      </c>
      <c r="C22" t="str">
        <f t="shared" si="1"/>
        <v>2</v>
      </c>
      <c r="D22" t="str">
        <f t="shared" si="2"/>
        <v>2020</v>
      </c>
      <c r="E22" s="51" t="s">
        <v>1391</v>
      </c>
      <c r="J22">
        <v>-0.02</v>
      </c>
      <c r="K22">
        <v>0</v>
      </c>
      <c r="L22">
        <v>0</v>
      </c>
      <c r="M22">
        <v>6281</v>
      </c>
      <c r="N22">
        <v>0</v>
      </c>
      <c r="O22">
        <v>0</v>
      </c>
      <c r="P22">
        <v>0</v>
      </c>
      <c r="Q22">
        <v>0</v>
      </c>
      <c r="R22">
        <v>0</v>
      </c>
    </row>
    <row r="23" spans="1:18" x14ac:dyDescent="0.2">
      <c r="A23" t="str">
        <f t="shared" si="0"/>
        <v>ICE.2020.3</v>
      </c>
      <c r="B23" t="s">
        <v>1403</v>
      </c>
      <c r="C23" t="str">
        <f t="shared" si="1"/>
        <v>3</v>
      </c>
      <c r="D23" t="str">
        <f t="shared" si="2"/>
        <v>2020</v>
      </c>
      <c r="E23" s="51" t="s">
        <v>1392</v>
      </c>
      <c r="J23">
        <v>-0.155</v>
      </c>
      <c r="K23">
        <v>0</v>
      </c>
      <c r="L23">
        <v>0</v>
      </c>
      <c r="M23">
        <v>6889</v>
      </c>
      <c r="N23">
        <v>0</v>
      </c>
      <c r="O23">
        <v>0</v>
      </c>
      <c r="P23">
        <v>0</v>
      </c>
      <c r="Q23">
        <v>0</v>
      </c>
      <c r="R23">
        <v>0</v>
      </c>
    </row>
    <row r="24" spans="1:18" x14ac:dyDescent="0.2">
      <c r="A24" t="str">
        <f t="shared" si="0"/>
        <v>ICE.2020.4</v>
      </c>
      <c r="B24" t="s">
        <v>1403</v>
      </c>
      <c r="C24" t="str">
        <f t="shared" si="1"/>
        <v>4</v>
      </c>
      <c r="D24" t="str">
        <f t="shared" si="2"/>
        <v>2020</v>
      </c>
      <c r="E24" s="51" t="s">
        <v>1393</v>
      </c>
      <c r="J24">
        <v>-0.215</v>
      </c>
      <c r="K24">
        <v>-0.02</v>
      </c>
      <c r="L24">
        <v>120</v>
      </c>
      <c r="M24">
        <v>5132</v>
      </c>
      <c r="N24">
        <v>-90</v>
      </c>
      <c r="O24">
        <v>0</v>
      </c>
      <c r="P24">
        <v>0</v>
      </c>
      <c r="Q24">
        <v>0</v>
      </c>
      <c r="R24">
        <v>30</v>
      </c>
    </row>
    <row r="25" spans="1:18" x14ac:dyDescent="0.2">
      <c r="A25" t="str">
        <f t="shared" si="0"/>
        <v>ICE.2020.5</v>
      </c>
      <c r="B25" t="s">
        <v>1403</v>
      </c>
      <c r="C25" t="str">
        <f t="shared" si="1"/>
        <v>5</v>
      </c>
      <c r="D25" t="str">
        <f t="shared" si="2"/>
        <v>2020</v>
      </c>
      <c r="E25" s="51" t="s">
        <v>1394</v>
      </c>
      <c r="J25">
        <v>-0.37</v>
      </c>
      <c r="K25">
        <v>0</v>
      </c>
      <c r="L25">
        <v>124</v>
      </c>
      <c r="M25">
        <v>5264</v>
      </c>
      <c r="N25">
        <v>-93</v>
      </c>
      <c r="O25">
        <v>0</v>
      </c>
      <c r="P25">
        <v>0</v>
      </c>
      <c r="Q25">
        <v>0</v>
      </c>
      <c r="R25">
        <v>31</v>
      </c>
    </row>
    <row r="26" spans="1:18" x14ac:dyDescent="0.2">
      <c r="A26" t="str">
        <f t="shared" si="0"/>
        <v>ICE.2020.6</v>
      </c>
      <c r="B26" t="s">
        <v>1403</v>
      </c>
      <c r="C26" t="str">
        <f t="shared" si="1"/>
        <v>6</v>
      </c>
      <c r="D26" t="str">
        <f t="shared" si="2"/>
        <v>2020</v>
      </c>
      <c r="E26" s="51" t="s">
        <v>1395</v>
      </c>
      <c r="J26">
        <v>-0.4425</v>
      </c>
      <c r="K26">
        <v>-0.02</v>
      </c>
      <c r="L26">
        <v>120</v>
      </c>
      <c r="M26">
        <v>5248</v>
      </c>
      <c r="N26">
        <v>-90</v>
      </c>
      <c r="O26">
        <v>0</v>
      </c>
      <c r="P26">
        <v>0</v>
      </c>
      <c r="Q26">
        <v>0</v>
      </c>
      <c r="R26">
        <v>30</v>
      </c>
    </row>
    <row r="27" spans="1:18" x14ac:dyDescent="0.2">
      <c r="A27" t="str">
        <f t="shared" si="0"/>
        <v>ICE.2020.7</v>
      </c>
      <c r="B27" t="s">
        <v>1403</v>
      </c>
      <c r="C27" t="str">
        <f t="shared" si="1"/>
        <v>7</v>
      </c>
      <c r="D27" t="str">
        <f t="shared" si="2"/>
        <v>2020</v>
      </c>
      <c r="E27" s="51" t="s">
        <v>1396</v>
      </c>
      <c r="J27">
        <v>-0.40749999999999997</v>
      </c>
      <c r="K27">
        <v>-0.02</v>
      </c>
      <c r="L27">
        <v>124</v>
      </c>
      <c r="M27">
        <v>5295</v>
      </c>
      <c r="N27">
        <v>-93</v>
      </c>
      <c r="O27">
        <v>0</v>
      </c>
      <c r="P27">
        <v>0</v>
      </c>
      <c r="Q27">
        <v>0</v>
      </c>
      <c r="R27">
        <v>31</v>
      </c>
    </row>
    <row r="28" spans="1:18" x14ac:dyDescent="0.2">
      <c r="A28" t="str">
        <f t="shared" si="0"/>
        <v>ICE.2020.8</v>
      </c>
      <c r="B28" t="s">
        <v>1403</v>
      </c>
      <c r="C28" t="str">
        <f t="shared" si="1"/>
        <v>8</v>
      </c>
      <c r="D28" t="str">
        <f t="shared" si="2"/>
        <v>2020</v>
      </c>
      <c r="E28" s="51" t="s">
        <v>1397</v>
      </c>
      <c r="J28">
        <v>-0.40749999999999997</v>
      </c>
      <c r="K28">
        <v>-0.02</v>
      </c>
      <c r="L28">
        <v>124</v>
      </c>
      <c r="M28">
        <v>5295</v>
      </c>
      <c r="N28">
        <v>-93</v>
      </c>
      <c r="O28">
        <v>0</v>
      </c>
      <c r="P28">
        <v>0</v>
      </c>
      <c r="Q28">
        <v>0</v>
      </c>
      <c r="R28">
        <v>31</v>
      </c>
    </row>
    <row r="29" spans="1:18" x14ac:dyDescent="0.2">
      <c r="A29" t="str">
        <f t="shared" si="0"/>
        <v>ICE.2020.9</v>
      </c>
      <c r="B29" t="s">
        <v>1403</v>
      </c>
      <c r="C29" t="str">
        <f t="shared" si="1"/>
        <v>9</v>
      </c>
      <c r="D29" t="str">
        <f t="shared" si="2"/>
        <v>2020</v>
      </c>
      <c r="E29" s="51" t="s">
        <v>1398</v>
      </c>
      <c r="J29">
        <v>-0.40749999999999997</v>
      </c>
      <c r="K29">
        <v>-0.02</v>
      </c>
      <c r="L29">
        <v>120</v>
      </c>
      <c r="M29">
        <v>5098</v>
      </c>
      <c r="N29">
        <v>-90</v>
      </c>
      <c r="O29">
        <v>0</v>
      </c>
      <c r="P29">
        <v>0</v>
      </c>
      <c r="Q29">
        <v>0</v>
      </c>
      <c r="R29">
        <v>30</v>
      </c>
    </row>
    <row r="30" spans="1:18" x14ac:dyDescent="0.2">
      <c r="A30" t="str">
        <f t="shared" si="0"/>
        <v>ICE.2020.10</v>
      </c>
      <c r="B30" t="s">
        <v>1403</v>
      </c>
      <c r="C30" t="str">
        <f t="shared" si="1"/>
        <v>10</v>
      </c>
      <c r="D30" t="str">
        <f t="shared" si="2"/>
        <v>2020</v>
      </c>
      <c r="E30" s="51" t="s">
        <v>1399</v>
      </c>
      <c r="J30">
        <v>-0.41249999999999998</v>
      </c>
      <c r="K30">
        <v>-0.02</v>
      </c>
      <c r="L30">
        <v>124</v>
      </c>
      <c r="M30">
        <v>5140</v>
      </c>
      <c r="N30">
        <v>-93</v>
      </c>
      <c r="O30">
        <v>0</v>
      </c>
      <c r="P30">
        <v>0</v>
      </c>
      <c r="Q30">
        <v>0</v>
      </c>
      <c r="R30">
        <v>31</v>
      </c>
    </row>
    <row r="31" spans="1:18" x14ac:dyDescent="0.2">
      <c r="A31" t="str">
        <f t="shared" si="0"/>
        <v>ICE.2020.11</v>
      </c>
      <c r="B31" t="s">
        <v>1403</v>
      </c>
      <c r="C31" t="str">
        <f t="shared" si="1"/>
        <v>11</v>
      </c>
      <c r="D31" t="str">
        <f t="shared" si="2"/>
        <v>2020</v>
      </c>
      <c r="E31" s="51" t="s">
        <v>1400</v>
      </c>
      <c r="J31">
        <v>-0.20499999999999999</v>
      </c>
      <c r="K31">
        <v>-0.01</v>
      </c>
      <c r="L31">
        <v>30</v>
      </c>
      <c r="M31">
        <v>4258</v>
      </c>
      <c r="N31">
        <v>0</v>
      </c>
      <c r="O31">
        <v>0</v>
      </c>
      <c r="P31">
        <v>0</v>
      </c>
      <c r="Q31">
        <v>0</v>
      </c>
      <c r="R31">
        <v>0</v>
      </c>
    </row>
    <row r="32" spans="1:18" x14ac:dyDescent="0.2">
      <c r="A32" t="str">
        <f t="shared" si="0"/>
        <v>ICE.2020.12</v>
      </c>
      <c r="B32" t="s">
        <v>1403</v>
      </c>
      <c r="C32" t="str">
        <f t="shared" si="1"/>
        <v>12</v>
      </c>
      <c r="D32" t="str">
        <f t="shared" si="2"/>
        <v>2020</v>
      </c>
      <c r="E32" s="51" t="s">
        <v>1401</v>
      </c>
      <c r="J32">
        <v>-0.105</v>
      </c>
      <c r="K32">
        <v>-0.01</v>
      </c>
      <c r="L32">
        <v>31</v>
      </c>
      <c r="M32">
        <v>4398</v>
      </c>
      <c r="N32">
        <v>0</v>
      </c>
      <c r="O32">
        <v>0</v>
      </c>
      <c r="P32">
        <v>0</v>
      </c>
      <c r="Q32">
        <v>0</v>
      </c>
      <c r="R32">
        <v>0</v>
      </c>
    </row>
    <row r="33" spans="1:18" x14ac:dyDescent="0.2">
      <c r="A33" t="str">
        <f t="shared" si="0"/>
        <v>ICE.2021.1</v>
      </c>
      <c r="B33" t="s">
        <v>1403</v>
      </c>
      <c r="C33" t="str">
        <f t="shared" si="1"/>
        <v>1</v>
      </c>
      <c r="D33" t="str">
        <f t="shared" si="2"/>
        <v>2021</v>
      </c>
      <c r="E33" s="51" t="s">
        <v>1405</v>
      </c>
      <c r="J33">
        <v>-4.2500000000000003E-2</v>
      </c>
      <c r="K33">
        <v>-0.01</v>
      </c>
      <c r="L33">
        <v>93</v>
      </c>
      <c r="M33">
        <v>4340</v>
      </c>
      <c r="N33">
        <v>62</v>
      </c>
      <c r="O33">
        <v>0</v>
      </c>
      <c r="P33">
        <v>0</v>
      </c>
      <c r="Q33">
        <v>62</v>
      </c>
      <c r="R33">
        <v>0</v>
      </c>
    </row>
    <row r="34" spans="1:18" x14ac:dyDescent="0.2">
      <c r="A34" t="str">
        <f t="shared" si="0"/>
        <v>ICE.2021.2</v>
      </c>
      <c r="B34" t="s">
        <v>1403</v>
      </c>
      <c r="C34" t="str">
        <f t="shared" si="1"/>
        <v>2</v>
      </c>
      <c r="D34" t="str">
        <f t="shared" si="2"/>
        <v>2021</v>
      </c>
      <c r="E34" s="51" t="s">
        <v>1406</v>
      </c>
      <c r="J34">
        <v>-0.04</v>
      </c>
      <c r="K34">
        <v>-0.01</v>
      </c>
      <c r="L34">
        <v>84</v>
      </c>
      <c r="M34">
        <v>3926</v>
      </c>
      <c r="N34">
        <v>56</v>
      </c>
      <c r="O34">
        <v>0</v>
      </c>
      <c r="P34">
        <v>0</v>
      </c>
      <c r="Q34">
        <v>56</v>
      </c>
      <c r="R34">
        <v>0</v>
      </c>
    </row>
    <row r="35" spans="1:18" x14ac:dyDescent="0.2">
      <c r="A35" t="str">
        <f t="shared" si="0"/>
        <v>ICE.2021.3</v>
      </c>
      <c r="B35" t="s">
        <v>1403</v>
      </c>
      <c r="C35" t="str">
        <f t="shared" si="1"/>
        <v>3</v>
      </c>
      <c r="D35" t="str">
        <f t="shared" si="2"/>
        <v>2021</v>
      </c>
      <c r="E35" s="51" t="s">
        <v>1407</v>
      </c>
      <c r="J35">
        <v>-0.15</v>
      </c>
      <c r="K35">
        <v>-0.01</v>
      </c>
      <c r="L35">
        <v>93</v>
      </c>
      <c r="M35">
        <v>4340</v>
      </c>
      <c r="N35">
        <v>62</v>
      </c>
      <c r="O35">
        <v>0</v>
      </c>
      <c r="P35">
        <v>0</v>
      </c>
      <c r="Q35">
        <v>62</v>
      </c>
      <c r="R35">
        <v>0</v>
      </c>
    </row>
    <row r="36" spans="1:18" x14ac:dyDescent="0.2">
      <c r="A36" t="str">
        <f t="shared" si="0"/>
        <v>ICE.2021.4</v>
      </c>
      <c r="B36" t="s">
        <v>1403</v>
      </c>
      <c r="C36" t="str">
        <f t="shared" si="1"/>
        <v>4</v>
      </c>
      <c r="D36" t="str">
        <f t="shared" si="2"/>
        <v>2021</v>
      </c>
      <c r="E36" s="51" t="s">
        <v>1408</v>
      </c>
      <c r="J36">
        <v>-0.29749999999999999</v>
      </c>
      <c r="K36">
        <v>-3.2500000000000001E-2</v>
      </c>
      <c r="L36">
        <v>180</v>
      </c>
      <c r="M36">
        <v>3896</v>
      </c>
      <c r="N36">
        <v>30</v>
      </c>
      <c r="O36">
        <v>0</v>
      </c>
      <c r="P36">
        <v>0</v>
      </c>
      <c r="Q36">
        <v>60</v>
      </c>
      <c r="R36">
        <v>0</v>
      </c>
    </row>
    <row r="37" spans="1:18" x14ac:dyDescent="0.2">
      <c r="A37" t="str">
        <f t="shared" si="0"/>
        <v>ICE.2021.5</v>
      </c>
      <c r="B37" t="s">
        <v>1403</v>
      </c>
      <c r="C37" t="str">
        <f t="shared" si="1"/>
        <v>5</v>
      </c>
      <c r="D37" t="str">
        <f t="shared" si="2"/>
        <v>2021</v>
      </c>
      <c r="E37" s="51" t="s">
        <v>1409</v>
      </c>
      <c r="J37">
        <v>-0.43</v>
      </c>
      <c r="K37">
        <v>-3.2500000000000001E-2</v>
      </c>
      <c r="L37">
        <v>186</v>
      </c>
      <c r="M37">
        <v>4022</v>
      </c>
      <c r="N37">
        <v>31</v>
      </c>
      <c r="O37">
        <v>0</v>
      </c>
      <c r="P37">
        <v>0</v>
      </c>
      <c r="Q37">
        <v>62</v>
      </c>
      <c r="R37">
        <v>0</v>
      </c>
    </row>
    <row r="38" spans="1:18" x14ac:dyDescent="0.2">
      <c r="A38" t="str">
        <f t="shared" si="0"/>
        <v>ICE.2021.6</v>
      </c>
      <c r="B38" t="s">
        <v>1403</v>
      </c>
      <c r="C38" t="str">
        <f t="shared" si="1"/>
        <v>6</v>
      </c>
      <c r="D38" t="str">
        <f t="shared" si="2"/>
        <v>2021</v>
      </c>
      <c r="E38" s="51" t="s">
        <v>1410</v>
      </c>
      <c r="J38">
        <v>-0.44500000000000001</v>
      </c>
      <c r="K38">
        <v>-3.2500000000000001E-2</v>
      </c>
      <c r="L38">
        <v>180</v>
      </c>
      <c r="M38">
        <v>3896</v>
      </c>
      <c r="N38">
        <v>30</v>
      </c>
      <c r="O38">
        <v>0</v>
      </c>
      <c r="P38">
        <v>0</v>
      </c>
      <c r="Q38">
        <v>60</v>
      </c>
      <c r="R38">
        <v>0</v>
      </c>
    </row>
    <row r="39" spans="1:18" x14ac:dyDescent="0.2">
      <c r="A39" t="str">
        <f t="shared" si="0"/>
        <v>ICE.2021.7</v>
      </c>
      <c r="B39" t="s">
        <v>1403</v>
      </c>
      <c r="C39" t="str">
        <f t="shared" si="1"/>
        <v>7</v>
      </c>
      <c r="D39" t="str">
        <f t="shared" si="2"/>
        <v>2021</v>
      </c>
      <c r="E39" s="51" t="s">
        <v>1411</v>
      </c>
      <c r="J39">
        <v>-0.41</v>
      </c>
      <c r="K39">
        <v>-3.2500000000000001E-2</v>
      </c>
      <c r="L39">
        <v>186</v>
      </c>
      <c r="M39">
        <v>4022</v>
      </c>
      <c r="N39">
        <v>31</v>
      </c>
      <c r="O39">
        <v>0</v>
      </c>
      <c r="P39">
        <v>0</v>
      </c>
      <c r="Q39">
        <v>62</v>
      </c>
      <c r="R39">
        <v>0</v>
      </c>
    </row>
    <row r="40" spans="1:18" x14ac:dyDescent="0.2">
      <c r="A40" t="str">
        <f t="shared" si="0"/>
        <v>ICE.2021.8</v>
      </c>
      <c r="B40" t="s">
        <v>1403</v>
      </c>
      <c r="C40" t="str">
        <f t="shared" si="1"/>
        <v>8</v>
      </c>
      <c r="D40" t="str">
        <f t="shared" si="2"/>
        <v>2021</v>
      </c>
      <c r="E40" s="51" t="s">
        <v>1412</v>
      </c>
      <c r="J40">
        <v>-0.41</v>
      </c>
      <c r="K40">
        <v>-3.2500000000000001E-2</v>
      </c>
      <c r="L40">
        <v>186</v>
      </c>
      <c r="M40">
        <v>4022</v>
      </c>
      <c r="N40">
        <v>31</v>
      </c>
      <c r="O40">
        <v>0</v>
      </c>
      <c r="P40">
        <v>0</v>
      </c>
      <c r="Q40">
        <v>62</v>
      </c>
      <c r="R40">
        <v>0</v>
      </c>
    </row>
    <row r="41" spans="1:18" x14ac:dyDescent="0.2">
      <c r="A41" t="str">
        <f t="shared" si="0"/>
        <v>ICE.2021.9</v>
      </c>
      <c r="B41" t="s">
        <v>1403</v>
      </c>
      <c r="C41" t="str">
        <f t="shared" si="1"/>
        <v>9</v>
      </c>
      <c r="D41" t="str">
        <f t="shared" si="2"/>
        <v>2021</v>
      </c>
      <c r="E41" s="51" t="s">
        <v>1413</v>
      </c>
      <c r="J41">
        <v>-0.40749999999999997</v>
      </c>
      <c r="K41">
        <v>-3.2500000000000001E-2</v>
      </c>
      <c r="L41">
        <v>180</v>
      </c>
      <c r="M41">
        <v>3896</v>
      </c>
      <c r="N41">
        <v>30</v>
      </c>
      <c r="O41">
        <v>0</v>
      </c>
      <c r="P41">
        <v>0</v>
      </c>
      <c r="Q41">
        <v>60</v>
      </c>
      <c r="R41">
        <v>0</v>
      </c>
    </row>
    <row r="42" spans="1:18" x14ac:dyDescent="0.2">
      <c r="A42" t="str">
        <f t="shared" si="0"/>
        <v>ICE.2021.10</v>
      </c>
      <c r="B42" t="s">
        <v>1403</v>
      </c>
      <c r="C42" t="str">
        <f t="shared" si="1"/>
        <v>10</v>
      </c>
      <c r="D42" t="str">
        <f t="shared" si="2"/>
        <v>2021</v>
      </c>
      <c r="E42" s="51" t="s">
        <v>1414</v>
      </c>
      <c r="J42">
        <v>-0.41249999999999998</v>
      </c>
      <c r="K42">
        <v>-3.2500000000000001E-2</v>
      </c>
      <c r="L42">
        <v>186</v>
      </c>
      <c r="M42">
        <v>4022</v>
      </c>
      <c r="N42">
        <v>31</v>
      </c>
      <c r="O42">
        <v>0</v>
      </c>
      <c r="P42">
        <v>0</v>
      </c>
      <c r="Q42">
        <v>62</v>
      </c>
      <c r="R42">
        <v>0</v>
      </c>
    </row>
    <row r="43" spans="1:18" x14ac:dyDescent="0.2">
      <c r="A43" t="str">
        <f t="shared" si="0"/>
        <v>ICE.2021.11</v>
      </c>
      <c r="B43" t="s">
        <v>1403</v>
      </c>
      <c r="C43" t="str">
        <f t="shared" si="1"/>
        <v>11</v>
      </c>
      <c r="D43" t="str">
        <f t="shared" si="2"/>
        <v>2021</v>
      </c>
      <c r="E43" s="51" t="s">
        <v>1415</v>
      </c>
      <c r="J43">
        <v>-0.17249999999999999</v>
      </c>
      <c r="K43">
        <v>-2.2499999999999999E-2</v>
      </c>
      <c r="L43">
        <v>120</v>
      </c>
      <c r="M43">
        <v>2572</v>
      </c>
      <c r="N43">
        <v>60</v>
      </c>
      <c r="O43">
        <v>0</v>
      </c>
      <c r="P43">
        <v>0</v>
      </c>
      <c r="Q43">
        <v>120</v>
      </c>
      <c r="R43">
        <v>0</v>
      </c>
    </row>
    <row r="44" spans="1:18" x14ac:dyDescent="0.2">
      <c r="A44" t="str">
        <f t="shared" si="0"/>
        <v>ICE.2021.12</v>
      </c>
      <c r="B44" t="s">
        <v>1403</v>
      </c>
      <c r="C44" t="str">
        <f t="shared" si="1"/>
        <v>12</v>
      </c>
      <c r="D44" t="str">
        <f t="shared" si="2"/>
        <v>2021</v>
      </c>
      <c r="E44" s="51" t="s">
        <v>1416</v>
      </c>
      <c r="J44">
        <v>-0.1125</v>
      </c>
      <c r="K44">
        <v>-2.2499999999999999E-2</v>
      </c>
      <c r="L44">
        <v>124</v>
      </c>
      <c r="M44">
        <v>2654</v>
      </c>
      <c r="N44">
        <v>62</v>
      </c>
      <c r="O44">
        <v>0</v>
      </c>
      <c r="P44">
        <v>0</v>
      </c>
      <c r="Q44">
        <v>124</v>
      </c>
      <c r="R44">
        <v>0</v>
      </c>
    </row>
    <row r="45" spans="1:18" x14ac:dyDescent="0.2">
      <c r="A45" t="str">
        <f t="shared" si="0"/>
        <v>ICE.2022.1</v>
      </c>
      <c r="B45" t="s">
        <v>1403</v>
      </c>
      <c r="C45" t="str">
        <f t="shared" si="1"/>
        <v>1</v>
      </c>
      <c r="D45" t="str">
        <f t="shared" si="2"/>
        <v>2022</v>
      </c>
      <c r="E45" s="51" t="s">
        <v>1485</v>
      </c>
      <c r="J45">
        <v>-5.7500000000000002E-2</v>
      </c>
      <c r="K45">
        <v>-2.2499999999999999E-2</v>
      </c>
      <c r="L45">
        <v>248</v>
      </c>
      <c r="M45">
        <v>2871</v>
      </c>
      <c r="N45">
        <v>-62</v>
      </c>
      <c r="O45">
        <v>0</v>
      </c>
      <c r="P45">
        <v>0</v>
      </c>
      <c r="Q45">
        <v>248</v>
      </c>
      <c r="R45">
        <v>0</v>
      </c>
    </row>
    <row r="46" spans="1:18" x14ac:dyDescent="0.2">
      <c r="A46" t="str">
        <f t="shared" si="0"/>
        <v>ICE.2022.2</v>
      </c>
      <c r="B46" t="s">
        <v>1403</v>
      </c>
      <c r="C46" t="str">
        <f t="shared" si="1"/>
        <v>2</v>
      </c>
      <c r="D46" t="str">
        <f t="shared" si="2"/>
        <v>2022</v>
      </c>
      <c r="E46" s="51" t="s">
        <v>1486</v>
      </c>
      <c r="J46">
        <v>-5.5E-2</v>
      </c>
      <c r="K46">
        <v>-2.2499999999999999E-2</v>
      </c>
      <c r="L46">
        <v>224</v>
      </c>
      <c r="M46">
        <v>2604</v>
      </c>
      <c r="N46">
        <v>-56</v>
      </c>
      <c r="O46">
        <v>0</v>
      </c>
      <c r="P46">
        <v>0</v>
      </c>
      <c r="Q46">
        <v>224</v>
      </c>
      <c r="R46">
        <v>0</v>
      </c>
    </row>
    <row r="47" spans="1:18" x14ac:dyDescent="0.2">
      <c r="A47" t="str">
        <f t="shared" si="0"/>
        <v>ICE.2022.3</v>
      </c>
      <c r="B47" t="s">
        <v>1403</v>
      </c>
      <c r="C47" t="str">
        <f t="shared" si="1"/>
        <v>3</v>
      </c>
      <c r="D47" t="str">
        <f t="shared" si="2"/>
        <v>2022</v>
      </c>
      <c r="E47" s="51" t="s">
        <v>1487</v>
      </c>
      <c r="J47">
        <v>-0.1525</v>
      </c>
      <c r="K47">
        <v>-2.2499999999999999E-2</v>
      </c>
      <c r="L47">
        <v>248</v>
      </c>
      <c r="M47">
        <v>2871</v>
      </c>
      <c r="N47">
        <v>-62</v>
      </c>
      <c r="O47">
        <v>0</v>
      </c>
      <c r="P47">
        <v>0</v>
      </c>
      <c r="Q47">
        <v>248</v>
      </c>
      <c r="R47">
        <v>0</v>
      </c>
    </row>
    <row r="48" spans="1:18" x14ac:dyDescent="0.2">
      <c r="A48" t="str">
        <f t="shared" si="0"/>
        <v>ICE.2022.4</v>
      </c>
      <c r="B48" t="s">
        <v>1403</v>
      </c>
      <c r="C48" t="str">
        <f t="shared" si="1"/>
        <v>4</v>
      </c>
      <c r="D48" t="str">
        <f t="shared" si="2"/>
        <v>2022</v>
      </c>
      <c r="E48" s="51" t="s">
        <v>1488</v>
      </c>
      <c r="J48">
        <v>-0.30249999999999999</v>
      </c>
      <c r="K48">
        <v>-0.05</v>
      </c>
      <c r="L48">
        <v>210</v>
      </c>
      <c r="M48">
        <v>2860</v>
      </c>
      <c r="N48">
        <v>-60</v>
      </c>
      <c r="O48">
        <v>0</v>
      </c>
      <c r="P48">
        <v>0</v>
      </c>
      <c r="Q48">
        <v>180</v>
      </c>
      <c r="R48">
        <v>0</v>
      </c>
    </row>
    <row r="49" spans="1:18" x14ac:dyDescent="0.2">
      <c r="A49" t="str">
        <f t="shared" si="0"/>
        <v>ICE.2022.5</v>
      </c>
      <c r="B49" t="s">
        <v>1403</v>
      </c>
      <c r="C49" t="str">
        <f t="shared" si="1"/>
        <v>5</v>
      </c>
      <c r="D49" t="str">
        <f t="shared" si="2"/>
        <v>2022</v>
      </c>
      <c r="E49" s="51" t="s">
        <v>1489</v>
      </c>
      <c r="J49">
        <v>-0.43</v>
      </c>
      <c r="K49">
        <v>-0.05</v>
      </c>
      <c r="L49">
        <v>217</v>
      </c>
      <c r="M49">
        <v>2952</v>
      </c>
      <c r="N49">
        <v>-62</v>
      </c>
      <c r="O49">
        <v>0</v>
      </c>
      <c r="P49">
        <v>0</v>
      </c>
      <c r="Q49">
        <v>186</v>
      </c>
      <c r="R49">
        <v>0</v>
      </c>
    </row>
    <row r="50" spans="1:18" x14ac:dyDescent="0.2">
      <c r="A50" t="str">
        <f t="shared" si="0"/>
        <v>ICE.2022.6</v>
      </c>
      <c r="B50" t="s">
        <v>1403</v>
      </c>
      <c r="C50" t="str">
        <f t="shared" si="1"/>
        <v>6</v>
      </c>
      <c r="D50" t="str">
        <f t="shared" si="2"/>
        <v>2022</v>
      </c>
      <c r="E50" s="51" t="s">
        <v>1490</v>
      </c>
      <c r="J50">
        <v>-0.44750000000000001</v>
      </c>
      <c r="K50">
        <v>-0.05</v>
      </c>
      <c r="L50">
        <v>210</v>
      </c>
      <c r="M50">
        <v>2860</v>
      </c>
      <c r="N50">
        <v>-60</v>
      </c>
      <c r="O50">
        <v>0</v>
      </c>
      <c r="P50">
        <v>0</v>
      </c>
      <c r="Q50">
        <v>180</v>
      </c>
      <c r="R50">
        <v>0</v>
      </c>
    </row>
    <row r="51" spans="1:18" x14ac:dyDescent="0.2">
      <c r="A51" t="str">
        <f t="shared" si="0"/>
        <v>ICE.2022.7</v>
      </c>
      <c r="B51" t="s">
        <v>1403</v>
      </c>
      <c r="C51" t="str">
        <f t="shared" si="1"/>
        <v>7</v>
      </c>
      <c r="D51" t="str">
        <f t="shared" si="2"/>
        <v>2022</v>
      </c>
      <c r="E51" s="51" t="s">
        <v>1491</v>
      </c>
      <c r="J51">
        <v>-0.41249999999999998</v>
      </c>
      <c r="K51">
        <v>-0.05</v>
      </c>
      <c r="L51">
        <v>217</v>
      </c>
      <c r="M51">
        <v>2952</v>
      </c>
      <c r="N51">
        <v>-62</v>
      </c>
      <c r="O51">
        <v>0</v>
      </c>
      <c r="P51">
        <v>0</v>
      </c>
      <c r="Q51">
        <v>186</v>
      </c>
      <c r="R51">
        <v>0</v>
      </c>
    </row>
    <row r="52" spans="1:18" x14ac:dyDescent="0.2">
      <c r="A52" t="str">
        <f t="shared" si="0"/>
        <v>ICE.2022.8</v>
      </c>
      <c r="B52" t="s">
        <v>1403</v>
      </c>
      <c r="C52" t="str">
        <f t="shared" si="1"/>
        <v>8</v>
      </c>
      <c r="D52" t="str">
        <f t="shared" si="2"/>
        <v>2022</v>
      </c>
      <c r="E52" s="51" t="s">
        <v>1492</v>
      </c>
      <c r="J52">
        <v>-0.41249999999999998</v>
      </c>
      <c r="K52">
        <v>-0.05</v>
      </c>
      <c r="L52">
        <v>217</v>
      </c>
      <c r="M52">
        <v>2952</v>
      </c>
      <c r="N52">
        <v>-62</v>
      </c>
      <c r="O52">
        <v>0</v>
      </c>
      <c r="P52">
        <v>0</v>
      </c>
      <c r="Q52">
        <v>186</v>
      </c>
      <c r="R52">
        <v>0</v>
      </c>
    </row>
    <row r="53" spans="1:18" x14ac:dyDescent="0.2">
      <c r="A53" t="str">
        <f t="shared" si="0"/>
        <v>ICE.2022.9</v>
      </c>
      <c r="B53" t="s">
        <v>1403</v>
      </c>
      <c r="C53" t="str">
        <f t="shared" si="1"/>
        <v>9</v>
      </c>
      <c r="D53" t="str">
        <f t="shared" si="2"/>
        <v>2022</v>
      </c>
      <c r="E53" s="51" t="s">
        <v>1493</v>
      </c>
      <c r="J53">
        <v>-0.41</v>
      </c>
      <c r="K53">
        <v>-0.05</v>
      </c>
      <c r="L53">
        <v>210</v>
      </c>
      <c r="M53">
        <v>2860</v>
      </c>
      <c r="N53">
        <v>-60</v>
      </c>
      <c r="O53">
        <v>0</v>
      </c>
      <c r="P53">
        <v>0</v>
      </c>
      <c r="Q53">
        <v>180</v>
      </c>
      <c r="R53">
        <v>0</v>
      </c>
    </row>
    <row r="54" spans="1:18" x14ac:dyDescent="0.2">
      <c r="A54" t="str">
        <f t="shared" si="0"/>
        <v>ICE.2022.10</v>
      </c>
      <c r="B54" t="s">
        <v>1403</v>
      </c>
      <c r="C54" t="str">
        <f t="shared" si="1"/>
        <v>10</v>
      </c>
      <c r="D54" t="str">
        <f t="shared" si="2"/>
        <v>2022</v>
      </c>
      <c r="E54" s="51" t="s">
        <v>1494</v>
      </c>
      <c r="J54">
        <v>-0.41499999999999998</v>
      </c>
      <c r="K54">
        <v>-0.05</v>
      </c>
      <c r="L54">
        <v>217</v>
      </c>
      <c r="M54">
        <v>2952</v>
      </c>
      <c r="N54">
        <v>-62</v>
      </c>
      <c r="O54">
        <v>0</v>
      </c>
      <c r="P54">
        <v>0</v>
      </c>
      <c r="Q54">
        <v>186</v>
      </c>
      <c r="R54">
        <v>0</v>
      </c>
    </row>
    <row r="55" spans="1:18" x14ac:dyDescent="0.2">
      <c r="A55" t="str">
        <f t="shared" si="0"/>
        <v>ICE.2022.11</v>
      </c>
      <c r="B55" t="s">
        <v>1403</v>
      </c>
      <c r="C55" t="str">
        <f t="shared" si="1"/>
        <v>11</v>
      </c>
      <c r="D55" t="str">
        <f t="shared" si="2"/>
        <v>2022</v>
      </c>
      <c r="E55" s="51" t="s">
        <v>1495</v>
      </c>
      <c r="J55">
        <v>-0.17</v>
      </c>
      <c r="K55">
        <v>-3.5000000000000003E-2</v>
      </c>
      <c r="L55">
        <v>240</v>
      </c>
      <c r="M55">
        <v>1830</v>
      </c>
      <c r="N55">
        <v>-60</v>
      </c>
      <c r="O55">
        <v>0</v>
      </c>
      <c r="P55">
        <v>0</v>
      </c>
      <c r="Q55">
        <v>240</v>
      </c>
      <c r="R55">
        <v>0</v>
      </c>
    </row>
    <row r="56" spans="1:18" x14ac:dyDescent="0.2">
      <c r="A56" t="str">
        <f t="shared" si="0"/>
        <v>ICE.2022.12</v>
      </c>
      <c r="B56" t="s">
        <v>1403</v>
      </c>
      <c r="C56" t="str">
        <f t="shared" si="1"/>
        <v>12</v>
      </c>
      <c r="D56" t="str">
        <f t="shared" si="2"/>
        <v>2022</v>
      </c>
      <c r="E56" s="51" t="s">
        <v>1496</v>
      </c>
      <c r="J56">
        <v>-0.1125</v>
      </c>
      <c r="K56">
        <v>-3.5000000000000003E-2</v>
      </c>
      <c r="L56">
        <v>248</v>
      </c>
      <c r="M56">
        <v>1891</v>
      </c>
      <c r="N56">
        <v>-62</v>
      </c>
      <c r="O56">
        <v>0</v>
      </c>
      <c r="P56">
        <v>0</v>
      </c>
      <c r="Q56">
        <v>248</v>
      </c>
      <c r="R56">
        <v>0</v>
      </c>
    </row>
    <row r="57" spans="1:18" x14ac:dyDescent="0.2">
      <c r="A57" t="str">
        <f t="shared" si="0"/>
        <v>ICE.2023.1</v>
      </c>
      <c r="B57" t="s">
        <v>1403</v>
      </c>
      <c r="C57" t="str">
        <f t="shared" si="1"/>
        <v>1</v>
      </c>
      <c r="D57" t="str">
        <f t="shared" si="2"/>
        <v>2023</v>
      </c>
      <c r="E57" s="51" t="s">
        <v>1511</v>
      </c>
      <c r="J57">
        <v>-0.06</v>
      </c>
      <c r="K57">
        <v>-3.5000000000000003E-2</v>
      </c>
      <c r="L57">
        <v>62</v>
      </c>
      <c r="M57">
        <v>1736</v>
      </c>
      <c r="N57">
        <v>0</v>
      </c>
      <c r="O57">
        <v>0</v>
      </c>
      <c r="P57">
        <v>0</v>
      </c>
      <c r="Q57">
        <v>62</v>
      </c>
      <c r="R57">
        <v>0</v>
      </c>
    </row>
    <row r="58" spans="1:18" x14ac:dyDescent="0.2">
      <c r="A58" t="str">
        <f t="shared" si="0"/>
        <v>ICE.2023.2</v>
      </c>
      <c r="B58" t="s">
        <v>1403</v>
      </c>
      <c r="C58" t="str">
        <f t="shared" si="1"/>
        <v>2</v>
      </c>
      <c r="D58" t="str">
        <f t="shared" si="2"/>
        <v>2023</v>
      </c>
      <c r="E58" s="51" t="s">
        <v>1512</v>
      </c>
      <c r="J58">
        <v>-5.7500000000000002E-2</v>
      </c>
      <c r="K58">
        <v>-3.5000000000000003E-2</v>
      </c>
      <c r="L58">
        <v>56</v>
      </c>
      <c r="M58">
        <v>1568</v>
      </c>
      <c r="N58">
        <v>0</v>
      </c>
      <c r="O58">
        <v>0</v>
      </c>
      <c r="P58">
        <v>0</v>
      </c>
      <c r="Q58">
        <v>56</v>
      </c>
      <c r="R58">
        <v>0</v>
      </c>
    </row>
    <row r="59" spans="1:18" x14ac:dyDescent="0.2">
      <c r="A59" t="str">
        <f t="shared" si="0"/>
        <v>ICE.2023.3</v>
      </c>
      <c r="B59" t="s">
        <v>1403</v>
      </c>
      <c r="C59" t="str">
        <f t="shared" si="1"/>
        <v>3</v>
      </c>
      <c r="D59" t="str">
        <f t="shared" si="2"/>
        <v>2023</v>
      </c>
      <c r="E59" s="51" t="s">
        <v>1513</v>
      </c>
      <c r="J59">
        <v>-0.1525</v>
      </c>
      <c r="K59">
        <v>-3.5000000000000003E-2</v>
      </c>
      <c r="L59">
        <v>62</v>
      </c>
      <c r="M59">
        <v>1736</v>
      </c>
      <c r="N59">
        <v>0</v>
      </c>
      <c r="O59">
        <v>0</v>
      </c>
      <c r="P59">
        <v>0</v>
      </c>
      <c r="Q59">
        <v>62</v>
      </c>
      <c r="R59">
        <v>0</v>
      </c>
    </row>
    <row r="60" spans="1:18" x14ac:dyDescent="0.2">
      <c r="A60" t="str">
        <f t="shared" si="0"/>
        <v>ICE.2023.4</v>
      </c>
      <c r="B60" t="s">
        <v>1403</v>
      </c>
      <c r="C60" t="str">
        <f t="shared" si="1"/>
        <v>4</v>
      </c>
      <c r="D60" t="str">
        <f t="shared" si="2"/>
        <v>2023</v>
      </c>
      <c r="E60" s="51" t="s">
        <v>1514</v>
      </c>
      <c r="J60">
        <v>-0.26500000000000001</v>
      </c>
      <c r="K60">
        <v>-0.06</v>
      </c>
      <c r="L60">
        <v>90</v>
      </c>
      <c r="M60">
        <v>1800</v>
      </c>
      <c r="N60">
        <v>30</v>
      </c>
      <c r="O60">
        <v>0</v>
      </c>
      <c r="P60">
        <v>0</v>
      </c>
      <c r="Q60">
        <v>60</v>
      </c>
      <c r="R60">
        <v>0</v>
      </c>
    </row>
    <row r="61" spans="1:18" x14ac:dyDescent="0.2">
      <c r="A61" t="str">
        <f t="shared" si="0"/>
        <v>ICE.2023.5</v>
      </c>
      <c r="B61" t="s">
        <v>1403</v>
      </c>
      <c r="C61" t="str">
        <f t="shared" si="1"/>
        <v>5</v>
      </c>
      <c r="D61" t="str">
        <f t="shared" si="2"/>
        <v>2023</v>
      </c>
      <c r="E61" s="51" t="s">
        <v>1515</v>
      </c>
      <c r="J61">
        <v>-0.38500000000000001</v>
      </c>
      <c r="K61">
        <v>-0.06</v>
      </c>
      <c r="L61">
        <v>93</v>
      </c>
      <c r="M61">
        <v>1860</v>
      </c>
      <c r="N61">
        <v>31</v>
      </c>
      <c r="O61">
        <v>0</v>
      </c>
      <c r="P61">
        <v>0</v>
      </c>
      <c r="Q61">
        <v>62</v>
      </c>
      <c r="R61">
        <v>0</v>
      </c>
    </row>
    <row r="62" spans="1:18" x14ac:dyDescent="0.2">
      <c r="A62" t="str">
        <f t="shared" si="0"/>
        <v>ICE.2023.6</v>
      </c>
      <c r="B62" t="s">
        <v>1403</v>
      </c>
      <c r="C62" t="str">
        <f t="shared" si="1"/>
        <v>6</v>
      </c>
      <c r="D62" t="str">
        <f t="shared" si="2"/>
        <v>2023</v>
      </c>
      <c r="E62" s="51" t="s">
        <v>1516</v>
      </c>
      <c r="J62">
        <v>-0.4</v>
      </c>
      <c r="K62">
        <v>-0.06</v>
      </c>
      <c r="L62">
        <v>90</v>
      </c>
      <c r="M62">
        <v>1800</v>
      </c>
      <c r="N62">
        <v>30</v>
      </c>
      <c r="O62">
        <v>0</v>
      </c>
      <c r="P62">
        <v>0</v>
      </c>
      <c r="Q62">
        <v>60</v>
      </c>
      <c r="R62">
        <v>0</v>
      </c>
    </row>
    <row r="63" spans="1:18" x14ac:dyDescent="0.2">
      <c r="A63" t="str">
        <f t="shared" si="0"/>
        <v>ICE.2023.7</v>
      </c>
      <c r="B63" t="s">
        <v>1403</v>
      </c>
      <c r="C63" t="str">
        <f t="shared" si="1"/>
        <v>7</v>
      </c>
      <c r="D63" t="str">
        <f t="shared" si="2"/>
        <v>2023</v>
      </c>
      <c r="E63" s="51" t="s">
        <v>1517</v>
      </c>
      <c r="J63">
        <v>-0.36749999999999999</v>
      </c>
      <c r="K63">
        <v>-0.06</v>
      </c>
      <c r="L63">
        <v>93</v>
      </c>
      <c r="M63">
        <v>1860</v>
      </c>
      <c r="N63">
        <v>31</v>
      </c>
      <c r="O63">
        <v>0</v>
      </c>
      <c r="P63">
        <v>0</v>
      </c>
      <c r="Q63">
        <v>62</v>
      </c>
      <c r="R63">
        <v>0</v>
      </c>
    </row>
    <row r="64" spans="1:18" x14ac:dyDescent="0.2">
      <c r="A64" t="str">
        <f t="shared" si="0"/>
        <v>ICE.2023.8</v>
      </c>
      <c r="B64" t="s">
        <v>1403</v>
      </c>
      <c r="C64" t="str">
        <f t="shared" si="1"/>
        <v>8</v>
      </c>
      <c r="D64" t="str">
        <f t="shared" si="2"/>
        <v>2023</v>
      </c>
      <c r="E64" s="51" t="s">
        <v>1518</v>
      </c>
      <c r="J64">
        <v>-0.36749999999999999</v>
      </c>
      <c r="K64">
        <v>-0.06</v>
      </c>
      <c r="L64">
        <v>93</v>
      </c>
      <c r="M64">
        <v>1860</v>
      </c>
      <c r="N64">
        <v>31</v>
      </c>
      <c r="O64">
        <v>0</v>
      </c>
      <c r="P64">
        <v>0</v>
      </c>
      <c r="Q64">
        <v>62</v>
      </c>
      <c r="R64">
        <v>0</v>
      </c>
    </row>
    <row r="65" spans="1:18" x14ac:dyDescent="0.2">
      <c r="A65" t="str">
        <f t="shared" si="0"/>
        <v>ICE.2023.9</v>
      </c>
      <c r="B65" t="s">
        <v>1403</v>
      </c>
      <c r="C65" t="str">
        <f t="shared" si="1"/>
        <v>9</v>
      </c>
      <c r="D65" t="str">
        <f t="shared" si="2"/>
        <v>2023</v>
      </c>
      <c r="E65" s="51" t="s">
        <v>1519</v>
      </c>
      <c r="J65">
        <v>-0.36749999999999999</v>
      </c>
      <c r="K65">
        <v>-0.06</v>
      </c>
      <c r="L65">
        <v>90</v>
      </c>
      <c r="M65">
        <v>1800</v>
      </c>
      <c r="N65">
        <v>30</v>
      </c>
      <c r="O65">
        <v>0</v>
      </c>
      <c r="P65">
        <v>0</v>
      </c>
      <c r="Q65">
        <v>60</v>
      </c>
      <c r="R65">
        <v>0</v>
      </c>
    </row>
    <row r="66" spans="1:18" x14ac:dyDescent="0.2">
      <c r="A66" t="str">
        <f t="shared" si="0"/>
        <v>ICE.2023.10</v>
      </c>
      <c r="B66" t="s">
        <v>1403</v>
      </c>
      <c r="C66" t="str">
        <f t="shared" si="1"/>
        <v>10</v>
      </c>
      <c r="D66" t="str">
        <f t="shared" si="2"/>
        <v>2023</v>
      </c>
      <c r="E66" s="51" t="s">
        <v>1520</v>
      </c>
      <c r="J66">
        <v>-0.3725</v>
      </c>
      <c r="K66">
        <v>-0.06</v>
      </c>
      <c r="L66">
        <v>93</v>
      </c>
      <c r="M66">
        <v>1860</v>
      </c>
      <c r="N66">
        <v>31</v>
      </c>
      <c r="O66">
        <v>0</v>
      </c>
      <c r="P66">
        <v>0</v>
      </c>
      <c r="Q66">
        <v>62</v>
      </c>
      <c r="R66">
        <v>0</v>
      </c>
    </row>
    <row r="67" spans="1:18" x14ac:dyDescent="0.2">
      <c r="A67" t="str">
        <f t="shared" ref="A67:A116" si="3">B67&amp;"."&amp;D67&amp;"."&amp;C67</f>
        <v>ICE.2023.11</v>
      </c>
      <c r="B67" t="s">
        <v>1403</v>
      </c>
      <c r="C67" t="str">
        <f t="shared" ref="C67:C116" si="4">TEXT(DATEVALUE("1"&amp;E67),"M")</f>
        <v>11</v>
      </c>
      <c r="D67" t="str">
        <f t="shared" ref="D67:D116" si="5">TEXT(DATEVALUE("1"&amp;E67),"YYYY")</f>
        <v>2023</v>
      </c>
      <c r="E67" s="51" t="s">
        <v>1521</v>
      </c>
      <c r="J67">
        <v>-0.14499999999999999</v>
      </c>
      <c r="K67">
        <v>-2.2499999999999999E-2</v>
      </c>
      <c r="L67">
        <v>0</v>
      </c>
      <c r="M67">
        <v>1320</v>
      </c>
      <c r="N67">
        <v>0</v>
      </c>
      <c r="O67">
        <v>0</v>
      </c>
      <c r="P67">
        <v>0</v>
      </c>
      <c r="Q67">
        <v>0</v>
      </c>
      <c r="R67">
        <v>0</v>
      </c>
    </row>
    <row r="68" spans="1:18" x14ac:dyDescent="0.2">
      <c r="A68" t="str">
        <f t="shared" si="3"/>
        <v>ICE.2023.12</v>
      </c>
      <c r="B68" t="s">
        <v>1403</v>
      </c>
      <c r="C68" t="str">
        <f t="shared" si="4"/>
        <v>12</v>
      </c>
      <c r="D68" t="str">
        <f t="shared" si="5"/>
        <v>2023</v>
      </c>
      <c r="E68" s="51" t="s">
        <v>1522</v>
      </c>
      <c r="J68">
        <v>-9.2499999999999999E-2</v>
      </c>
      <c r="K68">
        <v>-2.2499999999999999E-2</v>
      </c>
      <c r="L68">
        <v>0</v>
      </c>
      <c r="M68">
        <v>1364</v>
      </c>
      <c r="N68">
        <v>0</v>
      </c>
      <c r="O68">
        <v>0</v>
      </c>
      <c r="P68">
        <v>0</v>
      </c>
      <c r="Q68">
        <v>0</v>
      </c>
      <c r="R68">
        <v>0</v>
      </c>
    </row>
    <row r="69" spans="1:18" x14ac:dyDescent="0.2">
      <c r="A69" t="str">
        <f t="shared" si="3"/>
        <v>ICE.2024.1</v>
      </c>
      <c r="B69" t="s">
        <v>1403</v>
      </c>
      <c r="C69" t="str">
        <f t="shared" si="4"/>
        <v>1</v>
      </c>
      <c r="D69" t="str">
        <f t="shared" si="5"/>
        <v>2024</v>
      </c>
      <c r="E69" s="51" t="s">
        <v>1523</v>
      </c>
      <c r="J69">
        <v>-4.2500000000000003E-2</v>
      </c>
      <c r="K69">
        <v>-2.2499999999999999E-2</v>
      </c>
      <c r="L69">
        <v>0</v>
      </c>
      <c r="M69">
        <v>1178</v>
      </c>
      <c r="N69">
        <v>0</v>
      </c>
      <c r="O69">
        <v>0</v>
      </c>
      <c r="P69">
        <v>0</v>
      </c>
      <c r="Q69">
        <v>0</v>
      </c>
      <c r="R69">
        <v>0</v>
      </c>
    </row>
    <row r="70" spans="1:18" x14ac:dyDescent="0.2">
      <c r="A70" t="str">
        <f t="shared" si="3"/>
        <v>ICE.2024.2</v>
      </c>
      <c r="B70" t="s">
        <v>1403</v>
      </c>
      <c r="C70" t="str">
        <f t="shared" si="4"/>
        <v>2</v>
      </c>
      <c r="D70" t="str">
        <f t="shared" si="5"/>
        <v>2024</v>
      </c>
      <c r="E70" s="51" t="s">
        <v>1524</v>
      </c>
      <c r="J70">
        <v>-0.04</v>
      </c>
      <c r="K70">
        <v>-2.2499999999999999E-2</v>
      </c>
      <c r="L70">
        <v>0</v>
      </c>
      <c r="M70">
        <v>1102</v>
      </c>
      <c r="N70">
        <v>0</v>
      </c>
      <c r="O70">
        <v>0</v>
      </c>
      <c r="P70">
        <v>0</v>
      </c>
      <c r="Q70">
        <v>0</v>
      </c>
      <c r="R70">
        <v>0</v>
      </c>
    </row>
    <row r="71" spans="1:18" x14ac:dyDescent="0.2">
      <c r="A71" t="str">
        <f t="shared" si="3"/>
        <v>ICE.2024.3</v>
      </c>
      <c r="B71" t="s">
        <v>1403</v>
      </c>
      <c r="C71" t="str">
        <f t="shared" si="4"/>
        <v>3</v>
      </c>
      <c r="D71" t="str">
        <f t="shared" si="5"/>
        <v>2024</v>
      </c>
      <c r="E71" s="51" t="s">
        <v>1525</v>
      </c>
      <c r="J71">
        <v>-0.1275</v>
      </c>
      <c r="K71">
        <v>-2.2499999999999999E-2</v>
      </c>
      <c r="L71">
        <v>0</v>
      </c>
      <c r="M71">
        <v>1178</v>
      </c>
      <c r="N71">
        <v>0</v>
      </c>
      <c r="O71">
        <v>0</v>
      </c>
      <c r="P71">
        <v>0</v>
      </c>
      <c r="Q71">
        <v>0</v>
      </c>
      <c r="R71">
        <v>0</v>
      </c>
    </row>
    <row r="72" spans="1:18" x14ac:dyDescent="0.2">
      <c r="A72" t="str">
        <f t="shared" si="3"/>
        <v>ICE.2024.4</v>
      </c>
      <c r="B72" t="s">
        <v>1403</v>
      </c>
      <c r="C72" t="str">
        <f t="shared" si="4"/>
        <v>4</v>
      </c>
      <c r="D72" t="str">
        <f t="shared" si="5"/>
        <v>2024</v>
      </c>
      <c r="E72" s="51" t="s">
        <v>1526</v>
      </c>
      <c r="J72">
        <v>-0.2475</v>
      </c>
      <c r="K72">
        <v>-5.5E-2</v>
      </c>
      <c r="L72">
        <v>0</v>
      </c>
      <c r="M72">
        <v>1560</v>
      </c>
      <c r="N72">
        <v>0</v>
      </c>
      <c r="O72">
        <v>0</v>
      </c>
      <c r="P72">
        <v>0</v>
      </c>
      <c r="Q72">
        <v>0</v>
      </c>
      <c r="R72">
        <v>0</v>
      </c>
    </row>
    <row r="73" spans="1:18" x14ac:dyDescent="0.2">
      <c r="A73" t="str">
        <f t="shared" si="3"/>
        <v>ICE.2024.5</v>
      </c>
      <c r="B73" t="s">
        <v>1403</v>
      </c>
      <c r="C73" t="str">
        <f t="shared" si="4"/>
        <v>5</v>
      </c>
      <c r="D73" t="str">
        <f t="shared" si="5"/>
        <v>2024</v>
      </c>
      <c r="E73" s="51" t="s">
        <v>1527</v>
      </c>
      <c r="J73">
        <v>-0.36249999999999999</v>
      </c>
      <c r="K73">
        <v>-5.5E-2</v>
      </c>
      <c r="L73">
        <v>0</v>
      </c>
      <c r="M73">
        <v>1612</v>
      </c>
      <c r="N73">
        <v>0</v>
      </c>
      <c r="O73">
        <v>0</v>
      </c>
      <c r="P73">
        <v>0</v>
      </c>
      <c r="Q73">
        <v>0</v>
      </c>
      <c r="R73">
        <v>0</v>
      </c>
    </row>
    <row r="74" spans="1:18" x14ac:dyDescent="0.2">
      <c r="A74" t="str">
        <f t="shared" si="3"/>
        <v>ICE.2024.6</v>
      </c>
      <c r="B74" t="s">
        <v>1403</v>
      </c>
      <c r="C74" t="str">
        <f t="shared" si="4"/>
        <v>6</v>
      </c>
      <c r="D74" t="str">
        <f t="shared" si="5"/>
        <v>2024</v>
      </c>
      <c r="E74" s="51" t="s">
        <v>1528</v>
      </c>
      <c r="J74">
        <v>-0.3775</v>
      </c>
      <c r="K74">
        <v>-5.5E-2</v>
      </c>
      <c r="L74">
        <v>0</v>
      </c>
      <c r="M74">
        <v>1560</v>
      </c>
      <c r="N74">
        <v>0</v>
      </c>
      <c r="O74">
        <v>0</v>
      </c>
      <c r="P74">
        <v>0</v>
      </c>
      <c r="Q74">
        <v>0</v>
      </c>
      <c r="R74">
        <v>0</v>
      </c>
    </row>
    <row r="75" spans="1:18" x14ac:dyDescent="0.2">
      <c r="A75" t="str">
        <f t="shared" si="3"/>
        <v>ICE.2024.7</v>
      </c>
      <c r="B75" t="s">
        <v>1403</v>
      </c>
      <c r="C75" t="str">
        <f t="shared" si="4"/>
        <v>7</v>
      </c>
      <c r="D75" t="str">
        <f t="shared" si="5"/>
        <v>2024</v>
      </c>
      <c r="E75" s="51" t="s">
        <v>1529</v>
      </c>
      <c r="J75">
        <v>-0.34749999999999998</v>
      </c>
      <c r="K75">
        <v>-5.5E-2</v>
      </c>
      <c r="L75">
        <v>0</v>
      </c>
      <c r="M75">
        <v>1612</v>
      </c>
      <c r="N75">
        <v>0</v>
      </c>
      <c r="O75">
        <v>0</v>
      </c>
      <c r="P75">
        <v>0</v>
      </c>
      <c r="Q75">
        <v>0</v>
      </c>
      <c r="R75">
        <v>0</v>
      </c>
    </row>
    <row r="76" spans="1:18" x14ac:dyDescent="0.2">
      <c r="A76" t="str">
        <f t="shared" si="3"/>
        <v>ICE.2024.8</v>
      </c>
      <c r="B76" t="s">
        <v>1403</v>
      </c>
      <c r="C76" t="str">
        <f t="shared" si="4"/>
        <v>8</v>
      </c>
      <c r="D76" t="str">
        <f t="shared" si="5"/>
        <v>2024</v>
      </c>
      <c r="E76" s="51" t="s">
        <v>1530</v>
      </c>
      <c r="J76">
        <v>-0.34749999999999998</v>
      </c>
      <c r="K76">
        <v>-5.5E-2</v>
      </c>
      <c r="L76">
        <v>0</v>
      </c>
      <c r="M76">
        <v>1612</v>
      </c>
      <c r="N76">
        <v>0</v>
      </c>
      <c r="O76">
        <v>0</v>
      </c>
      <c r="P76">
        <v>0</v>
      </c>
      <c r="Q76">
        <v>0</v>
      </c>
      <c r="R76">
        <v>0</v>
      </c>
    </row>
    <row r="77" spans="1:18" x14ac:dyDescent="0.2">
      <c r="A77" t="str">
        <f t="shared" si="3"/>
        <v>ICE.2024.9</v>
      </c>
      <c r="B77" t="s">
        <v>1403</v>
      </c>
      <c r="C77" t="str">
        <f t="shared" si="4"/>
        <v>9</v>
      </c>
      <c r="D77" t="str">
        <f t="shared" si="5"/>
        <v>2024</v>
      </c>
      <c r="E77" s="51" t="s">
        <v>1531</v>
      </c>
      <c r="J77">
        <v>-0.34499999999999997</v>
      </c>
      <c r="K77">
        <v>-5.5E-2</v>
      </c>
      <c r="L77">
        <v>0</v>
      </c>
      <c r="M77">
        <v>1560</v>
      </c>
      <c r="N77">
        <v>0</v>
      </c>
      <c r="O77">
        <v>0</v>
      </c>
      <c r="P77">
        <v>0</v>
      </c>
      <c r="Q77">
        <v>0</v>
      </c>
      <c r="R77">
        <v>0</v>
      </c>
    </row>
    <row r="78" spans="1:18" x14ac:dyDescent="0.2">
      <c r="A78" t="str">
        <f t="shared" si="3"/>
        <v>ICE.2024.10</v>
      </c>
      <c r="B78" t="s">
        <v>1403</v>
      </c>
      <c r="C78" t="str">
        <f t="shared" si="4"/>
        <v>10</v>
      </c>
      <c r="D78" t="str">
        <f t="shared" si="5"/>
        <v>2024</v>
      </c>
      <c r="E78" s="51" t="s">
        <v>1532</v>
      </c>
      <c r="J78">
        <v>-0.35</v>
      </c>
      <c r="K78">
        <v>-5.5E-2</v>
      </c>
      <c r="L78">
        <v>0</v>
      </c>
      <c r="M78">
        <v>1612</v>
      </c>
      <c r="N78">
        <v>0</v>
      </c>
      <c r="O78">
        <v>0</v>
      </c>
      <c r="P78">
        <v>0</v>
      </c>
      <c r="Q78">
        <v>0</v>
      </c>
      <c r="R78">
        <v>0</v>
      </c>
    </row>
    <row r="79" spans="1:18" x14ac:dyDescent="0.2">
      <c r="A79" t="str">
        <f t="shared" si="3"/>
        <v>ICE.2024.11</v>
      </c>
      <c r="B79" t="s">
        <v>1403</v>
      </c>
      <c r="C79" t="str">
        <f t="shared" si="4"/>
        <v>11</v>
      </c>
      <c r="D79" t="str">
        <f t="shared" si="5"/>
        <v>2024</v>
      </c>
      <c r="E79" s="51" t="s">
        <v>1533</v>
      </c>
      <c r="J79">
        <v>-0.1275</v>
      </c>
      <c r="K79">
        <v>-2.2499999999999999E-2</v>
      </c>
      <c r="L79">
        <v>0</v>
      </c>
      <c r="M79">
        <v>1200</v>
      </c>
      <c r="N79">
        <v>0</v>
      </c>
      <c r="O79">
        <v>0</v>
      </c>
      <c r="P79">
        <v>0</v>
      </c>
      <c r="Q79">
        <v>0</v>
      </c>
      <c r="R79">
        <v>0</v>
      </c>
    </row>
    <row r="80" spans="1:18" x14ac:dyDescent="0.2">
      <c r="A80" t="str">
        <f t="shared" si="3"/>
        <v>ICE.2024.12</v>
      </c>
      <c r="B80" t="s">
        <v>1403</v>
      </c>
      <c r="C80" t="str">
        <f t="shared" si="4"/>
        <v>12</v>
      </c>
      <c r="D80" t="str">
        <f t="shared" si="5"/>
        <v>2024</v>
      </c>
      <c r="E80" s="51" t="s">
        <v>1534</v>
      </c>
      <c r="J80">
        <v>-0.08</v>
      </c>
      <c r="K80">
        <v>-2.2499999999999999E-2</v>
      </c>
      <c r="L80">
        <v>0</v>
      </c>
      <c r="M80">
        <v>1240</v>
      </c>
      <c r="N80">
        <v>0</v>
      </c>
      <c r="O80">
        <v>0</v>
      </c>
      <c r="P80">
        <v>0</v>
      </c>
      <c r="Q80">
        <v>0</v>
      </c>
      <c r="R80">
        <v>0</v>
      </c>
    </row>
    <row r="81" spans="1:18" x14ac:dyDescent="0.2">
      <c r="A81" t="str">
        <f t="shared" si="3"/>
        <v>ICE.2025.1</v>
      </c>
      <c r="B81" t="s">
        <v>1403</v>
      </c>
      <c r="C81" t="str">
        <f t="shared" si="4"/>
        <v>1</v>
      </c>
      <c r="D81" t="str">
        <f t="shared" si="5"/>
        <v>2025</v>
      </c>
      <c r="E81" s="51" t="s">
        <v>1538</v>
      </c>
      <c r="J81">
        <v>-3.7499999999999999E-2</v>
      </c>
      <c r="K81">
        <v>-2.2499999999999999E-2</v>
      </c>
      <c r="L81">
        <v>0</v>
      </c>
      <c r="M81">
        <v>124</v>
      </c>
      <c r="N81">
        <v>0</v>
      </c>
      <c r="O81">
        <v>0</v>
      </c>
      <c r="P81">
        <v>0</v>
      </c>
      <c r="Q81">
        <v>0</v>
      </c>
      <c r="R81">
        <v>0</v>
      </c>
    </row>
    <row r="82" spans="1:18" x14ac:dyDescent="0.2">
      <c r="A82" t="str">
        <f t="shared" si="3"/>
        <v>ICE.2025.2</v>
      </c>
      <c r="B82" t="s">
        <v>1403</v>
      </c>
      <c r="C82" t="str">
        <f t="shared" si="4"/>
        <v>2</v>
      </c>
      <c r="D82" t="str">
        <f t="shared" si="5"/>
        <v>2025</v>
      </c>
      <c r="E82" s="51" t="s">
        <v>1539</v>
      </c>
      <c r="J82">
        <v>-3.7499999999999999E-2</v>
      </c>
      <c r="K82">
        <v>-2.2499999999999999E-2</v>
      </c>
      <c r="L82">
        <v>0</v>
      </c>
      <c r="M82">
        <v>112</v>
      </c>
      <c r="N82">
        <v>0</v>
      </c>
      <c r="O82">
        <v>0</v>
      </c>
      <c r="P82">
        <v>0</v>
      </c>
      <c r="Q82">
        <v>0</v>
      </c>
      <c r="R82">
        <v>0</v>
      </c>
    </row>
    <row r="83" spans="1:18" x14ac:dyDescent="0.2">
      <c r="A83" t="str">
        <f t="shared" si="3"/>
        <v>ICE.2025.3</v>
      </c>
      <c r="B83" t="s">
        <v>1403</v>
      </c>
      <c r="C83" t="str">
        <f t="shared" si="4"/>
        <v>3</v>
      </c>
      <c r="D83" t="str">
        <f t="shared" si="5"/>
        <v>2025</v>
      </c>
      <c r="E83" s="51" t="s">
        <v>1540</v>
      </c>
      <c r="J83">
        <v>-0.11</v>
      </c>
      <c r="K83">
        <v>-2.2499999999999999E-2</v>
      </c>
      <c r="L83">
        <v>0</v>
      </c>
      <c r="M83">
        <v>124</v>
      </c>
      <c r="N83">
        <v>0</v>
      </c>
      <c r="O83">
        <v>0</v>
      </c>
      <c r="P83">
        <v>0</v>
      </c>
      <c r="Q83">
        <v>0</v>
      </c>
      <c r="R83">
        <v>0</v>
      </c>
    </row>
    <row r="84" spans="1:18" x14ac:dyDescent="0.2">
      <c r="A84" t="str">
        <f t="shared" si="3"/>
        <v>ICE.2025.4</v>
      </c>
      <c r="B84" t="s">
        <v>1403</v>
      </c>
      <c r="C84" t="str">
        <f t="shared" si="4"/>
        <v>4</v>
      </c>
      <c r="D84" t="str">
        <f t="shared" si="5"/>
        <v>2025</v>
      </c>
      <c r="E84" s="51" t="s">
        <v>1541</v>
      </c>
      <c r="J84">
        <v>-0.2</v>
      </c>
      <c r="K84">
        <v>-7.4999999999999997E-3</v>
      </c>
      <c r="L84">
        <v>0</v>
      </c>
      <c r="M84">
        <v>210</v>
      </c>
      <c r="N84">
        <v>0</v>
      </c>
      <c r="O84">
        <v>0</v>
      </c>
      <c r="P84">
        <v>0</v>
      </c>
      <c r="Q84">
        <v>0</v>
      </c>
      <c r="R84">
        <v>0</v>
      </c>
    </row>
    <row r="85" spans="1:18" x14ac:dyDescent="0.2">
      <c r="A85" t="str">
        <f t="shared" si="3"/>
        <v>ICE.2025.5</v>
      </c>
      <c r="B85" t="s">
        <v>1403</v>
      </c>
      <c r="C85" t="str">
        <f t="shared" si="4"/>
        <v>5</v>
      </c>
      <c r="D85" t="str">
        <f t="shared" si="5"/>
        <v>2025</v>
      </c>
      <c r="E85" s="51" t="s">
        <v>1542</v>
      </c>
      <c r="J85">
        <v>-0.3125</v>
      </c>
      <c r="K85">
        <v>-7.4999999999999997E-3</v>
      </c>
      <c r="L85">
        <v>0</v>
      </c>
      <c r="M85">
        <v>217</v>
      </c>
      <c r="N85">
        <v>0</v>
      </c>
      <c r="O85">
        <v>0</v>
      </c>
      <c r="P85">
        <v>0</v>
      </c>
      <c r="Q85">
        <v>0</v>
      </c>
      <c r="R85">
        <v>0</v>
      </c>
    </row>
    <row r="86" spans="1:18" x14ac:dyDescent="0.2">
      <c r="A86" t="str">
        <f t="shared" si="3"/>
        <v>ICE.2025.6</v>
      </c>
      <c r="B86" t="s">
        <v>1403</v>
      </c>
      <c r="C86" t="str">
        <f t="shared" si="4"/>
        <v>6</v>
      </c>
      <c r="D86" t="str">
        <f t="shared" si="5"/>
        <v>2025</v>
      </c>
      <c r="E86" s="51" t="s">
        <v>1543</v>
      </c>
      <c r="J86">
        <v>-0.32500000000000001</v>
      </c>
      <c r="K86">
        <v>-7.4999999999999997E-3</v>
      </c>
      <c r="L86">
        <v>0</v>
      </c>
      <c r="M86">
        <v>210</v>
      </c>
      <c r="N86">
        <v>0</v>
      </c>
      <c r="O86">
        <v>0</v>
      </c>
      <c r="P86">
        <v>0</v>
      </c>
      <c r="Q86">
        <v>0</v>
      </c>
      <c r="R86">
        <v>0</v>
      </c>
    </row>
    <row r="87" spans="1:18" x14ac:dyDescent="0.2">
      <c r="A87" t="str">
        <f t="shared" si="3"/>
        <v>ICE.2025.7</v>
      </c>
      <c r="B87" t="s">
        <v>1403</v>
      </c>
      <c r="C87" t="str">
        <f t="shared" si="4"/>
        <v>7</v>
      </c>
      <c r="D87" t="str">
        <f t="shared" si="5"/>
        <v>2025</v>
      </c>
      <c r="E87" s="51" t="s">
        <v>1544</v>
      </c>
      <c r="J87">
        <v>-0.29499999999999998</v>
      </c>
      <c r="K87">
        <v>-7.4999999999999997E-3</v>
      </c>
      <c r="L87">
        <v>0</v>
      </c>
      <c r="M87">
        <v>217</v>
      </c>
      <c r="N87">
        <v>0</v>
      </c>
      <c r="O87">
        <v>0</v>
      </c>
      <c r="P87">
        <v>0</v>
      </c>
      <c r="Q87">
        <v>0</v>
      </c>
      <c r="R87">
        <v>0</v>
      </c>
    </row>
    <row r="88" spans="1:18" x14ac:dyDescent="0.2">
      <c r="A88" t="str">
        <f t="shared" si="3"/>
        <v>ICE.2025.8</v>
      </c>
      <c r="B88" t="s">
        <v>1403</v>
      </c>
      <c r="C88" t="str">
        <f t="shared" si="4"/>
        <v>8</v>
      </c>
      <c r="D88" t="str">
        <f t="shared" si="5"/>
        <v>2025</v>
      </c>
      <c r="E88" s="51" t="s">
        <v>1545</v>
      </c>
      <c r="J88">
        <v>-0.29499999999999998</v>
      </c>
      <c r="K88">
        <v>-7.4999999999999997E-3</v>
      </c>
      <c r="L88">
        <v>0</v>
      </c>
      <c r="M88">
        <v>217</v>
      </c>
      <c r="N88">
        <v>0</v>
      </c>
      <c r="O88">
        <v>0</v>
      </c>
      <c r="P88">
        <v>0</v>
      </c>
      <c r="Q88">
        <v>0</v>
      </c>
      <c r="R88">
        <v>0</v>
      </c>
    </row>
    <row r="89" spans="1:18" x14ac:dyDescent="0.2">
      <c r="A89" t="str">
        <f t="shared" si="3"/>
        <v>ICE.2025.9</v>
      </c>
      <c r="B89" t="s">
        <v>1403</v>
      </c>
      <c r="C89" t="str">
        <f t="shared" si="4"/>
        <v>9</v>
      </c>
      <c r="D89" t="str">
        <f t="shared" si="5"/>
        <v>2025</v>
      </c>
      <c r="E89" s="51" t="s">
        <v>1546</v>
      </c>
      <c r="J89">
        <v>-0.29499999999999998</v>
      </c>
      <c r="K89">
        <v>-7.4999999999999997E-3</v>
      </c>
      <c r="L89">
        <v>0</v>
      </c>
      <c r="M89">
        <v>210</v>
      </c>
      <c r="N89">
        <v>0</v>
      </c>
      <c r="O89">
        <v>0</v>
      </c>
      <c r="P89">
        <v>0</v>
      </c>
      <c r="Q89">
        <v>0</v>
      </c>
      <c r="R89">
        <v>0</v>
      </c>
    </row>
    <row r="90" spans="1:18" x14ac:dyDescent="0.2">
      <c r="A90" t="str">
        <f t="shared" si="3"/>
        <v>ICE.2025.10</v>
      </c>
      <c r="B90" t="s">
        <v>1403</v>
      </c>
      <c r="C90" t="str">
        <f t="shared" si="4"/>
        <v>10</v>
      </c>
      <c r="D90" t="str">
        <f t="shared" si="5"/>
        <v>2025</v>
      </c>
      <c r="E90" s="51" t="s">
        <v>1547</v>
      </c>
      <c r="J90">
        <v>-0.29749999999999999</v>
      </c>
      <c r="K90">
        <v>-7.4999999999999997E-3</v>
      </c>
      <c r="L90">
        <v>0</v>
      </c>
      <c r="M90">
        <v>217</v>
      </c>
      <c r="N90">
        <v>0</v>
      </c>
      <c r="O90">
        <v>0</v>
      </c>
      <c r="P90">
        <v>0</v>
      </c>
      <c r="Q90">
        <v>0</v>
      </c>
      <c r="R90">
        <v>0</v>
      </c>
    </row>
    <row r="91" spans="1:18" x14ac:dyDescent="0.2">
      <c r="A91" t="str">
        <f t="shared" si="3"/>
        <v>ICE.2025.11</v>
      </c>
      <c r="B91" t="s">
        <v>1403</v>
      </c>
      <c r="C91" t="str">
        <f t="shared" si="4"/>
        <v>11</v>
      </c>
      <c r="D91" t="str">
        <f t="shared" si="5"/>
        <v>2025</v>
      </c>
      <c r="E91" s="51" t="s">
        <v>1548</v>
      </c>
      <c r="J91">
        <v>-0.1075</v>
      </c>
      <c r="K91">
        <v>-2.5000000000000001E-2</v>
      </c>
      <c r="L91">
        <v>0</v>
      </c>
      <c r="M91">
        <v>120</v>
      </c>
      <c r="N91">
        <v>0</v>
      </c>
      <c r="O91">
        <v>0</v>
      </c>
      <c r="P91">
        <v>0</v>
      </c>
      <c r="Q91">
        <v>0</v>
      </c>
      <c r="R91">
        <v>0</v>
      </c>
    </row>
    <row r="92" spans="1:18" x14ac:dyDescent="0.2">
      <c r="A92" t="str">
        <f t="shared" si="3"/>
        <v>ICE.2025.12</v>
      </c>
      <c r="B92" t="s">
        <v>1403</v>
      </c>
      <c r="C92" t="str">
        <f t="shared" si="4"/>
        <v>12</v>
      </c>
      <c r="D92" t="str">
        <f t="shared" si="5"/>
        <v>2025</v>
      </c>
      <c r="E92" s="51" t="s">
        <v>1549</v>
      </c>
      <c r="J92">
        <v>-7.0000000000000007E-2</v>
      </c>
      <c r="K92">
        <v>-2.5000000000000001E-2</v>
      </c>
      <c r="L92">
        <v>0</v>
      </c>
      <c r="M92">
        <v>124</v>
      </c>
      <c r="N92">
        <v>0</v>
      </c>
      <c r="O92">
        <v>0</v>
      </c>
      <c r="P92">
        <v>0</v>
      </c>
      <c r="Q92">
        <v>0</v>
      </c>
      <c r="R92">
        <v>0</v>
      </c>
    </row>
    <row r="93" spans="1:18" x14ac:dyDescent="0.2">
      <c r="A93" t="str">
        <f t="shared" si="3"/>
        <v>ICE.2026.1</v>
      </c>
      <c r="B93" t="s">
        <v>1403</v>
      </c>
      <c r="C93" t="str">
        <f t="shared" si="4"/>
        <v>1</v>
      </c>
      <c r="D93" t="str">
        <f t="shared" si="5"/>
        <v>2026</v>
      </c>
      <c r="E93" s="51" t="s">
        <v>1550</v>
      </c>
      <c r="J93">
        <v>-3.5000000000000003E-2</v>
      </c>
      <c r="K93">
        <v>-2.5000000000000001E-2</v>
      </c>
      <c r="L93">
        <v>0</v>
      </c>
      <c r="M93">
        <v>124</v>
      </c>
      <c r="N93">
        <v>0</v>
      </c>
      <c r="O93">
        <v>0</v>
      </c>
      <c r="P93">
        <v>0</v>
      </c>
      <c r="Q93">
        <v>0</v>
      </c>
      <c r="R93">
        <v>0</v>
      </c>
    </row>
    <row r="94" spans="1:18" x14ac:dyDescent="0.2">
      <c r="A94" t="str">
        <f t="shared" si="3"/>
        <v>ICE.2026.2</v>
      </c>
      <c r="B94" t="s">
        <v>1403</v>
      </c>
      <c r="C94" t="str">
        <f t="shared" si="4"/>
        <v>2</v>
      </c>
      <c r="D94" t="str">
        <f t="shared" si="5"/>
        <v>2026</v>
      </c>
      <c r="E94" s="51" t="s">
        <v>1551</v>
      </c>
      <c r="J94">
        <v>-3.5000000000000003E-2</v>
      </c>
      <c r="K94">
        <v>-2.5000000000000001E-2</v>
      </c>
      <c r="L94">
        <v>0</v>
      </c>
      <c r="M94">
        <v>112</v>
      </c>
      <c r="N94">
        <v>0</v>
      </c>
      <c r="O94">
        <v>0</v>
      </c>
      <c r="P94">
        <v>0</v>
      </c>
      <c r="Q94">
        <v>0</v>
      </c>
      <c r="R94">
        <v>0</v>
      </c>
    </row>
    <row r="95" spans="1:18" x14ac:dyDescent="0.2">
      <c r="A95" t="str">
        <f t="shared" si="3"/>
        <v>ICE.2026.3</v>
      </c>
      <c r="B95" t="s">
        <v>1403</v>
      </c>
      <c r="C95" t="str">
        <f t="shared" si="4"/>
        <v>3</v>
      </c>
      <c r="D95" t="str">
        <f t="shared" si="5"/>
        <v>2026</v>
      </c>
      <c r="E95" s="51" t="s">
        <v>1552</v>
      </c>
      <c r="J95">
        <v>-9.5000000000000001E-2</v>
      </c>
      <c r="K95">
        <v>-2.5000000000000001E-2</v>
      </c>
      <c r="L95">
        <v>0</v>
      </c>
      <c r="M95">
        <v>124</v>
      </c>
      <c r="N95">
        <v>0</v>
      </c>
      <c r="O95">
        <v>0</v>
      </c>
      <c r="P95">
        <v>0</v>
      </c>
      <c r="Q95">
        <v>0</v>
      </c>
      <c r="R95">
        <v>0</v>
      </c>
    </row>
    <row r="96" spans="1:18" x14ac:dyDescent="0.2">
      <c r="A96" t="str">
        <f t="shared" si="3"/>
        <v>ICE.2026.4</v>
      </c>
      <c r="B96" t="s">
        <v>1403</v>
      </c>
      <c r="C96" t="str">
        <f t="shared" si="4"/>
        <v>4</v>
      </c>
      <c r="D96" t="str">
        <f t="shared" si="5"/>
        <v>2026</v>
      </c>
      <c r="E96" s="51" t="s">
        <v>1553</v>
      </c>
      <c r="J96">
        <v>-0.1825</v>
      </c>
      <c r="K96">
        <v>-2.5000000000000001E-3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</row>
    <row r="97" spans="1:18" x14ac:dyDescent="0.2">
      <c r="A97" t="str">
        <f t="shared" si="3"/>
        <v>ICE.2026.5</v>
      </c>
      <c r="B97" t="s">
        <v>1403</v>
      </c>
      <c r="C97" t="str">
        <f t="shared" si="4"/>
        <v>5</v>
      </c>
      <c r="D97" t="str">
        <f t="shared" si="5"/>
        <v>2026</v>
      </c>
      <c r="E97" s="51" t="s">
        <v>1554</v>
      </c>
      <c r="J97">
        <v>-0.29249999999999998</v>
      </c>
      <c r="K97">
        <v>-2.5000000000000001E-3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</row>
    <row r="98" spans="1:18" x14ac:dyDescent="0.2">
      <c r="A98" t="str">
        <f t="shared" si="3"/>
        <v>ICE.2026.6</v>
      </c>
      <c r="B98" t="s">
        <v>1403</v>
      </c>
      <c r="C98" t="str">
        <f t="shared" si="4"/>
        <v>6</v>
      </c>
      <c r="D98" t="str">
        <f t="shared" si="5"/>
        <v>2026</v>
      </c>
      <c r="E98" s="51" t="s">
        <v>1555</v>
      </c>
      <c r="J98">
        <v>-0.30499999999999999</v>
      </c>
      <c r="K98">
        <v>-2.5000000000000001E-3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</row>
    <row r="99" spans="1:18" x14ac:dyDescent="0.2">
      <c r="A99" t="str">
        <f t="shared" si="3"/>
        <v>ICE.2026.7</v>
      </c>
      <c r="B99" t="s">
        <v>1403</v>
      </c>
      <c r="C99" t="str">
        <f t="shared" si="4"/>
        <v>7</v>
      </c>
      <c r="D99" t="str">
        <f t="shared" si="5"/>
        <v>2026</v>
      </c>
      <c r="E99" s="51" t="s">
        <v>1556</v>
      </c>
      <c r="J99">
        <v>-0.27750000000000002</v>
      </c>
      <c r="K99">
        <v>-2.5000000000000001E-3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</row>
    <row r="100" spans="1:18" x14ac:dyDescent="0.2">
      <c r="A100" t="str">
        <f t="shared" si="3"/>
        <v>ICE.2026.8</v>
      </c>
      <c r="B100" t="s">
        <v>1403</v>
      </c>
      <c r="C100" t="str">
        <f t="shared" si="4"/>
        <v>8</v>
      </c>
      <c r="D100" t="str">
        <f t="shared" si="5"/>
        <v>2026</v>
      </c>
      <c r="E100" s="51" t="s">
        <v>1557</v>
      </c>
      <c r="J100">
        <v>-0.27750000000000002</v>
      </c>
      <c r="K100">
        <v>-2.5000000000000001E-3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</row>
    <row r="101" spans="1:18" x14ac:dyDescent="0.2">
      <c r="A101" t="str">
        <f t="shared" si="3"/>
        <v>ICE.2026.9</v>
      </c>
      <c r="B101" t="s">
        <v>1403</v>
      </c>
      <c r="C101" t="str">
        <f t="shared" si="4"/>
        <v>9</v>
      </c>
      <c r="D101" t="str">
        <f t="shared" si="5"/>
        <v>2026</v>
      </c>
      <c r="E101" s="51" t="s">
        <v>1558</v>
      </c>
      <c r="J101">
        <v>-0.27500000000000002</v>
      </c>
      <c r="K101">
        <v>-2.5000000000000001E-3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</row>
    <row r="102" spans="1:18" x14ac:dyDescent="0.2">
      <c r="A102" t="str">
        <f t="shared" si="3"/>
        <v>ICE.2026.10</v>
      </c>
      <c r="B102" t="s">
        <v>1403</v>
      </c>
      <c r="C102" t="str">
        <f t="shared" si="4"/>
        <v>10</v>
      </c>
      <c r="D102" t="str">
        <f t="shared" si="5"/>
        <v>2026</v>
      </c>
      <c r="E102" s="51" t="s">
        <v>1559</v>
      </c>
      <c r="J102">
        <v>-0.28000000000000003</v>
      </c>
      <c r="K102">
        <v>-2.5000000000000001E-3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</row>
    <row r="103" spans="1:18" x14ac:dyDescent="0.2">
      <c r="A103" t="str">
        <f t="shared" si="3"/>
        <v>ICE.2026.11</v>
      </c>
      <c r="B103" t="s">
        <v>1403</v>
      </c>
      <c r="C103" t="str">
        <f t="shared" si="4"/>
        <v>11</v>
      </c>
      <c r="D103" t="str">
        <f t="shared" si="5"/>
        <v>2026</v>
      </c>
      <c r="E103" s="51" t="s">
        <v>1560</v>
      </c>
      <c r="J103">
        <v>-0.10249999999999999</v>
      </c>
      <c r="K103">
        <v>-1.2500000000000001E-2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</row>
    <row r="104" spans="1:18" x14ac:dyDescent="0.2">
      <c r="A104" t="str">
        <f t="shared" si="3"/>
        <v>ICE.2026.12</v>
      </c>
      <c r="B104" t="s">
        <v>1403</v>
      </c>
      <c r="C104" t="str">
        <f t="shared" si="4"/>
        <v>12</v>
      </c>
      <c r="D104" t="str">
        <f t="shared" si="5"/>
        <v>2026</v>
      </c>
      <c r="E104" s="51" t="s">
        <v>1561</v>
      </c>
      <c r="J104">
        <v>-6.25E-2</v>
      </c>
      <c r="K104">
        <v>-1.2500000000000001E-2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</row>
    <row r="105" spans="1:18" x14ac:dyDescent="0.2">
      <c r="A105" t="str">
        <f t="shared" si="3"/>
        <v>ICE.2027.1</v>
      </c>
      <c r="B105" t="s">
        <v>1403</v>
      </c>
      <c r="C105" t="str">
        <f t="shared" si="4"/>
        <v>1</v>
      </c>
      <c r="D105" t="str">
        <f t="shared" si="5"/>
        <v>2027</v>
      </c>
      <c r="E105" s="51" t="s">
        <v>1562</v>
      </c>
      <c r="J105">
        <v>-2.5000000000000001E-2</v>
      </c>
      <c r="K105">
        <v>-1.2500000000000001E-2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</row>
    <row r="106" spans="1:18" x14ac:dyDescent="0.2">
      <c r="A106" t="str">
        <f t="shared" si="3"/>
        <v>ICE.2027.2</v>
      </c>
      <c r="B106" t="s">
        <v>1403</v>
      </c>
      <c r="C106" t="str">
        <f t="shared" si="4"/>
        <v>2</v>
      </c>
      <c r="D106" t="str">
        <f t="shared" si="5"/>
        <v>2027</v>
      </c>
      <c r="E106" s="51" t="s">
        <v>1563</v>
      </c>
      <c r="J106">
        <v>-2.2499999999999999E-2</v>
      </c>
      <c r="K106">
        <v>-1.2500000000000001E-2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</row>
    <row r="107" spans="1:18" x14ac:dyDescent="0.2">
      <c r="A107" t="str">
        <f t="shared" si="3"/>
        <v>ICE.2027.3</v>
      </c>
      <c r="B107" t="s">
        <v>1403</v>
      </c>
      <c r="C107" t="str">
        <f t="shared" si="4"/>
        <v>3</v>
      </c>
      <c r="D107" t="str">
        <f t="shared" si="5"/>
        <v>2027</v>
      </c>
      <c r="E107" s="51" t="s">
        <v>1564</v>
      </c>
      <c r="J107">
        <v>-0.09</v>
      </c>
      <c r="K107">
        <v>-1.2500000000000001E-2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</row>
    <row r="108" spans="1:18" x14ac:dyDescent="0.2">
      <c r="A108" t="str">
        <f t="shared" si="3"/>
        <v>ICE.2027.4</v>
      </c>
      <c r="B108" t="s">
        <v>1403</v>
      </c>
      <c r="C108" t="str">
        <f t="shared" si="4"/>
        <v>4</v>
      </c>
      <c r="D108" t="str">
        <f t="shared" si="5"/>
        <v>2027</v>
      </c>
      <c r="E108" s="51" t="s">
        <v>1565</v>
      </c>
      <c r="J108">
        <v>-0.17749999999999999</v>
      </c>
      <c r="K108">
        <v>-5.0000000000000001E-3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</row>
    <row r="109" spans="1:18" x14ac:dyDescent="0.2">
      <c r="A109" t="str">
        <f t="shared" si="3"/>
        <v>ICE.2027.5</v>
      </c>
      <c r="B109" t="s">
        <v>1403</v>
      </c>
      <c r="C109" t="str">
        <f t="shared" si="4"/>
        <v>5</v>
      </c>
      <c r="D109" t="str">
        <f t="shared" si="5"/>
        <v>2027</v>
      </c>
      <c r="E109" s="51" t="s">
        <v>1566</v>
      </c>
      <c r="J109">
        <v>-0.28000000000000003</v>
      </c>
      <c r="K109">
        <v>-5.0000000000000001E-3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</row>
    <row r="110" spans="1:18" x14ac:dyDescent="0.2">
      <c r="A110" t="str">
        <f t="shared" si="3"/>
        <v>ICE.2027.6</v>
      </c>
      <c r="B110" t="s">
        <v>1403</v>
      </c>
      <c r="C110" t="str">
        <f t="shared" si="4"/>
        <v>6</v>
      </c>
      <c r="D110" t="str">
        <f t="shared" si="5"/>
        <v>2027</v>
      </c>
      <c r="E110" s="51" t="s">
        <v>1567</v>
      </c>
      <c r="J110">
        <v>-0.29249999999999998</v>
      </c>
      <c r="K110">
        <v>-5.0000000000000001E-3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</row>
    <row r="111" spans="1:18" x14ac:dyDescent="0.2">
      <c r="A111" t="str">
        <f t="shared" si="3"/>
        <v>ICE.2027.7</v>
      </c>
      <c r="B111" t="s">
        <v>1403</v>
      </c>
      <c r="C111" t="str">
        <f t="shared" si="4"/>
        <v>7</v>
      </c>
      <c r="D111" t="str">
        <f t="shared" si="5"/>
        <v>2027</v>
      </c>
      <c r="E111" s="51" t="s">
        <v>1568</v>
      </c>
      <c r="J111">
        <v>-0.26500000000000001</v>
      </c>
      <c r="K111">
        <v>-5.0000000000000001E-3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</row>
    <row r="112" spans="1:18" x14ac:dyDescent="0.2">
      <c r="A112" t="str">
        <f t="shared" si="3"/>
        <v>ICE.2027.8</v>
      </c>
      <c r="B112" t="s">
        <v>1403</v>
      </c>
      <c r="C112" t="str">
        <f t="shared" si="4"/>
        <v>8</v>
      </c>
      <c r="D112" t="str">
        <f t="shared" si="5"/>
        <v>2027</v>
      </c>
      <c r="E112" s="51" t="s">
        <v>1569</v>
      </c>
      <c r="J112">
        <v>-0.26500000000000001</v>
      </c>
      <c r="K112">
        <v>-5.0000000000000001E-3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</row>
    <row r="113" spans="1:18" x14ac:dyDescent="0.2">
      <c r="A113" t="str">
        <f t="shared" si="3"/>
        <v>ICE.2027.9</v>
      </c>
      <c r="B113" t="s">
        <v>1403</v>
      </c>
      <c r="C113" t="str">
        <f t="shared" si="4"/>
        <v>9</v>
      </c>
      <c r="D113" t="str">
        <f t="shared" si="5"/>
        <v>2027</v>
      </c>
      <c r="E113" s="51" t="s">
        <v>1570</v>
      </c>
      <c r="J113">
        <v>-0.26500000000000001</v>
      </c>
      <c r="K113">
        <v>-5.0000000000000001E-3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</row>
    <row r="114" spans="1:18" x14ac:dyDescent="0.2">
      <c r="A114" t="str">
        <f t="shared" si="3"/>
        <v>ICE.2027.10</v>
      </c>
      <c r="B114" t="s">
        <v>1403</v>
      </c>
      <c r="C114" t="str">
        <f t="shared" si="4"/>
        <v>10</v>
      </c>
      <c r="D114" t="str">
        <f t="shared" si="5"/>
        <v>2027</v>
      </c>
      <c r="E114" s="51" t="s">
        <v>1571</v>
      </c>
      <c r="J114">
        <v>-0.26750000000000002</v>
      </c>
      <c r="K114">
        <v>-5.0000000000000001E-3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</row>
    <row r="115" spans="1:18" x14ac:dyDescent="0.2">
      <c r="A115" t="str">
        <f t="shared" si="3"/>
        <v>ICE.2027.11</v>
      </c>
      <c r="B115" t="s">
        <v>1403</v>
      </c>
      <c r="C115" t="str">
        <f t="shared" si="4"/>
        <v>11</v>
      </c>
      <c r="D115" t="str">
        <f t="shared" si="5"/>
        <v>2027</v>
      </c>
      <c r="E115" s="51" t="s">
        <v>1572</v>
      </c>
      <c r="J115">
        <v>-5.5E-2</v>
      </c>
      <c r="K115">
        <v>-5.0000000000000001E-3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</row>
    <row r="116" spans="1:18" x14ac:dyDescent="0.2">
      <c r="A116" t="str">
        <f t="shared" si="3"/>
        <v>ICE.2027.12</v>
      </c>
      <c r="B116" t="s">
        <v>1403</v>
      </c>
      <c r="C116" t="str">
        <f t="shared" si="4"/>
        <v>12</v>
      </c>
      <c r="D116" t="str">
        <f t="shared" si="5"/>
        <v>2027</v>
      </c>
      <c r="E116" s="51" t="s">
        <v>1573</v>
      </c>
      <c r="J116">
        <v>-1.4999999999999999E-2</v>
      </c>
      <c r="K116">
        <v>-5.0000000000000001E-3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</row>
  </sheetData>
  <phoneticPr fontId="0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GDPrevious"/>
  <dimension ref="A1:F98"/>
  <sheetViews>
    <sheetView topLeftCell="A43" workbookViewId="0"/>
  </sheetViews>
  <sheetFormatPr defaultRowHeight="12.75" x14ac:dyDescent="0.2"/>
  <cols>
    <col min="1" max="1" width="81.140625" bestFit="1" customWidth="1"/>
  </cols>
  <sheetData>
    <row r="1" spans="1:6" s="1" customFormat="1" x14ac:dyDescent="0.2">
      <c r="A1" s="1" t="s">
        <v>1020</v>
      </c>
      <c r="C1" s="1" t="s">
        <v>1444</v>
      </c>
      <c r="D1" s="1" t="s">
        <v>1445</v>
      </c>
      <c r="E1" s="1" t="s">
        <v>976</v>
      </c>
      <c r="F1" s="45">
        <v>41221</v>
      </c>
    </row>
    <row r="2" spans="1:6" x14ac:dyDescent="0.2">
      <c r="A2" t="s">
        <v>736</v>
      </c>
      <c r="B2" t="s">
        <v>1446</v>
      </c>
      <c r="C2">
        <v>0</v>
      </c>
      <c r="D2">
        <v>0</v>
      </c>
      <c r="E2">
        <v>279</v>
      </c>
    </row>
    <row r="3" spans="1:6" x14ac:dyDescent="0.2">
      <c r="A3" t="s">
        <v>737</v>
      </c>
      <c r="B3" t="s">
        <v>1446</v>
      </c>
      <c r="C3">
        <v>0</v>
      </c>
      <c r="D3">
        <v>0</v>
      </c>
      <c r="E3">
        <v>124</v>
      </c>
    </row>
    <row r="4" spans="1:6" x14ac:dyDescent="0.2">
      <c r="A4" t="s">
        <v>738</v>
      </c>
      <c r="B4" t="s">
        <v>1446</v>
      </c>
      <c r="C4">
        <v>0</v>
      </c>
      <c r="D4">
        <v>0</v>
      </c>
      <c r="E4">
        <v>112</v>
      </c>
    </row>
    <row r="5" spans="1:6" x14ac:dyDescent="0.2">
      <c r="A5" t="s">
        <v>739</v>
      </c>
      <c r="B5" t="s">
        <v>1446</v>
      </c>
      <c r="C5">
        <v>0</v>
      </c>
      <c r="D5">
        <v>0</v>
      </c>
      <c r="E5">
        <v>124</v>
      </c>
    </row>
    <row r="6" spans="1:6" x14ac:dyDescent="0.2">
      <c r="A6" t="s">
        <v>740</v>
      </c>
      <c r="B6" t="s">
        <v>1446</v>
      </c>
      <c r="C6">
        <v>0</v>
      </c>
      <c r="D6">
        <v>0</v>
      </c>
      <c r="E6">
        <v>120</v>
      </c>
    </row>
    <row r="7" spans="1:6" x14ac:dyDescent="0.2">
      <c r="A7" t="s">
        <v>741</v>
      </c>
      <c r="B7" t="s">
        <v>1446</v>
      </c>
      <c r="C7">
        <v>0</v>
      </c>
      <c r="D7">
        <v>0</v>
      </c>
      <c r="E7">
        <v>124</v>
      </c>
    </row>
    <row r="8" spans="1:6" x14ac:dyDescent="0.2">
      <c r="A8" t="s">
        <v>742</v>
      </c>
      <c r="B8" t="s">
        <v>1446</v>
      </c>
      <c r="C8">
        <v>0</v>
      </c>
      <c r="D8">
        <v>0</v>
      </c>
      <c r="E8">
        <v>120</v>
      </c>
    </row>
    <row r="9" spans="1:6" x14ac:dyDescent="0.2">
      <c r="A9" t="s">
        <v>743</v>
      </c>
      <c r="B9" t="s">
        <v>1446</v>
      </c>
      <c r="C9">
        <v>0</v>
      </c>
      <c r="D9">
        <v>0</v>
      </c>
      <c r="E9">
        <v>124</v>
      </c>
    </row>
    <row r="10" spans="1:6" x14ac:dyDescent="0.2">
      <c r="A10" t="s">
        <v>744</v>
      </c>
      <c r="B10" t="s">
        <v>1446</v>
      </c>
      <c r="C10">
        <v>0</v>
      </c>
      <c r="D10">
        <v>0</v>
      </c>
      <c r="E10">
        <v>124</v>
      </c>
    </row>
    <row r="11" spans="1:6" x14ac:dyDescent="0.2">
      <c r="A11" t="s">
        <v>745</v>
      </c>
      <c r="B11" t="s">
        <v>1446</v>
      </c>
      <c r="C11">
        <v>0</v>
      </c>
      <c r="D11">
        <v>0</v>
      </c>
      <c r="E11">
        <v>120</v>
      </c>
    </row>
    <row r="12" spans="1:6" x14ac:dyDescent="0.2">
      <c r="A12" t="s">
        <v>746</v>
      </c>
      <c r="B12" t="s">
        <v>1446</v>
      </c>
      <c r="C12">
        <v>0</v>
      </c>
      <c r="D12">
        <v>0</v>
      </c>
      <c r="E12">
        <v>124</v>
      </c>
    </row>
    <row r="13" spans="1:6" x14ac:dyDescent="0.2">
      <c r="A13" t="s">
        <v>747</v>
      </c>
      <c r="B13" t="s">
        <v>1446</v>
      </c>
      <c r="C13">
        <v>0</v>
      </c>
      <c r="D13">
        <v>0</v>
      </c>
      <c r="E13">
        <v>60</v>
      </c>
    </row>
    <row r="14" spans="1:6" x14ac:dyDescent="0.2">
      <c r="A14" t="s">
        <v>748</v>
      </c>
      <c r="B14" t="s">
        <v>1446</v>
      </c>
      <c r="C14">
        <v>0</v>
      </c>
      <c r="D14">
        <v>0</v>
      </c>
      <c r="E14">
        <v>62</v>
      </c>
    </row>
    <row r="15" spans="1:6" x14ac:dyDescent="0.2">
      <c r="A15" t="s">
        <v>749</v>
      </c>
      <c r="B15" t="s">
        <v>1446</v>
      </c>
      <c r="C15">
        <v>0</v>
      </c>
      <c r="D15">
        <v>0</v>
      </c>
      <c r="E15">
        <v>62</v>
      </c>
    </row>
    <row r="16" spans="1:6" x14ac:dyDescent="0.2">
      <c r="A16" t="s">
        <v>750</v>
      </c>
      <c r="B16" t="s">
        <v>1446</v>
      </c>
      <c r="C16">
        <v>0</v>
      </c>
      <c r="D16">
        <v>0</v>
      </c>
      <c r="E16">
        <v>56</v>
      </c>
    </row>
    <row r="17" spans="1:5" x14ac:dyDescent="0.2">
      <c r="A17" t="s">
        <v>751</v>
      </c>
      <c r="B17" t="s">
        <v>1446</v>
      </c>
      <c r="C17">
        <v>0</v>
      </c>
      <c r="D17">
        <v>0</v>
      </c>
      <c r="E17">
        <v>62</v>
      </c>
    </row>
    <row r="18" spans="1:5" x14ac:dyDescent="0.2">
      <c r="A18" t="s">
        <v>752</v>
      </c>
      <c r="B18" t="s">
        <v>1446</v>
      </c>
      <c r="C18">
        <v>0</v>
      </c>
      <c r="D18">
        <v>0</v>
      </c>
      <c r="E18">
        <v>180</v>
      </c>
    </row>
    <row r="19" spans="1:5" x14ac:dyDescent="0.2">
      <c r="A19" t="s">
        <v>753</v>
      </c>
      <c r="B19" t="s">
        <v>1446</v>
      </c>
      <c r="C19">
        <v>0</v>
      </c>
      <c r="D19">
        <v>0</v>
      </c>
      <c r="E19">
        <v>186</v>
      </c>
    </row>
    <row r="20" spans="1:5" x14ac:dyDescent="0.2">
      <c r="A20" t="s">
        <v>754</v>
      </c>
      <c r="B20" t="s">
        <v>1446</v>
      </c>
      <c r="C20">
        <v>0</v>
      </c>
      <c r="D20">
        <v>0</v>
      </c>
      <c r="E20">
        <v>180</v>
      </c>
    </row>
    <row r="21" spans="1:5" x14ac:dyDescent="0.2">
      <c r="A21" t="s">
        <v>755</v>
      </c>
      <c r="B21" t="s">
        <v>1446</v>
      </c>
      <c r="C21">
        <v>0</v>
      </c>
      <c r="D21">
        <v>0</v>
      </c>
      <c r="E21">
        <v>186</v>
      </c>
    </row>
    <row r="22" spans="1:5" x14ac:dyDescent="0.2">
      <c r="A22" t="s">
        <v>756</v>
      </c>
      <c r="B22" t="s">
        <v>1446</v>
      </c>
      <c r="C22">
        <v>0</v>
      </c>
      <c r="D22">
        <v>0</v>
      </c>
      <c r="E22">
        <v>186</v>
      </c>
    </row>
    <row r="23" spans="1:5" x14ac:dyDescent="0.2">
      <c r="A23" t="s">
        <v>757</v>
      </c>
      <c r="B23" t="s">
        <v>1446</v>
      </c>
      <c r="C23">
        <v>0</v>
      </c>
      <c r="D23">
        <v>0</v>
      </c>
      <c r="E23">
        <v>180</v>
      </c>
    </row>
    <row r="24" spans="1:5" x14ac:dyDescent="0.2">
      <c r="A24" t="s">
        <v>758</v>
      </c>
      <c r="B24" t="s">
        <v>1446</v>
      </c>
      <c r="C24">
        <v>0</v>
      </c>
      <c r="D24">
        <v>0</v>
      </c>
      <c r="E24">
        <v>186</v>
      </c>
    </row>
    <row r="25" spans="1:5" x14ac:dyDescent="0.2">
      <c r="A25" t="s">
        <v>759</v>
      </c>
      <c r="B25" t="s">
        <v>1446</v>
      </c>
      <c r="C25">
        <v>0</v>
      </c>
      <c r="D25">
        <v>0</v>
      </c>
      <c r="E25">
        <v>0</v>
      </c>
    </row>
    <row r="26" spans="1:5" x14ac:dyDescent="0.2">
      <c r="A26" t="s">
        <v>760</v>
      </c>
      <c r="B26" t="s">
        <v>1446</v>
      </c>
      <c r="C26">
        <v>0</v>
      </c>
      <c r="D26">
        <v>0</v>
      </c>
      <c r="E26">
        <v>0</v>
      </c>
    </row>
    <row r="27" spans="1:5" x14ac:dyDescent="0.2">
      <c r="A27" t="s">
        <v>761</v>
      </c>
      <c r="B27" t="s">
        <v>1446</v>
      </c>
      <c r="C27">
        <v>0</v>
      </c>
      <c r="D27">
        <v>0</v>
      </c>
      <c r="E27">
        <v>0</v>
      </c>
    </row>
    <row r="28" spans="1:5" x14ac:dyDescent="0.2">
      <c r="A28" t="s">
        <v>762</v>
      </c>
      <c r="B28" t="s">
        <v>1446</v>
      </c>
      <c r="C28">
        <v>0</v>
      </c>
      <c r="D28">
        <v>0</v>
      </c>
      <c r="E28">
        <v>0</v>
      </c>
    </row>
    <row r="29" spans="1:5" x14ac:dyDescent="0.2">
      <c r="A29" t="s">
        <v>0</v>
      </c>
      <c r="B29" t="s">
        <v>1446</v>
      </c>
      <c r="C29">
        <v>0</v>
      </c>
      <c r="D29">
        <v>0</v>
      </c>
      <c r="E29">
        <v>0</v>
      </c>
    </row>
    <row r="30" spans="1:5" x14ac:dyDescent="0.2">
      <c r="A30" t="s">
        <v>1</v>
      </c>
      <c r="B30" t="s">
        <v>1446</v>
      </c>
      <c r="C30">
        <v>0</v>
      </c>
      <c r="D30">
        <v>0</v>
      </c>
      <c r="E30">
        <v>0</v>
      </c>
    </row>
    <row r="31" spans="1:5" x14ac:dyDescent="0.2">
      <c r="A31" t="s">
        <v>2</v>
      </c>
      <c r="B31" t="s">
        <v>1446</v>
      </c>
      <c r="C31">
        <v>0</v>
      </c>
      <c r="D31">
        <v>0</v>
      </c>
      <c r="E31">
        <v>0</v>
      </c>
    </row>
    <row r="32" spans="1:5" x14ac:dyDescent="0.2">
      <c r="A32" t="s">
        <v>3</v>
      </c>
      <c r="B32" t="s">
        <v>1446</v>
      </c>
      <c r="C32">
        <v>0</v>
      </c>
      <c r="D32">
        <v>0</v>
      </c>
      <c r="E32">
        <v>0</v>
      </c>
    </row>
    <row r="33" spans="1:5" x14ac:dyDescent="0.2">
      <c r="A33" t="s">
        <v>4</v>
      </c>
      <c r="B33" t="s">
        <v>1446</v>
      </c>
      <c r="C33">
        <v>0</v>
      </c>
      <c r="D33">
        <v>0</v>
      </c>
      <c r="E33">
        <v>0</v>
      </c>
    </row>
    <row r="34" spans="1:5" x14ac:dyDescent="0.2">
      <c r="A34" t="s">
        <v>5</v>
      </c>
      <c r="B34" t="s">
        <v>1446</v>
      </c>
      <c r="C34">
        <v>0</v>
      </c>
      <c r="D34">
        <v>0</v>
      </c>
      <c r="E34">
        <v>0</v>
      </c>
    </row>
    <row r="35" spans="1:5" x14ac:dyDescent="0.2">
      <c r="A35" t="s">
        <v>6</v>
      </c>
      <c r="B35" t="s">
        <v>1446</v>
      </c>
      <c r="C35">
        <v>0</v>
      </c>
      <c r="D35">
        <v>0</v>
      </c>
      <c r="E35">
        <v>0</v>
      </c>
    </row>
    <row r="36" spans="1:5" x14ac:dyDescent="0.2">
      <c r="A36" t="s">
        <v>7</v>
      </c>
      <c r="B36" t="s">
        <v>1446</v>
      </c>
      <c r="C36">
        <v>0</v>
      </c>
      <c r="D36">
        <v>0</v>
      </c>
      <c r="E36">
        <v>0</v>
      </c>
    </row>
    <row r="37" spans="1:5" x14ac:dyDescent="0.2">
      <c r="A37" t="s">
        <v>8</v>
      </c>
      <c r="B37" t="s">
        <v>1446</v>
      </c>
      <c r="C37">
        <v>0</v>
      </c>
      <c r="D37">
        <v>0</v>
      </c>
      <c r="E37">
        <v>0</v>
      </c>
    </row>
    <row r="38" spans="1:5" x14ac:dyDescent="0.2">
      <c r="A38" t="s">
        <v>9</v>
      </c>
      <c r="B38" t="s">
        <v>1446</v>
      </c>
      <c r="C38">
        <v>0</v>
      </c>
      <c r="D38">
        <v>0</v>
      </c>
      <c r="E38">
        <v>0</v>
      </c>
    </row>
    <row r="39" spans="1:5" x14ac:dyDescent="0.2">
      <c r="A39" t="s">
        <v>10</v>
      </c>
      <c r="B39" t="s">
        <v>1446</v>
      </c>
      <c r="C39">
        <v>0</v>
      </c>
      <c r="D39">
        <v>0</v>
      </c>
      <c r="E39">
        <v>0</v>
      </c>
    </row>
    <row r="40" spans="1:5" x14ac:dyDescent="0.2">
      <c r="A40" t="s">
        <v>11</v>
      </c>
      <c r="B40" t="s">
        <v>1446</v>
      </c>
      <c r="C40">
        <v>0</v>
      </c>
      <c r="D40">
        <v>0</v>
      </c>
      <c r="E40">
        <v>0</v>
      </c>
    </row>
    <row r="41" spans="1:5" x14ac:dyDescent="0.2">
      <c r="A41" t="s">
        <v>12</v>
      </c>
      <c r="B41" t="s">
        <v>1446</v>
      </c>
      <c r="C41">
        <v>0</v>
      </c>
      <c r="D41">
        <v>0</v>
      </c>
      <c r="E41">
        <v>0</v>
      </c>
    </row>
    <row r="42" spans="1:5" x14ac:dyDescent="0.2">
      <c r="A42" t="s">
        <v>13</v>
      </c>
      <c r="B42" t="s">
        <v>1446</v>
      </c>
      <c r="C42">
        <v>0</v>
      </c>
      <c r="D42">
        <v>0</v>
      </c>
      <c r="E42">
        <v>0</v>
      </c>
    </row>
    <row r="43" spans="1:5" x14ac:dyDescent="0.2">
      <c r="A43" t="s">
        <v>14</v>
      </c>
      <c r="B43" t="s">
        <v>1446</v>
      </c>
      <c r="C43">
        <v>0</v>
      </c>
      <c r="D43">
        <v>0</v>
      </c>
      <c r="E43">
        <v>0</v>
      </c>
    </row>
    <row r="44" spans="1:5" x14ac:dyDescent="0.2">
      <c r="A44" t="s">
        <v>15</v>
      </c>
      <c r="B44" t="s">
        <v>1446</v>
      </c>
      <c r="C44">
        <v>0</v>
      </c>
      <c r="D44">
        <v>0</v>
      </c>
      <c r="E44">
        <v>0</v>
      </c>
    </row>
    <row r="45" spans="1:5" x14ac:dyDescent="0.2">
      <c r="A45" t="s">
        <v>16</v>
      </c>
      <c r="B45" t="s">
        <v>1446</v>
      </c>
      <c r="C45">
        <v>0</v>
      </c>
      <c r="D45">
        <v>0</v>
      </c>
      <c r="E45">
        <v>0</v>
      </c>
    </row>
    <row r="46" spans="1:5" x14ac:dyDescent="0.2">
      <c r="A46" t="s">
        <v>17</v>
      </c>
      <c r="B46" t="s">
        <v>1446</v>
      </c>
      <c r="C46">
        <v>0</v>
      </c>
      <c r="D46">
        <v>0</v>
      </c>
      <c r="E46">
        <v>0</v>
      </c>
    </row>
    <row r="47" spans="1:5" x14ac:dyDescent="0.2">
      <c r="A47" t="s">
        <v>18</v>
      </c>
      <c r="B47" t="s">
        <v>1446</v>
      </c>
      <c r="C47">
        <v>0</v>
      </c>
      <c r="D47">
        <v>0</v>
      </c>
      <c r="E47">
        <v>0</v>
      </c>
    </row>
    <row r="48" spans="1:5" x14ac:dyDescent="0.2">
      <c r="A48" t="s">
        <v>19</v>
      </c>
      <c r="B48" t="s">
        <v>1446</v>
      </c>
      <c r="C48">
        <v>0</v>
      </c>
      <c r="D48">
        <v>0</v>
      </c>
      <c r="E48">
        <v>0</v>
      </c>
    </row>
    <row r="49" spans="1:5" x14ac:dyDescent="0.2">
      <c r="A49" t="s">
        <v>20</v>
      </c>
      <c r="B49" t="s">
        <v>1446</v>
      </c>
      <c r="C49">
        <v>0</v>
      </c>
      <c r="D49">
        <v>0</v>
      </c>
      <c r="E49">
        <v>0</v>
      </c>
    </row>
    <row r="50" spans="1:5" x14ac:dyDescent="0.2">
      <c r="A50" t="s">
        <v>21</v>
      </c>
      <c r="B50" t="s">
        <v>1446</v>
      </c>
      <c r="C50">
        <v>0</v>
      </c>
      <c r="D50">
        <v>0</v>
      </c>
      <c r="E50">
        <v>0</v>
      </c>
    </row>
    <row r="51" spans="1:5" x14ac:dyDescent="0.2">
      <c r="A51" t="s">
        <v>22</v>
      </c>
      <c r="B51" t="s">
        <v>1446</v>
      </c>
      <c r="C51">
        <v>0</v>
      </c>
      <c r="D51">
        <v>0</v>
      </c>
      <c r="E51">
        <v>0</v>
      </c>
    </row>
    <row r="52" spans="1:5" x14ac:dyDescent="0.2">
      <c r="A52" t="s">
        <v>23</v>
      </c>
      <c r="B52" t="s">
        <v>1446</v>
      </c>
      <c r="C52">
        <v>0</v>
      </c>
      <c r="D52">
        <v>0</v>
      </c>
      <c r="E52">
        <v>0</v>
      </c>
    </row>
    <row r="53" spans="1:5" x14ac:dyDescent="0.2">
      <c r="A53" t="s">
        <v>24</v>
      </c>
      <c r="B53" t="s">
        <v>1446</v>
      </c>
      <c r="C53">
        <v>0</v>
      </c>
      <c r="D53">
        <v>0</v>
      </c>
      <c r="E53">
        <v>0</v>
      </c>
    </row>
    <row r="54" spans="1:5" x14ac:dyDescent="0.2">
      <c r="A54" t="s">
        <v>25</v>
      </c>
      <c r="B54" t="s">
        <v>1446</v>
      </c>
      <c r="C54">
        <v>0</v>
      </c>
      <c r="D54">
        <v>0</v>
      </c>
      <c r="E54">
        <v>0</v>
      </c>
    </row>
    <row r="55" spans="1:5" x14ac:dyDescent="0.2">
      <c r="A55" t="s">
        <v>26</v>
      </c>
      <c r="B55" t="s">
        <v>1446</v>
      </c>
      <c r="C55">
        <v>0</v>
      </c>
      <c r="D55">
        <v>0</v>
      </c>
      <c r="E55">
        <v>0</v>
      </c>
    </row>
    <row r="56" spans="1:5" x14ac:dyDescent="0.2">
      <c r="A56" t="s">
        <v>27</v>
      </c>
      <c r="B56" t="s">
        <v>1446</v>
      </c>
      <c r="C56">
        <v>0</v>
      </c>
      <c r="D56">
        <v>0</v>
      </c>
      <c r="E56">
        <v>0</v>
      </c>
    </row>
    <row r="57" spans="1:5" x14ac:dyDescent="0.2">
      <c r="A57" t="s">
        <v>28</v>
      </c>
      <c r="B57" t="s">
        <v>1446</v>
      </c>
      <c r="C57">
        <v>0</v>
      </c>
      <c r="D57">
        <v>0</v>
      </c>
      <c r="E57">
        <v>0</v>
      </c>
    </row>
    <row r="58" spans="1:5" x14ac:dyDescent="0.2">
      <c r="A58" t="s">
        <v>29</v>
      </c>
      <c r="B58" t="s">
        <v>1446</v>
      </c>
      <c r="C58">
        <v>0</v>
      </c>
      <c r="D58">
        <v>0</v>
      </c>
      <c r="E58">
        <v>0</v>
      </c>
    </row>
    <row r="59" spans="1:5" x14ac:dyDescent="0.2">
      <c r="A59" t="s">
        <v>1476</v>
      </c>
      <c r="B59" t="s">
        <v>1446</v>
      </c>
      <c r="C59">
        <v>0</v>
      </c>
      <c r="D59">
        <v>0</v>
      </c>
      <c r="E59">
        <v>0</v>
      </c>
    </row>
    <row r="60" spans="1:5" x14ac:dyDescent="0.2">
      <c r="A60" t="s">
        <v>1477</v>
      </c>
      <c r="B60" t="s">
        <v>1446</v>
      </c>
      <c r="C60">
        <v>0</v>
      </c>
      <c r="D60">
        <v>0</v>
      </c>
      <c r="E60">
        <v>0</v>
      </c>
    </row>
    <row r="61" spans="1:5" x14ac:dyDescent="0.2">
      <c r="A61" t="s">
        <v>1478</v>
      </c>
      <c r="B61" t="s">
        <v>1446</v>
      </c>
      <c r="C61">
        <v>0</v>
      </c>
      <c r="D61">
        <v>0</v>
      </c>
      <c r="E61">
        <v>0</v>
      </c>
    </row>
    <row r="62" spans="1:5" x14ac:dyDescent="0.2">
      <c r="A62" t="s">
        <v>1479</v>
      </c>
      <c r="B62" t="s">
        <v>1446</v>
      </c>
      <c r="C62">
        <v>0</v>
      </c>
      <c r="D62">
        <v>0</v>
      </c>
      <c r="E62">
        <v>0</v>
      </c>
    </row>
    <row r="63" spans="1:5" x14ac:dyDescent="0.2">
      <c r="A63" t="s">
        <v>1480</v>
      </c>
      <c r="B63" t="s">
        <v>1446</v>
      </c>
      <c r="C63">
        <v>0</v>
      </c>
      <c r="D63">
        <v>0</v>
      </c>
      <c r="E63">
        <v>0</v>
      </c>
    </row>
    <row r="64" spans="1:5" x14ac:dyDescent="0.2">
      <c r="A64" t="s">
        <v>1481</v>
      </c>
      <c r="B64" t="s">
        <v>1446</v>
      </c>
      <c r="C64">
        <v>0</v>
      </c>
      <c r="D64">
        <v>0</v>
      </c>
      <c r="E64">
        <v>0</v>
      </c>
    </row>
    <row r="65" spans="1:5" x14ac:dyDescent="0.2">
      <c r="A65" t="s">
        <v>1482</v>
      </c>
      <c r="B65" t="s">
        <v>1446</v>
      </c>
      <c r="C65">
        <v>0</v>
      </c>
      <c r="D65">
        <v>0</v>
      </c>
      <c r="E65">
        <v>0</v>
      </c>
    </row>
    <row r="66" spans="1:5" x14ac:dyDescent="0.2">
      <c r="A66" t="s">
        <v>1483</v>
      </c>
      <c r="B66" t="s">
        <v>1446</v>
      </c>
      <c r="C66">
        <v>0</v>
      </c>
      <c r="D66">
        <v>0</v>
      </c>
      <c r="E66">
        <v>0</v>
      </c>
    </row>
    <row r="67" spans="1:5" x14ac:dyDescent="0.2">
      <c r="A67" t="s">
        <v>1484</v>
      </c>
      <c r="B67" t="s">
        <v>1446</v>
      </c>
      <c r="C67">
        <v>0</v>
      </c>
      <c r="D67">
        <v>0</v>
      </c>
      <c r="E67">
        <v>0</v>
      </c>
    </row>
    <row r="68" spans="1:5" x14ac:dyDescent="0.2">
      <c r="A68" t="s">
        <v>138</v>
      </c>
      <c r="B68" t="s">
        <v>1446</v>
      </c>
      <c r="C68">
        <v>0</v>
      </c>
      <c r="D68">
        <v>0</v>
      </c>
      <c r="E68">
        <v>0</v>
      </c>
    </row>
    <row r="69" spans="1:5" x14ac:dyDescent="0.2">
      <c r="A69" t="s">
        <v>139</v>
      </c>
      <c r="B69" t="s">
        <v>1446</v>
      </c>
      <c r="C69">
        <v>0</v>
      </c>
      <c r="D69">
        <v>0</v>
      </c>
      <c r="E69">
        <v>0</v>
      </c>
    </row>
    <row r="70" spans="1:5" x14ac:dyDescent="0.2">
      <c r="A70" t="s">
        <v>140</v>
      </c>
      <c r="B70" t="s">
        <v>1446</v>
      </c>
      <c r="C70">
        <v>0</v>
      </c>
      <c r="D70">
        <v>0</v>
      </c>
      <c r="E70">
        <v>0</v>
      </c>
    </row>
    <row r="71" spans="1:5" x14ac:dyDescent="0.2">
      <c r="A71" t="s">
        <v>141</v>
      </c>
      <c r="B71" t="s">
        <v>1446</v>
      </c>
      <c r="C71">
        <v>0</v>
      </c>
      <c r="D71">
        <v>0</v>
      </c>
      <c r="E71">
        <v>0</v>
      </c>
    </row>
    <row r="72" spans="1:5" x14ac:dyDescent="0.2">
      <c r="A72" t="s">
        <v>142</v>
      </c>
      <c r="B72" t="s">
        <v>1446</v>
      </c>
      <c r="C72">
        <v>0</v>
      </c>
      <c r="D72">
        <v>0</v>
      </c>
      <c r="E72">
        <v>0</v>
      </c>
    </row>
    <row r="73" spans="1:5" x14ac:dyDescent="0.2">
      <c r="A73" t="s">
        <v>143</v>
      </c>
      <c r="B73" t="s">
        <v>1446</v>
      </c>
      <c r="C73">
        <v>0</v>
      </c>
      <c r="D73">
        <v>0</v>
      </c>
      <c r="E73">
        <v>0</v>
      </c>
    </row>
    <row r="74" spans="1:5" x14ac:dyDescent="0.2">
      <c r="A74" t="s">
        <v>144</v>
      </c>
      <c r="B74" t="s">
        <v>1446</v>
      </c>
      <c r="C74">
        <v>0</v>
      </c>
      <c r="D74">
        <v>0</v>
      </c>
      <c r="E74">
        <v>0</v>
      </c>
    </row>
    <row r="75" spans="1:5" x14ac:dyDescent="0.2">
      <c r="A75" t="s">
        <v>145</v>
      </c>
      <c r="B75" t="s">
        <v>1446</v>
      </c>
      <c r="C75">
        <v>0</v>
      </c>
      <c r="D75">
        <v>0</v>
      </c>
      <c r="E75">
        <v>0</v>
      </c>
    </row>
    <row r="76" spans="1:5" x14ac:dyDescent="0.2">
      <c r="A76" t="s">
        <v>146</v>
      </c>
      <c r="B76" t="s">
        <v>1446</v>
      </c>
      <c r="C76">
        <v>0</v>
      </c>
      <c r="D76">
        <v>0</v>
      </c>
      <c r="E76">
        <v>0</v>
      </c>
    </row>
    <row r="77" spans="1:5" x14ac:dyDescent="0.2">
      <c r="A77" t="s">
        <v>147</v>
      </c>
      <c r="B77" t="s">
        <v>1446</v>
      </c>
      <c r="C77">
        <v>0</v>
      </c>
      <c r="D77">
        <v>0</v>
      </c>
      <c r="E77">
        <v>0</v>
      </c>
    </row>
    <row r="78" spans="1:5" x14ac:dyDescent="0.2">
      <c r="A78" t="s">
        <v>148</v>
      </c>
      <c r="B78" t="s">
        <v>1446</v>
      </c>
      <c r="C78">
        <v>0</v>
      </c>
      <c r="D78">
        <v>0</v>
      </c>
      <c r="E78">
        <v>0</v>
      </c>
    </row>
    <row r="79" spans="1:5" x14ac:dyDescent="0.2">
      <c r="A79" t="s">
        <v>149</v>
      </c>
      <c r="B79" t="s">
        <v>1446</v>
      </c>
      <c r="C79">
        <v>0</v>
      </c>
      <c r="D79">
        <v>0</v>
      </c>
      <c r="E79">
        <v>0</v>
      </c>
    </row>
    <row r="80" spans="1:5" x14ac:dyDescent="0.2">
      <c r="A80" t="s">
        <v>150</v>
      </c>
      <c r="B80" t="s">
        <v>1446</v>
      </c>
      <c r="C80">
        <v>0</v>
      </c>
      <c r="D80">
        <v>0</v>
      </c>
      <c r="E80">
        <v>0</v>
      </c>
    </row>
    <row r="81" spans="1:5" x14ac:dyDescent="0.2">
      <c r="A81" t="s">
        <v>151</v>
      </c>
      <c r="B81" t="s">
        <v>1446</v>
      </c>
      <c r="C81">
        <v>0</v>
      </c>
      <c r="D81">
        <v>0</v>
      </c>
      <c r="E81">
        <v>0</v>
      </c>
    </row>
    <row r="82" spans="1:5" x14ac:dyDescent="0.2">
      <c r="A82" t="s">
        <v>152</v>
      </c>
      <c r="B82" t="s">
        <v>1446</v>
      </c>
      <c r="C82">
        <v>0</v>
      </c>
      <c r="D82">
        <v>0</v>
      </c>
      <c r="E82">
        <v>0</v>
      </c>
    </row>
    <row r="83" spans="1:5" x14ac:dyDescent="0.2">
      <c r="A83" t="s">
        <v>153</v>
      </c>
      <c r="B83" t="s">
        <v>1446</v>
      </c>
      <c r="C83">
        <v>0</v>
      </c>
      <c r="D83">
        <v>0</v>
      </c>
      <c r="E83">
        <v>0</v>
      </c>
    </row>
    <row r="84" spans="1:5" x14ac:dyDescent="0.2">
      <c r="A84" t="s">
        <v>154</v>
      </c>
      <c r="B84" t="s">
        <v>1446</v>
      </c>
      <c r="C84">
        <v>0</v>
      </c>
      <c r="D84">
        <v>0</v>
      </c>
      <c r="E84">
        <v>0</v>
      </c>
    </row>
    <row r="85" spans="1:5" x14ac:dyDescent="0.2">
      <c r="A85" t="s">
        <v>155</v>
      </c>
      <c r="B85" t="s">
        <v>1446</v>
      </c>
      <c r="C85">
        <v>0</v>
      </c>
      <c r="D85">
        <v>0</v>
      </c>
      <c r="E85">
        <v>0</v>
      </c>
    </row>
    <row r="86" spans="1:5" x14ac:dyDescent="0.2">
      <c r="A86" t="s">
        <v>156</v>
      </c>
      <c r="B86" t="s">
        <v>1446</v>
      </c>
      <c r="C86">
        <v>0</v>
      </c>
      <c r="D86">
        <v>0</v>
      </c>
      <c r="E86">
        <v>0</v>
      </c>
    </row>
    <row r="87" spans="1:5" x14ac:dyDescent="0.2">
      <c r="A87" t="s">
        <v>157</v>
      </c>
      <c r="B87" t="s">
        <v>1446</v>
      </c>
      <c r="C87">
        <v>0</v>
      </c>
      <c r="D87">
        <v>0</v>
      </c>
      <c r="E87">
        <v>0</v>
      </c>
    </row>
    <row r="88" spans="1:5" x14ac:dyDescent="0.2">
      <c r="A88" t="s">
        <v>158</v>
      </c>
      <c r="B88" t="s">
        <v>1446</v>
      </c>
      <c r="C88">
        <v>0</v>
      </c>
      <c r="D88">
        <v>0</v>
      </c>
      <c r="E88">
        <v>0</v>
      </c>
    </row>
    <row r="89" spans="1:5" x14ac:dyDescent="0.2">
      <c r="A89" t="s">
        <v>159</v>
      </c>
      <c r="B89" t="s">
        <v>1446</v>
      </c>
      <c r="C89">
        <v>0</v>
      </c>
      <c r="D89">
        <v>0</v>
      </c>
      <c r="E89">
        <v>0</v>
      </c>
    </row>
    <row r="90" spans="1:5" x14ac:dyDescent="0.2">
      <c r="A90" t="s">
        <v>160</v>
      </c>
      <c r="B90" t="s">
        <v>1446</v>
      </c>
      <c r="C90">
        <v>0</v>
      </c>
      <c r="D90">
        <v>0</v>
      </c>
      <c r="E90">
        <v>0</v>
      </c>
    </row>
    <row r="91" spans="1:5" x14ac:dyDescent="0.2">
      <c r="A91" t="s">
        <v>161</v>
      </c>
      <c r="B91" t="s">
        <v>1446</v>
      </c>
      <c r="C91">
        <v>0</v>
      </c>
      <c r="D91">
        <v>0</v>
      </c>
      <c r="E91">
        <v>0</v>
      </c>
    </row>
    <row r="92" spans="1:5" x14ac:dyDescent="0.2">
      <c r="A92" t="s">
        <v>162</v>
      </c>
      <c r="B92" t="s">
        <v>1446</v>
      </c>
      <c r="C92">
        <v>0</v>
      </c>
      <c r="D92">
        <v>0</v>
      </c>
      <c r="E92">
        <v>0</v>
      </c>
    </row>
    <row r="93" spans="1:5" x14ac:dyDescent="0.2">
      <c r="A93" t="s">
        <v>163</v>
      </c>
      <c r="B93" t="s">
        <v>1446</v>
      </c>
      <c r="C93">
        <v>0</v>
      </c>
      <c r="D93">
        <v>0</v>
      </c>
      <c r="E93">
        <v>0</v>
      </c>
    </row>
    <row r="94" spans="1:5" x14ac:dyDescent="0.2">
      <c r="A94" t="s">
        <v>164</v>
      </c>
      <c r="B94" t="s">
        <v>1446</v>
      </c>
      <c r="C94">
        <v>0</v>
      </c>
      <c r="D94">
        <v>0</v>
      </c>
      <c r="E94">
        <v>0</v>
      </c>
    </row>
    <row r="95" spans="1:5" x14ac:dyDescent="0.2">
      <c r="A95" t="s">
        <v>165</v>
      </c>
      <c r="B95" t="s">
        <v>1446</v>
      </c>
      <c r="C95">
        <v>0</v>
      </c>
      <c r="D95">
        <v>0</v>
      </c>
      <c r="E95">
        <v>0</v>
      </c>
    </row>
    <row r="96" spans="1:5" x14ac:dyDescent="0.2">
      <c r="A96" t="s">
        <v>166</v>
      </c>
      <c r="B96" t="s">
        <v>1446</v>
      </c>
      <c r="C96">
        <v>0</v>
      </c>
      <c r="D96">
        <v>0</v>
      </c>
      <c r="E96">
        <v>0</v>
      </c>
    </row>
    <row r="97" spans="1:5" x14ac:dyDescent="0.2">
      <c r="A97" t="s">
        <v>167</v>
      </c>
      <c r="B97" t="s">
        <v>1446</v>
      </c>
      <c r="C97">
        <v>0</v>
      </c>
      <c r="D97">
        <v>0</v>
      </c>
      <c r="E97">
        <v>0</v>
      </c>
    </row>
    <row r="98" spans="1:5" x14ac:dyDescent="0.2">
      <c r="A98" t="s">
        <v>168</v>
      </c>
      <c r="B98" t="s">
        <v>1446</v>
      </c>
      <c r="C98">
        <v>0</v>
      </c>
      <c r="D98">
        <v>0</v>
      </c>
      <c r="E98">
        <v>0</v>
      </c>
    </row>
  </sheetData>
  <phoneticPr fontId="0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WR"/>
  <dimension ref="A1:T80"/>
  <sheetViews>
    <sheetView workbookViewId="0">
      <selection activeCell="I88" sqref="I88"/>
    </sheetView>
  </sheetViews>
  <sheetFormatPr defaultRowHeight="12.75" x14ac:dyDescent="0.2"/>
  <cols>
    <col min="1" max="1" width="11.140625" bestFit="1" customWidth="1"/>
    <col min="2" max="2" width="8.5703125" bestFit="1" customWidth="1"/>
    <col min="3" max="3" width="5.7109375" bestFit="1" customWidth="1"/>
    <col min="4" max="4" width="5.140625" bestFit="1" customWidth="1"/>
    <col min="5" max="5" width="7.7109375" bestFit="1" customWidth="1"/>
    <col min="6" max="6" width="5.85546875" bestFit="1" customWidth="1"/>
    <col min="7" max="7" width="5.5703125" bestFit="1" customWidth="1"/>
    <col min="8" max="9" width="6.5703125" bestFit="1" customWidth="1"/>
    <col min="10" max="10" width="10.85546875" bestFit="1" customWidth="1"/>
    <col min="11" max="12" width="8" bestFit="1" customWidth="1"/>
    <col min="13" max="13" width="8.7109375" bestFit="1" customWidth="1"/>
    <col min="14" max="14" width="10.5703125" bestFit="1" customWidth="1"/>
    <col min="15" max="16" width="4.5703125" bestFit="1" customWidth="1"/>
    <col min="17" max="17" width="9.5703125" bestFit="1" customWidth="1"/>
    <col min="18" max="18" width="11.140625" bestFit="1" customWidth="1"/>
  </cols>
  <sheetData>
    <row r="1" spans="1:20" s="1" customFormat="1" x14ac:dyDescent="0.2">
      <c r="A1" s="1" t="s">
        <v>1404</v>
      </c>
      <c r="B1" s="1" t="s">
        <v>1402</v>
      </c>
      <c r="C1" s="1" t="s">
        <v>974</v>
      </c>
      <c r="D1" s="1" t="s">
        <v>980</v>
      </c>
      <c r="E1" s="50" t="s">
        <v>1364</v>
      </c>
      <c r="F1" s="45" t="s">
        <v>1365</v>
      </c>
      <c r="G1" s="1" t="s">
        <v>1366</v>
      </c>
      <c r="H1" s="1" t="s">
        <v>1367</v>
      </c>
      <c r="I1" s="1" t="s">
        <v>1368</v>
      </c>
      <c r="J1" s="1" t="s">
        <v>978</v>
      </c>
      <c r="K1" s="1" t="s">
        <v>1369</v>
      </c>
      <c r="L1" s="1" t="s">
        <v>975</v>
      </c>
      <c r="M1" s="1" t="s">
        <v>979</v>
      </c>
      <c r="N1" s="1" t="s">
        <v>969</v>
      </c>
      <c r="O1" s="1" t="s">
        <v>1444</v>
      </c>
      <c r="P1" s="1" t="s">
        <v>1445</v>
      </c>
      <c r="Q1" s="1" t="s">
        <v>976</v>
      </c>
      <c r="R1" s="1" t="s">
        <v>1510</v>
      </c>
      <c r="T1" s="45">
        <v>43236</v>
      </c>
    </row>
    <row r="2" spans="1:20" x14ac:dyDescent="0.2">
      <c r="A2" t="str">
        <f>B2&amp;"."&amp;D2&amp;"."&amp;C2</f>
        <v>ICE.2018.6</v>
      </c>
      <c r="B2" t="s">
        <v>1403</v>
      </c>
      <c r="C2" t="str">
        <f>TEXT(DATEVALUE("1"&amp;E2),"M")</f>
        <v>6</v>
      </c>
      <c r="D2" t="str">
        <f>TEXT(DATEVALUE("1"&amp;E2),"YYYY")</f>
        <v>2018</v>
      </c>
      <c r="E2" s="51" t="s">
        <v>1371</v>
      </c>
      <c r="F2">
        <v>-0.9</v>
      </c>
      <c r="G2">
        <v>-0.9</v>
      </c>
      <c r="H2">
        <v>-0.91500000000000004</v>
      </c>
      <c r="I2">
        <v>-0.91500000000000004</v>
      </c>
      <c r="J2">
        <v>-0.91249999999999998</v>
      </c>
      <c r="K2">
        <v>2.5000000000000001E-3</v>
      </c>
      <c r="L2">
        <v>750</v>
      </c>
      <c r="M2">
        <v>15058</v>
      </c>
      <c r="N2">
        <v>-360</v>
      </c>
      <c r="O2">
        <v>0</v>
      </c>
      <c r="P2">
        <v>0</v>
      </c>
      <c r="Q2">
        <v>480</v>
      </c>
      <c r="R2">
        <v>60</v>
      </c>
    </row>
    <row r="3" spans="1:20" x14ac:dyDescent="0.2">
      <c r="A3" t="str">
        <f t="shared" ref="A3:A66" si="0">B3&amp;"."&amp;D3&amp;"."&amp;C3</f>
        <v>ICE.2018.7</v>
      </c>
      <c r="B3" t="s">
        <v>1403</v>
      </c>
      <c r="C3" t="str">
        <f t="shared" ref="C3:C66" si="1">TEXT(DATEVALUE("1"&amp;E3),"M")</f>
        <v>7</v>
      </c>
      <c r="D3" t="str">
        <f t="shared" ref="D3:D66" si="2">TEXT(DATEVALUE("1"&amp;E3),"YYYY")</f>
        <v>2018</v>
      </c>
      <c r="E3" s="51" t="s">
        <v>1372</v>
      </c>
      <c r="F3">
        <v>-0.71</v>
      </c>
      <c r="G3">
        <v>-0.71</v>
      </c>
      <c r="H3">
        <v>-0.72</v>
      </c>
      <c r="I3">
        <v>-0.72</v>
      </c>
      <c r="J3">
        <v>-0.71750000000000003</v>
      </c>
      <c r="K3">
        <v>2.5000000000000001E-3</v>
      </c>
      <c r="L3">
        <v>1271</v>
      </c>
      <c r="M3">
        <v>19426</v>
      </c>
      <c r="N3">
        <v>124</v>
      </c>
      <c r="O3">
        <v>0</v>
      </c>
      <c r="P3">
        <v>0</v>
      </c>
      <c r="Q3">
        <v>806</v>
      </c>
      <c r="R3">
        <v>279</v>
      </c>
    </row>
    <row r="4" spans="1:20" x14ac:dyDescent="0.2">
      <c r="A4" t="str">
        <f t="shared" si="0"/>
        <v>ICE.2018.8</v>
      </c>
      <c r="B4" t="s">
        <v>1403</v>
      </c>
      <c r="C4" t="str">
        <f t="shared" si="1"/>
        <v>8</v>
      </c>
      <c r="D4" t="str">
        <f t="shared" si="2"/>
        <v>2018</v>
      </c>
      <c r="E4" s="51" t="s">
        <v>1373</v>
      </c>
      <c r="J4">
        <v>-0.64</v>
      </c>
      <c r="K4">
        <v>2.5000000000000001E-3</v>
      </c>
      <c r="L4">
        <v>837</v>
      </c>
      <c r="M4">
        <v>19345</v>
      </c>
      <c r="N4">
        <v>-155</v>
      </c>
      <c r="O4">
        <v>0</v>
      </c>
      <c r="P4">
        <v>0</v>
      </c>
      <c r="Q4">
        <v>806</v>
      </c>
      <c r="R4">
        <v>0</v>
      </c>
    </row>
    <row r="5" spans="1:20" x14ac:dyDescent="0.2">
      <c r="A5" t="str">
        <f t="shared" si="0"/>
        <v>ICE.2018.9</v>
      </c>
      <c r="B5" t="s">
        <v>1403</v>
      </c>
      <c r="C5" t="str">
        <f t="shared" si="1"/>
        <v>9</v>
      </c>
      <c r="D5" t="str">
        <f t="shared" si="2"/>
        <v>2018</v>
      </c>
      <c r="E5" s="51" t="s">
        <v>1374</v>
      </c>
      <c r="F5">
        <v>-0.69</v>
      </c>
      <c r="G5">
        <v>-0.69</v>
      </c>
      <c r="H5">
        <v>-0.69</v>
      </c>
      <c r="I5">
        <v>-0.69</v>
      </c>
      <c r="J5">
        <v>-0.70250000000000001</v>
      </c>
      <c r="K5">
        <v>2.5000000000000001E-3</v>
      </c>
      <c r="L5">
        <v>960</v>
      </c>
      <c r="M5">
        <v>18342</v>
      </c>
      <c r="N5">
        <v>60</v>
      </c>
      <c r="O5">
        <v>0</v>
      </c>
      <c r="P5">
        <v>0</v>
      </c>
      <c r="Q5">
        <v>780</v>
      </c>
      <c r="R5">
        <v>0</v>
      </c>
    </row>
    <row r="6" spans="1:20" x14ac:dyDescent="0.2">
      <c r="A6" t="str">
        <f t="shared" si="0"/>
        <v>ICE.2018.10</v>
      </c>
      <c r="B6" t="s">
        <v>1403</v>
      </c>
      <c r="C6" t="str">
        <f t="shared" si="1"/>
        <v>10</v>
      </c>
      <c r="D6" t="str">
        <f t="shared" si="2"/>
        <v>2018</v>
      </c>
      <c r="E6" s="51" t="s">
        <v>1375</v>
      </c>
      <c r="J6">
        <v>-0.80500000000000005</v>
      </c>
      <c r="K6">
        <v>2.5000000000000001E-3</v>
      </c>
      <c r="L6">
        <v>434</v>
      </c>
      <c r="M6">
        <v>20868</v>
      </c>
      <c r="N6">
        <v>-217</v>
      </c>
      <c r="O6">
        <v>0</v>
      </c>
      <c r="P6">
        <v>0</v>
      </c>
      <c r="Q6">
        <v>434</v>
      </c>
      <c r="R6">
        <v>0</v>
      </c>
    </row>
    <row r="7" spans="1:20" x14ac:dyDescent="0.2">
      <c r="A7" t="str">
        <f t="shared" si="0"/>
        <v>ICE.2018.11</v>
      </c>
      <c r="B7" t="s">
        <v>1403</v>
      </c>
      <c r="C7" t="str">
        <f t="shared" si="1"/>
        <v>11</v>
      </c>
      <c r="D7" t="str">
        <f t="shared" si="2"/>
        <v>2018</v>
      </c>
      <c r="E7" s="51" t="s">
        <v>1376</v>
      </c>
      <c r="J7">
        <v>-0.71499999999999997</v>
      </c>
      <c r="K7">
        <v>2.5000000000000001E-2</v>
      </c>
      <c r="L7">
        <v>360</v>
      </c>
      <c r="M7">
        <v>10372</v>
      </c>
      <c r="N7">
        <v>180</v>
      </c>
      <c r="O7">
        <v>0</v>
      </c>
      <c r="P7">
        <v>0</v>
      </c>
      <c r="Q7">
        <v>90</v>
      </c>
      <c r="R7">
        <v>0</v>
      </c>
    </row>
    <row r="8" spans="1:20" x14ac:dyDescent="0.2">
      <c r="A8" t="str">
        <f t="shared" si="0"/>
        <v>ICE.2018.12</v>
      </c>
      <c r="B8" t="s">
        <v>1403</v>
      </c>
      <c r="C8" t="str">
        <f t="shared" si="1"/>
        <v>12</v>
      </c>
      <c r="D8" t="str">
        <f t="shared" si="2"/>
        <v>2018</v>
      </c>
      <c r="E8" s="51" t="s">
        <v>1377</v>
      </c>
      <c r="J8">
        <v>-0.46</v>
      </c>
      <c r="K8">
        <v>2.5000000000000001E-2</v>
      </c>
      <c r="L8">
        <v>372</v>
      </c>
      <c r="M8">
        <v>9912</v>
      </c>
      <c r="N8">
        <v>186</v>
      </c>
      <c r="O8">
        <v>0</v>
      </c>
      <c r="P8">
        <v>0</v>
      </c>
      <c r="Q8">
        <v>93</v>
      </c>
      <c r="R8">
        <v>0</v>
      </c>
    </row>
    <row r="9" spans="1:20" x14ac:dyDescent="0.2">
      <c r="A9" t="str">
        <f t="shared" si="0"/>
        <v>ICE.2019.1</v>
      </c>
      <c r="B9" t="s">
        <v>1403</v>
      </c>
      <c r="C9" t="str">
        <f t="shared" si="1"/>
        <v>1</v>
      </c>
      <c r="D9" t="str">
        <f t="shared" si="2"/>
        <v>2019</v>
      </c>
      <c r="E9" s="51" t="s">
        <v>1378</v>
      </c>
      <c r="J9">
        <v>-0.44750000000000001</v>
      </c>
      <c r="K9">
        <v>2.5000000000000001E-2</v>
      </c>
      <c r="L9">
        <v>434</v>
      </c>
      <c r="M9">
        <v>9878</v>
      </c>
      <c r="N9">
        <v>155</v>
      </c>
      <c r="O9">
        <v>0</v>
      </c>
      <c r="P9">
        <v>0</v>
      </c>
      <c r="Q9">
        <v>155</v>
      </c>
      <c r="R9">
        <v>0</v>
      </c>
    </row>
    <row r="10" spans="1:20" x14ac:dyDescent="0.2">
      <c r="A10" t="str">
        <f t="shared" si="0"/>
        <v>ICE.2019.2</v>
      </c>
      <c r="B10" t="s">
        <v>1403</v>
      </c>
      <c r="C10" t="str">
        <f t="shared" si="1"/>
        <v>2</v>
      </c>
      <c r="D10" t="str">
        <f t="shared" si="2"/>
        <v>2019</v>
      </c>
      <c r="E10" s="51" t="s">
        <v>1379</v>
      </c>
      <c r="J10">
        <v>-0.53500000000000003</v>
      </c>
      <c r="K10">
        <v>2.2499999999999999E-2</v>
      </c>
      <c r="L10">
        <v>392</v>
      </c>
      <c r="M10">
        <v>8787</v>
      </c>
      <c r="N10">
        <v>103</v>
      </c>
      <c r="O10">
        <v>0</v>
      </c>
      <c r="P10">
        <v>0</v>
      </c>
      <c r="Q10">
        <v>140</v>
      </c>
      <c r="R10">
        <v>0</v>
      </c>
    </row>
    <row r="11" spans="1:20" x14ac:dyDescent="0.2">
      <c r="A11" t="str">
        <f t="shared" si="0"/>
        <v>ICE.2019.3</v>
      </c>
      <c r="B11" t="s">
        <v>1403</v>
      </c>
      <c r="C11" t="str">
        <f t="shared" si="1"/>
        <v>3</v>
      </c>
      <c r="D11" t="str">
        <f t="shared" si="2"/>
        <v>2019</v>
      </c>
      <c r="E11" s="51" t="s">
        <v>1380</v>
      </c>
      <c r="J11">
        <v>-0.80500000000000005</v>
      </c>
      <c r="K11">
        <v>2.5000000000000001E-2</v>
      </c>
      <c r="L11">
        <v>744</v>
      </c>
      <c r="M11">
        <v>9637</v>
      </c>
      <c r="N11">
        <v>279</v>
      </c>
      <c r="O11">
        <v>0</v>
      </c>
      <c r="P11">
        <v>0</v>
      </c>
      <c r="Q11">
        <v>217</v>
      </c>
      <c r="R11">
        <v>248</v>
      </c>
    </row>
    <row r="12" spans="1:20" x14ac:dyDescent="0.2">
      <c r="A12" t="str">
        <f t="shared" si="0"/>
        <v>ICE.2019.4</v>
      </c>
      <c r="B12" t="s">
        <v>1403</v>
      </c>
      <c r="C12" t="str">
        <f t="shared" si="1"/>
        <v>4</v>
      </c>
      <c r="D12" t="str">
        <f t="shared" si="2"/>
        <v>2019</v>
      </c>
      <c r="E12" s="51" t="s">
        <v>1381</v>
      </c>
      <c r="F12">
        <v>-0.9</v>
      </c>
      <c r="G12">
        <v>-0.9</v>
      </c>
      <c r="H12">
        <v>-0.9</v>
      </c>
      <c r="I12">
        <v>-0.9</v>
      </c>
      <c r="J12">
        <v>-0.91500000000000004</v>
      </c>
      <c r="K12">
        <v>0.01</v>
      </c>
      <c r="L12">
        <v>390</v>
      </c>
      <c r="M12">
        <v>7710</v>
      </c>
      <c r="N12">
        <v>150</v>
      </c>
      <c r="O12">
        <v>0</v>
      </c>
      <c r="P12">
        <v>0</v>
      </c>
      <c r="Q12">
        <v>240</v>
      </c>
      <c r="R12">
        <v>0</v>
      </c>
    </row>
    <row r="13" spans="1:20" x14ac:dyDescent="0.2">
      <c r="A13" t="str">
        <f t="shared" si="0"/>
        <v>ICE.2019.5</v>
      </c>
      <c r="B13" t="s">
        <v>1403</v>
      </c>
      <c r="C13" t="str">
        <f t="shared" si="1"/>
        <v>5</v>
      </c>
      <c r="D13" t="str">
        <f t="shared" si="2"/>
        <v>2019</v>
      </c>
      <c r="E13" s="51" t="s">
        <v>1382</v>
      </c>
      <c r="F13">
        <v>-0.9</v>
      </c>
      <c r="G13">
        <v>-0.9</v>
      </c>
      <c r="H13">
        <v>-0.9</v>
      </c>
      <c r="I13">
        <v>-0.9</v>
      </c>
      <c r="J13">
        <v>-0.90500000000000003</v>
      </c>
      <c r="K13">
        <v>0.01</v>
      </c>
      <c r="L13">
        <v>403</v>
      </c>
      <c r="M13">
        <v>7960</v>
      </c>
      <c r="N13">
        <v>155</v>
      </c>
      <c r="O13">
        <v>0</v>
      </c>
      <c r="P13">
        <v>0</v>
      </c>
      <c r="Q13">
        <v>248</v>
      </c>
      <c r="R13">
        <v>0</v>
      </c>
    </row>
    <row r="14" spans="1:20" x14ac:dyDescent="0.2">
      <c r="A14" t="str">
        <f t="shared" si="0"/>
        <v>ICE.2019.6</v>
      </c>
      <c r="B14" t="s">
        <v>1403</v>
      </c>
      <c r="C14" t="str">
        <f t="shared" si="1"/>
        <v>6</v>
      </c>
      <c r="D14" t="str">
        <f t="shared" si="2"/>
        <v>2019</v>
      </c>
      <c r="E14" s="51" t="s">
        <v>1383</v>
      </c>
      <c r="J14">
        <v>-0.90249999999999997</v>
      </c>
      <c r="K14">
        <v>0.01</v>
      </c>
      <c r="L14">
        <v>360</v>
      </c>
      <c r="M14">
        <v>7737</v>
      </c>
      <c r="N14">
        <v>180</v>
      </c>
      <c r="O14">
        <v>0</v>
      </c>
      <c r="P14">
        <v>0</v>
      </c>
      <c r="Q14">
        <v>240</v>
      </c>
      <c r="R14">
        <v>0</v>
      </c>
    </row>
    <row r="15" spans="1:20" x14ac:dyDescent="0.2">
      <c r="A15" t="str">
        <f t="shared" si="0"/>
        <v>ICE.2019.7</v>
      </c>
      <c r="B15" t="s">
        <v>1403</v>
      </c>
      <c r="C15" t="str">
        <f t="shared" si="1"/>
        <v>7</v>
      </c>
      <c r="D15" t="str">
        <f t="shared" si="2"/>
        <v>2019</v>
      </c>
      <c r="E15" s="51" t="s">
        <v>1384</v>
      </c>
      <c r="J15">
        <v>-0.78749999999999998</v>
      </c>
      <c r="K15">
        <v>0.01</v>
      </c>
      <c r="L15">
        <v>310</v>
      </c>
      <c r="M15">
        <v>7634</v>
      </c>
      <c r="N15">
        <v>93</v>
      </c>
      <c r="O15">
        <v>0</v>
      </c>
      <c r="P15">
        <v>0</v>
      </c>
      <c r="Q15">
        <v>186</v>
      </c>
      <c r="R15">
        <v>0</v>
      </c>
    </row>
    <row r="16" spans="1:20" x14ac:dyDescent="0.2">
      <c r="A16" t="str">
        <f t="shared" si="0"/>
        <v>ICE.2019.8</v>
      </c>
      <c r="B16" t="s">
        <v>1403</v>
      </c>
      <c r="C16" t="str">
        <f t="shared" si="1"/>
        <v>8</v>
      </c>
      <c r="D16" t="str">
        <f t="shared" si="2"/>
        <v>2019</v>
      </c>
      <c r="E16" s="51" t="s">
        <v>1385</v>
      </c>
      <c r="J16">
        <v>-0.78500000000000003</v>
      </c>
      <c r="K16">
        <v>0.01</v>
      </c>
      <c r="L16">
        <v>310</v>
      </c>
      <c r="M16">
        <v>7638</v>
      </c>
      <c r="N16">
        <v>93</v>
      </c>
      <c r="O16">
        <v>0</v>
      </c>
      <c r="P16">
        <v>0</v>
      </c>
      <c r="Q16">
        <v>186</v>
      </c>
      <c r="R16">
        <v>0</v>
      </c>
    </row>
    <row r="17" spans="1:18" x14ac:dyDescent="0.2">
      <c r="A17" t="str">
        <f t="shared" si="0"/>
        <v>ICE.2019.9</v>
      </c>
      <c r="B17" t="s">
        <v>1403</v>
      </c>
      <c r="C17" t="str">
        <f t="shared" si="1"/>
        <v>9</v>
      </c>
      <c r="D17" t="str">
        <f t="shared" si="2"/>
        <v>2019</v>
      </c>
      <c r="E17" s="51" t="s">
        <v>1386</v>
      </c>
      <c r="J17">
        <v>-0.79749999999999999</v>
      </c>
      <c r="K17">
        <v>0.01</v>
      </c>
      <c r="L17">
        <v>300</v>
      </c>
      <c r="M17">
        <v>7435</v>
      </c>
      <c r="N17">
        <v>90</v>
      </c>
      <c r="O17">
        <v>0</v>
      </c>
      <c r="P17">
        <v>0</v>
      </c>
      <c r="Q17">
        <v>180</v>
      </c>
      <c r="R17">
        <v>0</v>
      </c>
    </row>
    <row r="18" spans="1:18" x14ac:dyDescent="0.2">
      <c r="A18" t="str">
        <f t="shared" si="0"/>
        <v>ICE.2019.10</v>
      </c>
      <c r="B18" t="s">
        <v>1403</v>
      </c>
      <c r="C18" t="str">
        <f t="shared" si="1"/>
        <v>10</v>
      </c>
      <c r="D18" t="str">
        <f t="shared" si="2"/>
        <v>2019</v>
      </c>
      <c r="E18" s="51" t="s">
        <v>1387</v>
      </c>
      <c r="J18">
        <v>-0.79249999999999998</v>
      </c>
      <c r="K18">
        <v>0.01</v>
      </c>
      <c r="L18">
        <v>310</v>
      </c>
      <c r="M18">
        <v>7833</v>
      </c>
      <c r="N18">
        <v>124</v>
      </c>
      <c r="O18">
        <v>0</v>
      </c>
      <c r="P18">
        <v>0</v>
      </c>
      <c r="Q18">
        <v>186</v>
      </c>
      <c r="R18">
        <v>0</v>
      </c>
    </row>
    <row r="19" spans="1:18" x14ac:dyDescent="0.2">
      <c r="A19" t="str">
        <f t="shared" si="0"/>
        <v>ICE.2019.11</v>
      </c>
      <c r="B19" t="s">
        <v>1403</v>
      </c>
      <c r="C19" t="str">
        <f t="shared" si="1"/>
        <v>11</v>
      </c>
      <c r="D19" t="str">
        <f t="shared" si="2"/>
        <v>2019</v>
      </c>
      <c r="E19" s="51" t="s">
        <v>1388</v>
      </c>
      <c r="J19">
        <v>-0.6925</v>
      </c>
      <c r="K19">
        <v>7.4999999999999997E-3</v>
      </c>
      <c r="L19">
        <v>0</v>
      </c>
      <c r="M19">
        <v>5058</v>
      </c>
      <c r="N19">
        <v>0</v>
      </c>
      <c r="O19">
        <v>0</v>
      </c>
      <c r="P19">
        <v>0</v>
      </c>
      <c r="Q19">
        <v>0</v>
      </c>
      <c r="R19">
        <v>0</v>
      </c>
    </row>
    <row r="20" spans="1:18" x14ac:dyDescent="0.2">
      <c r="A20" t="str">
        <f t="shared" si="0"/>
        <v>ICE.2019.12</v>
      </c>
      <c r="B20" t="s">
        <v>1403</v>
      </c>
      <c r="C20" t="str">
        <f t="shared" si="1"/>
        <v>12</v>
      </c>
      <c r="D20" t="str">
        <f t="shared" si="2"/>
        <v>2019</v>
      </c>
      <c r="E20" s="51" t="s">
        <v>1389</v>
      </c>
      <c r="J20">
        <v>-0.6</v>
      </c>
      <c r="K20">
        <v>7.4999999999999997E-3</v>
      </c>
      <c r="L20">
        <v>0</v>
      </c>
      <c r="M20">
        <v>5225</v>
      </c>
      <c r="N20">
        <v>0</v>
      </c>
      <c r="O20">
        <v>0</v>
      </c>
      <c r="P20">
        <v>0</v>
      </c>
      <c r="Q20">
        <v>0</v>
      </c>
      <c r="R20">
        <v>0</v>
      </c>
    </row>
    <row r="21" spans="1:18" x14ac:dyDescent="0.2">
      <c r="A21" t="str">
        <f t="shared" si="0"/>
        <v>ICE.2020.1</v>
      </c>
      <c r="B21" t="s">
        <v>1403</v>
      </c>
      <c r="C21" t="str">
        <f t="shared" si="1"/>
        <v>1</v>
      </c>
      <c r="D21" t="str">
        <f t="shared" si="2"/>
        <v>2020</v>
      </c>
      <c r="E21" s="51" t="s">
        <v>1390</v>
      </c>
      <c r="J21">
        <v>-0.67749999999999999</v>
      </c>
      <c r="K21">
        <v>7.4999999999999997E-3</v>
      </c>
      <c r="L21">
        <v>0</v>
      </c>
      <c r="M21">
        <v>3967</v>
      </c>
      <c r="N21">
        <v>0</v>
      </c>
      <c r="O21">
        <v>0</v>
      </c>
      <c r="P21">
        <v>0</v>
      </c>
      <c r="Q21">
        <v>0</v>
      </c>
      <c r="R21">
        <v>0</v>
      </c>
    </row>
    <row r="22" spans="1:18" x14ac:dyDescent="0.2">
      <c r="A22" t="str">
        <f t="shared" si="0"/>
        <v>ICE.2020.2</v>
      </c>
      <c r="B22" t="s">
        <v>1403</v>
      </c>
      <c r="C22" t="str">
        <f t="shared" si="1"/>
        <v>2</v>
      </c>
      <c r="D22" t="str">
        <f t="shared" si="2"/>
        <v>2020</v>
      </c>
      <c r="E22" s="51" t="s">
        <v>1391</v>
      </c>
      <c r="J22">
        <v>-0.6825</v>
      </c>
      <c r="K22">
        <v>7.4999999999999997E-3</v>
      </c>
      <c r="L22">
        <v>0</v>
      </c>
      <c r="M22">
        <v>3697</v>
      </c>
      <c r="N22">
        <v>0</v>
      </c>
      <c r="O22">
        <v>0</v>
      </c>
      <c r="P22">
        <v>0</v>
      </c>
      <c r="Q22">
        <v>0</v>
      </c>
      <c r="R22">
        <v>0</v>
      </c>
    </row>
    <row r="23" spans="1:18" x14ac:dyDescent="0.2">
      <c r="A23" t="str">
        <f t="shared" si="0"/>
        <v>ICE.2020.3</v>
      </c>
      <c r="B23" t="s">
        <v>1403</v>
      </c>
      <c r="C23" t="str">
        <f t="shared" si="1"/>
        <v>3</v>
      </c>
      <c r="D23" t="str">
        <f t="shared" si="2"/>
        <v>2020</v>
      </c>
      <c r="E23" s="51" t="s">
        <v>1392</v>
      </c>
      <c r="J23">
        <v>-0.72250000000000003</v>
      </c>
      <c r="K23">
        <v>7.4999999999999997E-3</v>
      </c>
      <c r="L23">
        <v>0</v>
      </c>
      <c r="M23">
        <v>3944</v>
      </c>
      <c r="N23">
        <v>0</v>
      </c>
      <c r="O23">
        <v>0</v>
      </c>
      <c r="P23">
        <v>0</v>
      </c>
      <c r="Q23">
        <v>0</v>
      </c>
      <c r="R23">
        <v>0</v>
      </c>
    </row>
    <row r="24" spans="1:18" x14ac:dyDescent="0.2">
      <c r="A24" t="str">
        <f t="shared" si="0"/>
        <v>ICE.2020.4</v>
      </c>
      <c r="B24" t="s">
        <v>1403</v>
      </c>
      <c r="C24" t="str">
        <f t="shared" si="1"/>
        <v>4</v>
      </c>
      <c r="D24" t="str">
        <f t="shared" si="2"/>
        <v>2020</v>
      </c>
      <c r="E24" s="51" t="s">
        <v>1393</v>
      </c>
      <c r="J24">
        <v>-0.875</v>
      </c>
      <c r="K24">
        <v>1.4999999999999999E-2</v>
      </c>
      <c r="L24">
        <v>0</v>
      </c>
      <c r="M24">
        <v>4129</v>
      </c>
      <c r="N24">
        <v>0</v>
      </c>
      <c r="O24">
        <v>0</v>
      </c>
      <c r="P24">
        <v>0</v>
      </c>
      <c r="Q24">
        <v>0</v>
      </c>
      <c r="R24">
        <v>0</v>
      </c>
    </row>
    <row r="25" spans="1:18" x14ac:dyDescent="0.2">
      <c r="A25" t="str">
        <f t="shared" si="0"/>
        <v>ICE.2020.5</v>
      </c>
      <c r="B25" t="s">
        <v>1403</v>
      </c>
      <c r="C25" t="str">
        <f t="shared" si="1"/>
        <v>5</v>
      </c>
      <c r="D25" t="str">
        <f t="shared" si="2"/>
        <v>2020</v>
      </c>
      <c r="E25" s="51" t="s">
        <v>1394</v>
      </c>
      <c r="J25">
        <v>-0.87749999999999995</v>
      </c>
      <c r="K25">
        <v>1.4999999999999999E-2</v>
      </c>
      <c r="L25">
        <v>0</v>
      </c>
      <c r="M25">
        <v>4260</v>
      </c>
      <c r="N25">
        <v>0</v>
      </c>
      <c r="O25">
        <v>0</v>
      </c>
      <c r="P25">
        <v>0</v>
      </c>
      <c r="Q25">
        <v>0</v>
      </c>
      <c r="R25">
        <v>0</v>
      </c>
    </row>
    <row r="26" spans="1:18" x14ac:dyDescent="0.2">
      <c r="A26" t="str">
        <f t="shared" si="0"/>
        <v>ICE.2020.6</v>
      </c>
      <c r="B26" t="s">
        <v>1403</v>
      </c>
      <c r="C26" t="str">
        <f t="shared" si="1"/>
        <v>6</v>
      </c>
      <c r="D26" t="str">
        <f t="shared" si="2"/>
        <v>2020</v>
      </c>
      <c r="E26" s="51" t="s">
        <v>1395</v>
      </c>
      <c r="J26">
        <v>-0.87749999999999995</v>
      </c>
      <c r="K26">
        <v>1.4999999999999999E-2</v>
      </c>
      <c r="L26">
        <v>0</v>
      </c>
      <c r="M26">
        <v>4129</v>
      </c>
      <c r="N26">
        <v>0</v>
      </c>
      <c r="O26">
        <v>0</v>
      </c>
      <c r="P26">
        <v>0</v>
      </c>
      <c r="Q26">
        <v>0</v>
      </c>
      <c r="R26">
        <v>0</v>
      </c>
    </row>
    <row r="27" spans="1:18" x14ac:dyDescent="0.2">
      <c r="A27" t="str">
        <f t="shared" si="0"/>
        <v>ICE.2020.7</v>
      </c>
      <c r="B27" t="s">
        <v>1403</v>
      </c>
      <c r="C27" t="str">
        <f t="shared" si="1"/>
        <v>7</v>
      </c>
      <c r="D27" t="str">
        <f t="shared" si="2"/>
        <v>2020</v>
      </c>
      <c r="E27" s="51" t="s">
        <v>1396</v>
      </c>
      <c r="J27">
        <v>-0.77249999999999996</v>
      </c>
      <c r="K27">
        <v>1.4999999999999999E-2</v>
      </c>
      <c r="L27">
        <v>0</v>
      </c>
      <c r="M27">
        <v>4207</v>
      </c>
      <c r="N27">
        <v>0</v>
      </c>
      <c r="O27">
        <v>0</v>
      </c>
      <c r="P27">
        <v>0</v>
      </c>
      <c r="Q27">
        <v>0</v>
      </c>
      <c r="R27">
        <v>0</v>
      </c>
    </row>
    <row r="28" spans="1:18" x14ac:dyDescent="0.2">
      <c r="A28" t="str">
        <f t="shared" si="0"/>
        <v>ICE.2020.8</v>
      </c>
      <c r="B28" t="s">
        <v>1403</v>
      </c>
      <c r="C28" t="str">
        <f t="shared" si="1"/>
        <v>8</v>
      </c>
      <c r="D28" t="str">
        <f t="shared" si="2"/>
        <v>2020</v>
      </c>
      <c r="E28" s="51" t="s">
        <v>1397</v>
      </c>
      <c r="J28">
        <v>-0.77</v>
      </c>
      <c r="K28">
        <v>1.4999999999999999E-2</v>
      </c>
      <c r="L28">
        <v>0</v>
      </c>
      <c r="M28">
        <v>4207</v>
      </c>
      <c r="N28">
        <v>0</v>
      </c>
      <c r="O28">
        <v>0</v>
      </c>
      <c r="P28">
        <v>0</v>
      </c>
      <c r="Q28">
        <v>0</v>
      </c>
      <c r="R28">
        <v>0</v>
      </c>
    </row>
    <row r="29" spans="1:18" x14ac:dyDescent="0.2">
      <c r="A29" t="str">
        <f t="shared" si="0"/>
        <v>ICE.2020.9</v>
      </c>
      <c r="B29" t="s">
        <v>1403</v>
      </c>
      <c r="C29" t="str">
        <f t="shared" si="1"/>
        <v>9</v>
      </c>
      <c r="D29" t="str">
        <f t="shared" si="2"/>
        <v>2020</v>
      </c>
      <c r="E29" s="51" t="s">
        <v>1398</v>
      </c>
      <c r="J29">
        <v>-0.78249999999999997</v>
      </c>
      <c r="K29">
        <v>1.4999999999999999E-2</v>
      </c>
      <c r="L29">
        <v>0</v>
      </c>
      <c r="M29">
        <v>4026</v>
      </c>
      <c r="N29">
        <v>0</v>
      </c>
      <c r="O29">
        <v>0</v>
      </c>
      <c r="P29">
        <v>0</v>
      </c>
      <c r="Q29">
        <v>0</v>
      </c>
      <c r="R29">
        <v>0</v>
      </c>
    </row>
    <row r="30" spans="1:18" x14ac:dyDescent="0.2">
      <c r="A30" t="str">
        <f t="shared" si="0"/>
        <v>ICE.2020.10</v>
      </c>
      <c r="B30" t="s">
        <v>1403</v>
      </c>
      <c r="C30" t="str">
        <f t="shared" si="1"/>
        <v>10</v>
      </c>
      <c r="D30" t="str">
        <f t="shared" si="2"/>
        <v>2020</v>
      </c>
      <c r="E30" s="51" t="s">
        <v>1399</v>
      </c>
      <c r="J30">
        <v>-0.83499999999999996</v>
      </c>
      <c r="K30">
        <v>1.4999999999999999E-2</v>
      </c>
      <c r="L30">
        <v>0</v>
      </c>
      <c r="M30">
        <v>4159</v>
      </c>
      <c r="N30">
        <v>0</v>
      </c>
      <c r="O30">
        <v>0</v>
      </c>
      <c r="P30">
        <v>0</v>
      </c>
      <c r="Q30">
        <v>0</v>
      </c>
      <c r="R30">
        <v>0</v>
      </c>
    </row>
    <row r="31" spans="1:18" x14ac:dyDescent="0.2">
      <c r="A31" t="str">
        <f t="shared" si="0"/>
        <v>ICE.2020.11</v>
      </c>
      <c r="B31" t="s">
        <v>1403</v>
      </c>
      <c r="C31" t="str">
        <f t="shared" si="1"/>
        <v>11</v>
      </c>
      <c r="D31" t="str">
        <f t="shared" si="2"/>
        <v>2020</v>
      </c>
      <c r="E31" s="51" t="s">
        <v>1400</v>
      </c>
      <c r="J31">
        <v>-0.59</v>
      </c>
      <c r="K31">
        <v>7.4999999999999997E-3</v>
      </c>
      <c r="L31">
        <v>0</v>
      </c>
      <c r="M31">
        <v>3136</v>
      </c>
      <c r="N31">
        <v>0</v>
      </c>
      <c r="O31">
        <v>0</v>
      </c>
      <c r="P31">
        <v>0</v>
      </c>
      <c r="Q31">
        <v>0</v>
      </c>
      <c r="R31">
        <v>0</v>
      </c>
    </row>
    <row r="32" spans="1:18" x14ac:dyDescent="0.2">
      <c r="A32" t="str">
        <f t="shared" si="0"/>
        <v>ICE.2020.12</v>
      </c>
      <c r="B32" t="s">
        <v>1403</v>
      </c>
      <c r="C32" t="str">
        <f t="shared" si="1"/>
        <v>12</v>
      </c>
      <c r="D32" t="str">
        <f t="shared" si="2"/>
        <v>2020</v>
      </c>
      <c r="E32" s="51" t="s">
        <v>1401</v>
      </c>
      <c r="J32">
        <v>-0.51</v>
      </c>
      <c r="K32">
        <v>7.4999999999999997E-3</v>
      </c>
      <c r="L32">
        <v>0</v>
      </c>
      <c r="M32">
        <v>3242</v>
      </c>
      <c r="N32">
        <v>0</v>
      </c>
      <c r="O32">
        <v>0</v>
      </c>
      <c r="P32">
        <v>0</v>
      </c>
      <c r="Q32">
        <v>0</v>
      </c>
      <c r="R32">
        <v>0</v>
      </c>
    </row>
    <row r="33" spans="1:18" x14ac:dyDescent="0.2">
      <c r="A33" t="str">
        <f t="shared" si="0"/>
        <v>ICE.2021.1</v>
      </c>
      <c r="B33" t="s">
        <v>1403</v>
      </c>
      <c r="C33" t="str">
        <f t="shared" si="1"/>
        <v>1</v>
      </c>
      <c r="D33" t="str">
        <f t="shared" si="2"/>
        <v>2021</v>
      </c>
      <c r="E33" s="51" t="s">
        <v>1405</v>
      </c>
      <c r="J33">
        <v>-0.53749999999999998</v>
      </c>
      <c r="K33">
        <v>7.4999999999999997E-3</v>
      </c>
      <c r="L33">
        <v>0</v>
      </c>
      <c r="M33">
        <v>2635</v>
      </c>
      <c r="N33">
        <v>0</v>
      </c>
      <c r="O33">
        <v>0</v>
      </c>
      <c r="P33">
        <v>0</v>
      </c>
      <c r="Q33">
        <v>0</v>
      </c>
      <c r="R33">
        <v>0</v>
      </c>
    </row>
    <row r="34" spans="1:18" x14ac:dyDescent="0.2">
      <c r="A34" t="str">
        <f t="shared" si="0"/>
        <v>ICE.2021.2</v>
      </c>
      <c r="B34" t="s">
        <v>1403</v>
      </c>
      <c r="C34" t="str">
        <f t="shared" si="1"/>
        <v>2</v>
      </c>
      <c r="D34" t="str">
        <f t="shared" si="2"/>
        <v>2021</v>
      </c>
      <c r="E34" s="51" t="s">
        <v>1406</v>
      </c>
      <c r="J34">
        <v>-0.54500000000000004</v>
      </c>
      <c r="K34">
        <v>7.4999999999999997E-3</v>
      </c>
      <c r="L34">
        <v>0</v>
      </c>
      <c r="M34">
        <v>2380</v>
      </c>
      <c r="N34">
        <v>0</v>
      </c>
      <c r="O34">
        <v>0</v>
      </c>
      <c r="P34">
        <v>0</v>
      </c>
      <c r="Q34">
        <v>0</v>
      </c>
      <c r="R34">
        <v>0</v>
      </c>
    </row>
    <row r="35" spans="1:18" x14ac:dyDescent="0.2">
      <c r="A35" t="str">
        <f t="shared" si="0"/>
        <v>ICE.2021.3</v>
      </c>
      <c r="B35" t="s">
        <v>1403</v>
      </c>
      <c r="C35" t="str">
        <f t="shared" si="1"/>
        <v>3</v>
      </c>
      <c r="D35" t="str">
        <f t="shared" si="2"/>
        <v>2021</v>
      </c>
      <c r="E35" s="51" t="s">
        <v>1407</v>
      </c>
      <c r="J35">
        <v>-0.57750000000000001</v>
      </c>
      <c r="K35">
        <v>7.4999999999999997E-3</v>
      </c>
      <c r="L35">
        <v>0</v>
      </c>
      <c r="M35">
        <v>2635</v>
      </c>
      <c r="N35">
        <v>0</v>
      </c>
      <c r="O35">
        <v>0</v>
      </c>
      <c r="P35">
        <v>0</v>
      </c>
      <c r="Q35">
        <v>0</v>
      </c>
      <c r="R35">
        <v>0</v>
      </c>
    </row>
    <row r="36" spans="1:18" x14ac:dyDescent="0.2">
      <c r="A36" t="str">
        <f t="shared" si="0"/>
        <v>ICE.2021.4</v>
      </c>
      <c r="B36" t="s">
        <v>1403</v>
      </c>
      <c r="C36" t="str">
        <f t="shared" si="1"/>
        <v>4</v>
      </c>
      <c r="D36" t="str">
        <f t="shared" si="2"/>
        <v>2021</v>
      </c>
      <c r="E36" s="51" t="s">
        <v>1408</v>
      </c>
      <c r="J36">
        <v>-0.83250000000000002</v>
      </c>
      <c r="K36">
        <v>2.5000000000000001E-3</v>
      </c>
      <c r="L36">
        <v>0</v>
      </c>
      <c r="M36">
        <v>3510</v>
      </c>
      <c r="N36">
        <v>0</v>
      </c>
      <c r="O36">
        <v>0</v>
      </c>
      <c r="P36">
        <v>0</v>
      </c>
      <c r="Q36">
        <v>0</v>
      </c>
      <c r="R36">
        <v>0</v>
      </c>
    </row>
    <row r="37" spans="1:18" x14ac:dyDescent="0.2">
      <c r="A37" t="str">
        <f t="shared" si="0"/>
        <v>ICE.2021.5</v>
      </c>
      <c r="B37" t="s">
        <v>1403</v>
      </c>
      <c r="C37" t="str">
        <f t="shared" si="1"/>
        <v>5</v>
      </c>
      <c r="D37" t="str">
        <f t="shared" si="2"/>
        <v>2021</v>
      </c>
      <c r="E37" s="51" t="s">
        <v>1409</v>
      </c>
      <c r="J37">
        <v>-0.83499999999999996</v>
      </c>
      <c r="K37">
        <v>2.5000000000000001E-3</v>
      </c>
      <c r="L37">
        <v>0</v>
      </c>
      <c r="M37">
        <v>3651</v>
      </c>
      <c r="N37">
        <v>0</v>
      </c>
      <c r="O37">
        <v>0</v>
      </c>
      <c r="P37">
        <v>0</v>
      </c>
      <c r="Q37">
        <v>0</v>
      </c>
      <c r="R37">
        <v>0</v>
      </c>
    </row>
    <row r="38" spans="1:18" x14ac:dyDescent="0.2">
      <c r="A38" t="str">
        <f t="shared" si="0"/>
        <v>ICE.2021.6</v>
      </c>
      <c r="B38" t="s">
        <v>1403</v>
      </c>
      <c r="C38" t="str">
        <f t="shared" si="1"/>
        <v>6</v>
      </c>
      <c r="D38" t="str">
        <f t="shared" si="2"/>
        <v>2021</v>
      </c>
      <c r="E38" s="51" t="s">
        <v>1410</v>
      </c>
      <c r="J38">
        <v>-0.83499999999999996</v>
      </c>
      <c r="K38">
        <v>2.5000000000000001E-3</v>
      </c>
      <c r="L38">
        <v>0</v>
      </c>
      <c r="M38">
        <v>3534</v>
      </c>
      <c r="N38">
        <v>0</v>
      </c>
      <c r="O38">
        <v>0</v>
      </c>
      <c r="P38">
        <v>0</v>
      </c>
      <c r="Q38">
        <v>0</v>
      </c>
      <c r="R38">
        <v>0</v>
      </c>
    </row>
    <row r="39" spans="1:18" x14ac:dyDescent="0.2">
      <c r="A39" t="str">
        <f t="shared" si="0"/>
        <v>ICE.2021.7</v>
      </c>
      <c r="B39" t="s">
        <v>1403</v>
      </c>
      <c r="C39" t="str">
        <f t="shared" si="1"/>
        <v>7</v>
      </c>
      <c r="D39" t="str">
        <f t="shared" si="2"/>
        <v>2021</v>
      </c>
      <c r="E39" s="51" t="s">
        <v>1411</v>
      </c>
      <c r="J39">
        <v>-0.73499999999999999</v>
      </c>
      <c r="K39">
        <v>2.5000000000000001E-3</v>
      </c>
      <c r="L39">
        <v>0</v>
      </c>
      <c r="M39">
        <v>3651</v>
      </c>
      <c r="N39">
        <v>0</v>
      </c>
      <c r="O39">
        <v>0</v>
      </c>
      <c r="P39">
        <v>0</v>
      </c>
      <c r="Q39">
        <v>0</v>
      </c>
      <c r="R39">
        <v>0</v>
      </c>
    </row>
    <row r="40" spans="1:18" x14ac:dyDescent="0.2">
      <c r="A40" t="str">
        <f t="shared" si="0"/>
        <v>ICE.2021.8</v>
      </c>
      <c r="B40" t="s">
        <v>1403</v>
      </c>
      <c r="C40" t="str">
        <f t="shared" si="1"/>
        <v>8</v>
      </c>
      <c r="D40" t="str">
        <f t="shared" si="2"/>
        <v>2021</v>
      </c>
      <c r="E40" s="51" t="s">
        <v>1412</v>
      </c>
      <c r="J40">
        <v>-0.73250000000000004</v>
      </c>
      <c r="K40">
        <v>2.5000000000000001E-3</v>
      </c>
      <c r="L40">
        <v>0</v>
      </c>
      <c r="M40">
        <v>3651</v>
      </c>
      <c r="N40">
        <v>0</v>
      </c>
      <c r="O40">
        <v>0</v>
      </c>
      <c r="P40">
        <v>0</v>
      </c>
      <c r="Q40">
        <v>0</v>
      </c>
      <c r="R40">
        <v>0</v>
      </c>
    </row>
    <row r="41" spans="1:18" x14ac:dyDescent="0.2">
      <c r="A41" t="str">
        <f t="shared" si="0"/>
        <v>ICE.2021.9</v>
      </c>
      <c r="B41" t="s">
        <v>1403</v>
      </c>
      <c r="C41" t="str">
        <f t="shared" si="1"/>
        <v>9</v>
      </c>
      <c r="D41" t="str">
        <f t="shared" si="2"/>
        <v>2021</v>
      </c>
      <c r="E41" s="51" t="s">
        <v>1413</v>
      </c>
      <c r="J41">
        <v>-0.745</v>
      </c>
      <c r="K41">
        <v>2.5000000000000001E-3</v>
      </c>
      <c r="L41">
        <v>0</v>
      </c>
      <c r="M41">
        <v>3534</v>
      </c>
      <c r="N41">
        <v>0</v>
      </c>
      <c r="O41">
        <v>0</v>
      </c>
      <c r="P41">
        <v>0</v>
      </c>
      <c r="Q41">
        <v>0</v>
      </c>
      <c r="R41">
        <v>0</v>
      </c>
    </row>
    <row r="42" spans="1:18" x14ac:dyDescent="0.2">
      <c r="A42" t="str">
        <f t="shared" si="0"/>
        <v>ICE.2021.10</v>
      </c>
      <c r="B42" t="s">
        <v>1403</v>
      </c>
      <c r="C42" t="str">
        <f t="shared" si="1"/>
        <v>10</v>
      </c>
      <c r="D42" t="str">
        <f t="shared" si="2"/>
        <v>2021</v>
      </c>
      <c r="E42" s="51" t="s">
        <v>1414</v>
      </c>
      <c r="J42">
        <v>-0.79249999999999998</v>
      </c>
      <c r="K42">
        <v>2.5000000000000001E-3</v>
      </c>
      <c r="L42">
        <v>0</v>
      </c>
      <c r="M42">
        <v>3627</v>
      </c>
      <c r="N42">
        <v>0</v>
      </c>
      <c r="O42">
        <v>0</v>
      </c>
      <c r="P42">
        <v>0</v>
      </c>
      <c r="Q42">
        <v>0</v>
      </c>
      <c r="R42">
        <v>0</v>
      </c>
    </row>
    <row r="43" spans="1:18" x14ac:dyDescent="0.2">
      <c r="A43" t="str">
        <f t="shared" si="0"/>
        <v>ICE.2021.11</v>
      </c>
      <c r="B43" t="s">
        <v>1403</v>
      </c>
      <c r="C43" t="str">
        <f t="shared" si="1"/>
        <v>11</v>
      </c>
      <c r="D43" t="str">
        <f t="shared" si="2"/>
        <v>2021</v>
      </c>
      <c r="E43" s="51" t="s">
        <v>1415</v>
      </c>
      <c r="J43">
        <v>-0.5</v>
      </c>
      <c r="K43">
        <v>7.4999999999999997E-3</v>
      </c>
      <c r="L43">
        <v>0</v>
      </c>
      <c r="M43">
        <v>2220</v>
      </c>
      <c r="N43">
        <v>0</v>
      </c>
      <c r="O43">
        <v>0</v>
      </c>
      <c r="P43">
        <v>0</v>
      </c>
      <c r="Q43">
        <v>0</v>
      </c>
      <c r="R43">
        <v>0</v>
      </c>
    </row>
    <row r="44" spans="1:18" x14ac:dyDescent="0.2">
      <c r="A44" t="str">
        <f t="shared" si="0"/>
        <v>ICE.2021.12</v>
      </c>
      <c r="B44" t="s">
        <v>1403</v>
      </c>
      <c r="C44" t="str">
        <f t="shared" si="1"/>
        <v>12</v>
      </c>
      <c r="D44" t="str">
        <f t="shared" si="2"/>
        <v>2021</v>
      </c>
      <c r="E44" s="51" t="s">
        <v>1416</v>
      </c>
      <c r="J44">
        <v>-0.42749999999999999</v>
      </c>
      <c r="K44">
        <v>7.4999999999999997E-3</v>
      </c>
      <c r="L44">
        <v>0</v>
      </c>
      <c r="M44">
        <v>2294</v>
      </c>
      <c r="N44">
        <v>0</v>
      </c>
      <c r="O44">
        <v>0</v>
      </c>
      <c r="P44">
        <v>0</v>
      </c>
      <c r="Q44">
        <v>0</v>
      </c>
      <c r="R44">
        <v>0</v>
      </c>
    </row>
    <row r="45" spans="1:18" x14ac:dyDescent="0.2">
      <c r="A45" t="str">
        <f t="shared" si="0"/>
        <v>ICE.2022.1</v>
      </c>
      <c r="B45" t="s">
        <v>1403</v>
      </c>
      <c r="C45" t="str">
        <f t="shared" si="1"/>
        <v>1</v>
      </c>
      <c r="D45" t="str">
        <f t="shared" si="2"/>
        <v>2022</v>
      </c>
      <c r="E45" s="51" t="s">
        <v>1485</v>
      </c>
      <c r="J45">
        <v>-0.45250000000000001</v>
      </c>
      <c r="K45">
        <v>7.4999999999999997E-3</v>
      </c>
      <c r="L45">
        <v>0</v>
      </c>
      <c r="M45">
        <v>1271</v>
      </c>
      <c r="N45">
        <v>0</v>
      </c>
      <c r="O45">
        <v>0</v>
      </c>
      <c r="P45">
        <v>0</v>
      </c>
      <c r="Q45">
        <v>0</v>
      </c>
      <c r="R45">
        <v>0</v>
      </c>
    </row>
    <row r="46" spans="1:18" x14ac:dyDescent="0.2">
      <c r="A46" t="str">
        <f t="shared" si="0"/>
        <v>ICE.2022.2</v>
      </c>
      <c r="B46" t="s">
        <v>1403</v>
      </c>
      <c r="C46" t="str">
        <f t="shared" si="1"/>
        <v>2</v>
      </c>
      <c r="D46" t="str">
        <f t="shared" si="2"/>
        <v>2022</v>
      </c>
      <c r="E46" s="51" t="s">
        <v>1486</v>
      </c>
      <c r="J46">
        <v>-0.46250000000000002</v>
      </c>
      <c r="K46">
        <v>7.4999999999999997E-3</v>
      </c>
      <c r="L46">
        <v>0</v>
      </c>
      <c r="M46">
        <v>1148</v>
      </c>
      <c r="N46">
        <v>0</v>
      </c>
      <c r="O46">
        <v>0</v>
      </c>
      <c r="P46">
        <v>0</v>
      </c>
      <c r="Q46">
        <v>0</v>
      </c>
      <c r="R46">
        <v>0</v>
      </c>
    </row>
    <row r="47" spans="1:18" x14ac:dyDescent="0.2">
      <c r="A47" t="str">
        <f t="shared" si="0"/>
        <v>ICE.2022.3</v>
      </c>
      <c r="B47" t="s">
        <v>1403</v>
      </c>
      <c r="C47" t="str">
        <f t="shared" si="1"/>
        <v>3</v>
      </c>
      <c r="D47" t="str">
        <f t="shared" si="2"/>
        <v>2022</v>
      </c>
      <c r="E47" s="51" t="s">
        <v>1487</v>
      </c>
      <c r="J47">
        <v>-0.48749999999999999</v>
      </c>
      <c r="K47">
        <v>7.4999999999999997E-3</v>
      </c>
      <c r="L47">
        <v>0</v>
      </c>
      <c r="M47">
        <v>1271</v>
      </c>
      <c r="N47">
        <v>0</v>
      </c>
      <c r="O47">
        <v>0</v>
      </c>
      <c r="P47">
        <v>0</v>
      </c>
      <c r="Q47">
        <v>0</v>
      </c>
      <c r="R47">
        <v>0</v>
      </c>
    </row>
    <row r="48" spans="1:18" x14ac:dyDescent="0.2">
      <c r="A48" t="str">
        <f t="shared" si="0"/>
        <v>ICE.2022.4</v>
      </c>
      <c r="B48" t="s">
        <v>1403</v>
      </c>
      <c r="C48" t="str">
        <f t="shared" si="1"/>
        <v>4</v>
      </c>
      <c r="D48" t="str">
        <f t="shared" si="2"/>
        <v>2022</v>
      </c>
      <c r="E48" s="51" t="s">
        <v>1488</v>
      </c>
      <c r="J48">
        <v>-0.78</v>
      </c>
      <c r="K48">
        <v>-5.0000000000000001E-3</v>
      </c>
      <c r="L48">
        <v>60</v>
      </c>
      <c r="M48">
        <v>1410</v>
      </c>
      <c r="N48">
        <v>60</v>
      </c>
      <c r="O48">
        <v>0</v>
      </c>
      <c r="P48">
        <v>0</v>
      </c>
      <c r="Q48">
        <v>60</v>
      </c>
      <c r="R48">
        <v>0</v>
      </c>
    </row>
    <row r="49" spans="1:18" x14ac:dyDescent="0.2">
      <c r="A49" t="str">
        <f t="shared" si="0"/>
        <v>ICE.2022.5</v>
      </c>
      <c r="B49" t="s">
        <v>1403</v>
      </c>
      <c r="C49" t="str">
        <f t="shared" si="1"/>
        <v>5</v>
      </c>
      <c r="D49" t="str">
        <f t="shared" si="2"/>
        <v>2022</v>
      </c>
      <c r="E49" s="51" t="s">
        <v>1489</v>
      </c>
      <c r="J49">
        <v>-0.75</v>
      </c>
      <c r="K49">
        <v>2.75E-2</v>
      </c>
      <c r="L49">
        <v>93</v>
      </c>
      <c r="M49">
        <v>1488</v>
      </c>
      <c r="N49">
        <v>93</v>
      </c>
      <c r="O49">
        <v>0</v>
      </c>
      <c r="P49">
        <v>0</v>
      </c>
      <c r="Q49">
        <v>93</v>
      </c>
      <c r="R49">
        <v>0</v>
      </c>
    </row>
    <row r="50" spans="1:18" x14ac:dyDescent="0.2">
      <c r="A50" t="str">
        <f t="shared" si="0"/>
        <v>ICE.2022.6</v>
      </c>
      <c r="B50" t="s">
        <v>1403</v>
      </c>
      <c r="C50" t="str">
        <f t="shared" si="1"/>
        <v>6</v>
      </c>
      <c r="D50" t="str">
        <f t="shared" si="2"/>
        <v>2022</v>
      </c>
      <c r="E50" s="51" t="s">
        <v>1490</v>
      </c>
      <c r="J50">
        <v>-0.78249999999999997</v>
      </c>
      <c r="K50">
        <v>-5.0000000000000001E-3</v>
      </c>
      <c r="L50">
        <v>60</v>
      </c>
      <c r="M50">
        <v>1410</v>
      </c>
      <c r="N50">
        <v>60</v>
      </c>
      <c r="O50">
        <v>0</v>
      </c>
      <c r="P50">
        <v>0</v>
      </c>
      <c r="Q50">
        <v>60</v>
      </c>
      <c r="R50">
        <v>0</v>
      </c>
    </row>
    <row r="51" spans="1:18" x14ac:dyDescent="0.2">
      <c r="A51" t="str">
        <f t="shared" si="0"/>
        <v>ICE.2022.7</v>
      </c>
      <c r="B51" t="s">
        <v>1403</v>
      </c>
      <c r="C51" t="str">
        <f t="shared" si="1"/>
        <v>7</v>
      </c>
      <c r="D51" t="str">
        <f t="shared" si="2"/>
        <v>2022</v>
      </c>
      <c r="E51" s="51" t="s">
        <v>1491</v>
      </c>
      <c r="J51">
        <v>-0.68500000000000005</v>
      </c>
      <c r="K51">
        <v>-5.0000000000000001E-3</v>
      </c>
      <c r="L51">
        <v>62</v>
      </c>
      <c r="M51">
        <v>1457</v>
      </c>
      <c r="N51">
        <v>62</v>
      </c>
      <c r="O51">
        <v>0</v>
      </c>
      <c r="P51">
        <v>0</v>
      </c>
      <c r="Q51">
        <v>62</v>
      </c>
      <c r="R51">
        <v>0</v>
      </c>
    </row>
    <row r="52" spans="1:18" x14ac:dyDescent="0.2">
      <c r="A52" t="str">
        <f t="shared" si="0"/>
        <v>ICE.2022.8</v>
      </c>
      <c r="B52" t="s">
        <v>1403</v>
      </c>
      <c r="C52" t="str">
        <f t="shared" si="1"/>
        <v>8</v>
      </c>
      <c r="D52" t="str">
        <f t="shared" si="2"/>
        <v>2022</v>
      </c>
      <c r="E52" s="51" t="s">
        <v>1492</v>
      </c>
      <c r="J52">
        <v>-0.68</v>
      </c>
      <c r="K52">
        <v>-5.0000000000000001E-3</v>
      </c>
      <c r="L52">
        <v>62</v>
      </c>
      <c r="M52">
        <v>1457</v>
      </c>
      <c r="N52">
        <v>62</v>
      </c>
      <c r="O52">
        <v>0</v>
      </c>
      <c r="P52">
        <v>0</v>
      </c>
      <c r="Q52">
        <v>62</v>
      </c>
      <c r="R52">
        <v>0</v>
      </c>
    </row>
    <row r="53" spans="1:18" x14ac:dyDescent="0.2">
      <c r="A53" t="str">
        <f t="shared" si="0"/>
        <v>ICE.2022.9</v>
      </c>
      <c r="B53" t="s">
        <v>1403</v>
      </c>
      <c r="C53" t="str">
        <f t="shared" si="1"/>
        <v>9</v>
      </c>
      <c r="D53" t="str">
        <f t="shared" si="2"/>
        <v>2022</v>
      </c>
      <c r="E53" s="51" t="s">
        <v>1493</v>
      </c>
      <c r="J53">
        <v>-0.6925</v>
      </c>
      <c r="K53">
        <v>-5.0000000000000001E-3</v>
      </c>
      <c r="L53">
        <v>60</v>
      </c>
      <c r="M53">
        <v>1410</v>
      </c>
      <c r="N53">
        <v>60</v>
      </c>
      <c r="O53">
        <v>0</v>
      </c>
      <c r="P53">
        <v>0</v>
      </c>
      <c r="Q53">
        <v>60</v>
      </c>
      <c r="R53">
        <v>0</v>
      </c>
    </row>
    <row r="54" spans="1:18" x14ac:dyDescent="0.2">
      <c r="A54" t="str">
        <f t="shared" si="0"/>
        <v>ICE.2022.10</v>
      </c>
      <c r="B54" t="s">
        <v>1403</v>
      </c>
      <c r="C54" t="str">
        <f t="shared" si="1"/>
        <v>10</v>
      </c>
      <c r="D54" t="str">
        <f t="shared" si="2"/>
        <v>2022</v>
      </c>
      <c r="E54" s="51" t="s">
        <v>1494</v>
      </c>
      <c r="J54">
        <v>-0.74250000000000005</v>
      </c>
      <c r="K54">
        <v>-5.0000000000000001E-3</v>
      </c>
      <c r="L54">
        <v>62</v>
      </c>
      <c r="M54">
        <v>1457</v>
      </c>
      <c r="N54">
        <v>62</v>
      </c>
      <c r="O54">
        <v>0</v>
      </c>
      <c r="P54">
        <v>0</v>
      </c>
      <c r="Q54">
        <v>62</v>
      </c>
      <c r="R54">
        <v>0</v>
      </c>
    </row>
    <row r="55" spans="1:18" x14ac:dyDescent="0.2">
      <c r="A55" t="str">
        <f t="shared" si="0"/>
        <v>ICE.2022.11</v>
      </c>
      <c r="B55" t="s">
        <v>1403</v>
      </c>
      <c r="C55" t="str">
        <f t="shared" si="1"/>
        <v>11</v>
      </c>
      <c r="D55" t="str">
        <f t="shared" si="2"/>
        <v>2022</v>
      </c>
      <c r="E55" s="51" t="s">
        <v>1495</v>
      </c>
      <c r="J55">
        <v>-0.46750000000000003</v>
      </c>
      <c r="K55">
        <v>7.4999999999999997E-3</v>
      </c>
      <c r="L55">
        <v>0</v>
      </c>
      <c r="M55">
        <v>990</v>
      </c>
      <c r="N55">
        <v>0</v>
      </c>
      <c r="O55">
        <v>0</v>
      </c>
      <c r="P55">
        <v>0</v>
      </c>
      <c r="Q55">
        <v>0</v>
      </c>
      <c r="R55">
        <v>0</v>
      </c>
    </row>
    <row r="56" spans="1:18" x14ac:dyDescent="0.2">
      <c r="A56" t="str">
        <f t="shared" si="0"/>
        <v>ICE.2022.12</v>
      </c>
      <c r="B56" t="s">
        <v>1403</v>
      </c>
      <c r="C56" t="str">
        <f t="shared" si="1"/>
        <v>12</v>
      </c>
      <c r="D56" t="str">
        <f t="shared" si="2"/>
        <v>2022</v>
      </c>
      <c r="E56" s="51" t="s">
        <v>1496</v>
      </c>
      <c r="J56">
        <v>-0.39750000000000002</v>
      </c>
      <c r="K56">
        <v>7.4999999999999997E-3</v>
      </c>
      <c r="L56">
        <v>0</v>
      </c>
      <c r="M56">
        <v>1023</v>
      </c>
      <c r="N56">
        <v>0</v>
      </c>
      <c r="O56">
        <v>0</v>
      </c>
      <c r="P56">
        <v>0</v>
      </c>
      <c r="Q56">
        <v>0</v>
      </c>
      <c r="R56">
        <v>0</v>
      </c>
    </row>
    <row r="57" spans="1:18" x14ac:dyDescent="0.2">
      <c r="A57" t="str">
        <f t="shared" si="0"/>
        <v>ICE.2023.1</v>
      </c>
      <c r="B57" t="s">
        <v>1403</v>
      </c>
      <c r="C57" t="str">
        <f t="shared" si="1"/>
        <v>1</v>
      </c>
      <c r="D57" t="str">
        <f t="shared" si="2"/>
        <v>2023</v>
      </c>
      <c r="E57" s="51" t="s">
        <v>1511</v>
      </c>
      <c r="J57">
        <v>-0.42249999999999999</v>
      </c>
      <c r="K57">
        <v>7.4999999999999997E-3</v>
      </c>
      <c r="L57">
        <v>0</v>
      </c>
      <c r="M57">
        <v>124</v>
      </c>
      <c r="N57">
        <v>0</v>
      </c>
      <c r="O57">
        <v>0</v>
      </c>
      <c r="P57">
        <v>0</v>
      </c>
      <c r="Q57">
        <v>0</v>
      </c>
      <c r="R57">
        <v>0</v>
      </c>
    </row>
    <row r="58" spans="1:18" x14ac:dyDescent="0.2">
      <c r="A58" t="str">
        <f t="shared" si="0"/>
        <v>ICE.2023.2</v>
      </c>
      <c r="B58" t="s">
        <v>1403</v>
      </c>
      <c r="C58" t="str">
        <f t="shared" si="1"/>
        <v>2</v>
      </c>
      <c r="D58" t="str">
        <f t="shared" si="2"/>
        <v>2023</v>
      </c>
      <c r="E58" s="51" t="s">
        <v>1512</v>
      </c>
      <c r="J58">
        <v>-0.435</v>
      </c>
      <c r="K58">
        <v>7.4999999999999997E-3</v>
      </c>
      <c r="L58">
        <v>0</v>
      </c>
      <c r="M58">
        <v>112</v>
      </c>
      <c r="N58">
        <v>0</v>
      </c>
      <c r="O58">
        <v>0</v>
      </c>
      <c r="P58">
        <v>0</v>
      </c>
      <c r="Q58">
        <v>0</v>
      </c>
      <c r="R58">
        <v>0</v>
      </c>
    </row>
    <row r="59" spans="1:18" x14ac:dyDescent="0.2">
      <c r="A59" t="str">
        <f t="shared" si="0"/>
        <v>ICE.2023.3</v>
      </c>
      <c r="B59" t="s">
        <v>1403</v>
      </c>
      <c r="C59" t="str">
        <f t="shared" si="1"/>
        <v>3</v>
      </c>
      <c r="D59" t="str">
        <f t="shared" si="2"/>
        <v>2023</v>
      </c>
      <c r="E59" s="51" t="s">
        <v>1513</v>
      </c>
      <c r="J59">
        <v>-0.45750000000000002</v>
      </c>
      <c r="K59">
        <v>7.4999999999999997E-3</v>
      </c>
      <c r="L59">
        <v>0</v>
      </c>
      <c r="M59">
        <v>124</v>
      </c>
      <c r="N59">
        <v>0</v>
      </c>
      <c r="O59">
        <v>0</v>
      </c>
      <c r="P59">
        <v>0</v>
      </c>
      <c r="Q59">
        <v>0</v>
      </c>
      <c r="R59">
        <v>0</v>
      </c>
    </row>
    <row r="60" spans="1:18" x14ac:dyDescent="0.2">
      <c r="A60" t="str">
        <f t="shared" si="0"/>
        <v>ICE.2023.4</v>
      </c>
      <c r="B60" t="s">
        <v>1403</v>
      </c>
      <c r="C60" t="str">
        <f t="shared" si="1"/>
        <v>4</v>
      </c>
      <c r="D60" t="str">
        <f t="shared" si="2"/>
        <v>2023</v>
      </c>
      <c r="E60" s="51" t="s">
        <v>1514</v>
      </c>
      <c r="J60">
        <v>-0.71</v>
      </c>
      <c r="K60">
        <v>0</v>
      </c>
      <c r="L60">
        <v>0</v>
      </c>
      <c r="M60">
        <v>210</v>
      </c>
      <c r="N60">
        <v>0</v>
      </c>
      <c r="O60">
        <v>0</v>
      </c>
      <c r="P60">
        <v>0</v>
      </c>
      <c r="Q60">
        <v>0</v>
      </c>
      <c r="R60">
        <v>0</v>
      </c>
    </row>
    <row r="61" spans="1:18" x14ac:dyDescent="0.2">
      <c r="A61" t="str">
        <f t="shared" si="0"/>
        <v>ICE.2023.5</v>
      </c>
      <c r="B61" t="s">
        <v>1403</v>
      </c>
      <c r="C61" t="str">
        <f t="shared" si="1"/>
        <v>5</v>
      </c>
      <c r="D61" t="str">
        <f t="shared" si="2"/>
        <v>2023</v>
      </c>
      <c r="E61" s="51" t="s">
        <v>1515</v>
      </c>
      <c r="J61">
        <v>-0.71250000000000002</v>
      </c>
      <c r="K61">
        <v>0</v>
      </c>
      <c r="L61">
        <v>0</v>
      </c>
      <c r="M61">
        <v>217</v>
      </c>
      <c r="N61">
        <v>0</v>
      </c>
      <c r="O61">
        <v>0</v>
      </c>
      <c r="P61">
        <v>0</v>
      </c>
      <c r="Q61">
        <v>0</v>
      </c>
      <c r="R61">
        <v>0</v>
      </c>
    </row>
    <row r="62" spans="1:18" x14ac:dyDescent="0.2">
      <c r="A62" t="str">
        <f t="shared" si="0"/>
        <v>ICE.2023.6</v>
      </c>
      <c r="B62" t="s">
        <v>1403</v>
      </c>
      <c r="C62" t="str">
        <f t="shared" si="1"/>
        <v>6</v>
      </c>
      <c r="D62" t="str">
        <f t="shared" si="2"/>
        <v>2023</v>
      </c>
      <c r="E62" s="51" t="s">
        <v>1516</v>
      </c>
      <c r="J62">
        <v>-0.71250000000000002</v>
      </c>
      <c r="K62">
        <v>0</v>
      </c>
      <c r="L62">
        <v>0</v>
      </c>
      <c r="M62">
        <v>210</v>
      </c>
      <c r="N62">
        <v>0</v>
      </c>
      <c r="O62">
        <v>0</v>
      </c>
      <c r="P62">
        <v>0</v>
      </c>
      <c r="Q62">
        <v>0</v>
      </c>
      <c r="R62">
        <v>0</v>
      </c>
    </row>
    <row r="63" spans="1:18" x14ac:dyDescent="0.2">
      <c r="A63" t="str">
        <f t="shared" si="0"/>
        <v>ICE.2023.7</v>
      </c>
      <c r="B63" t="s">
        <v>1403</v>
      </c>
      <c r="C63" t="str">
        <f t="shared" si="1"/>
        <v>7</v>
      </c>
      <c r="D63" t="str">
        <f t="shared" si="2"/>
        <v>2023</v>
      </c>
      <c r="E63" s="51" t="s">
        <v>1517</v>
      </c>
      <c r="J63">
        <v>-0.62</v>
      </c>
      <c r="K63">
        <v>0</v>
      </c>
      <c r="L63">
        <v>0</v>
      </c>
      <c r="M63">
        <v>217</v>
      </c>
      <c r="N63">
        <v>0</v>
      </c>
      <c r="O63">
        <v>0</v>
      </c>
      <c r="P63">
        <v>0</v>
      </c>
      <c r="Q63">
        <v>0</v>
      </c>
      <c r="R63">
        <v>0</v>
      </c>
    </row>
    <row r="64" spans="1:18" x14ac:dyDescent="0.2">
      <c r="A64" t="str">
        <f t="shared" si="0"/>
        <v>ICE.2023.8</v>
      </c>
      <c r="B64" t="s">
        <v>1403</v>
      </c>
      <c r="C64" t="str">
        <f t="shared" si="1"/>
        <v>8</v>
      </c>
      <c r="D64" t="str">
        <f t="shared" si="2"/>
        <v>2023</v>
      </c>
      <c r="E64" s="51" t="s">
        <v>1518</v>
      </c>
      <c r="J64">
        <v>-0.61750000000000005</v>
      </c>
      <c r="K64">
        <v>0</v>
      </c>
      <c r="L64">
        <v>0</v>
      </c>
      <c r="M64">
        <v>217</v>
      </c>
      <c r="N64">
        <v>0</v>
      </c>
      <c r="O64">
        <v>0</v>
      </c>
      <c r="P64">
        <v>0</v>
      </c>
      <c r="Q64">
        <v>0</v>
      </c>
      <c r="R64">
        <v>0</v>
      </c>
    </row>
    <row r="65" spans="1:18" x14ac:dyDescent="0.2">
      <c r="A65" t="str">
        <f t="shared" si="0"/>
        <v>ICE.2023.9</v>
      </c>
      <c r="B65" t="s">
        <v>1403</v>
      </c>
      <c r="C65" t="str">
        <f t="shared" si="1"/>
        <v>9</v>
      </c>
      <c r="D65" t="str">
        <f t="shared" si="2"/>
        <v>2023</v>
      </c>
      <c r="E65" s="51" t="s">
        <v>1519</v>
      </c>
      <c r="J65">
        <v>-0.63</v>
      </c>
      <c r="K65">
        <v>0</v>
      </c>
      <c r="L65">
        <v>0</v>
      </c>
      <c r="M65">
        <v>210</v>
      </c>
      <c r="N65">
        <v>0</v>
      </c>
      <c r="O65">
        <v>0</v>
      </c>
      <c r="P65">
        <v>0</v>
      </c>
      <c r="Q65">
        <v>0</v>
      </c>
      <c r="R65">
        <v>0</v>
      </c>
    </row>
    <row r="66" spans="1:18" x14ac:dyDescent="0.2">
      <c r="A66" t="str">
        <f t="shared" si="0"/>
        <v>ICE.2023.10</v>
      </c>
      <c r="B66" t="s">
        <v>1403</v>
      </c>
      <c r="C66" t="str">
        <f t="shared" si="1"/>
        <v>10</v>
      </c>
      <c r="D66" t="str">
        <f t="shared" si="2"/>
        <v>2023</v>
      </c>
      <c r="E66" s="51" t="s">
        <v>1520</v>
      </c>
      <c r="J66">
        <v>-0.67500000000000004</v>
      </c>
      <c r="K66">
        <v>0</v>
      </c>
      <c r="L66">
        <v>0</v>
      </c>
      <c r="M66">
        <v>217</v>
      </c>
      <c r="N66">
        <v>0</v>
      </c>
      <c r="O66">
        <v>0</v>
      </c>
      <c r="P66">
        <v>0</v>
      </c>
      <c r="Q66">
        <v>0</v>
      </c>
      <c r="R66">
        <v>0</v>
      </c>
    </row>
    <row r="67" spans="1:18" x14ac:dyDescent="0.2">
      <c r="A67" t="str">
        <f t="shared" ref="A67:A80" si="3">B67&amp;"."&amp;D67&amp;"."&amp;C67</f>
        <v>ICE.2023.11</v>
      </c>
      <c r="B67" t="s">
        <v>1403</v>
      </c>
      <c r="C67" t="str">
        <f t="shared" ref="C67:C80" si="4">TEXT(DATEVALUE("1"&amp;E67),"M")</f>
        <v>11</v>
      </c>
      <c r="D67" t="str">
        <f t="shared" ref="D67:D80" si="5">TEXT(DATEVALUE("1"&amp;E67),"YYYY")</f>
        <v>2023</v>
      </c>
      <c r="E67" s="51" t="s">
        <v>1521</v>
      </c>
      <c r="J67">
        <v>-0.45750000000000002</v>
      </c>
      <c r="K67">
        <v>7.4999999999999997E-3</v>
      </c>
      <c r="L67">
        <v>0</v>
      </c>
      <c r="M67">
        <v>60</v>
      </c>
      <c r="N67">
        <v>0</v>
      </c>
      <c r="O67">
        <v>0</v>
      </c>
      <c r="P67">
        <v>0</v>
      </c>
      <c r="Q67">
        <v>0</v>
      </c>
      <c r="R67">
        <v>0</v>
      </c>
    </row>
    <row r="68" spans="1:18" x14ac:dyDescent="0.2">
      <c r="A68" t="str">
        <f t="shared" si="3"/>
        <v>ICE.2023.12</v>
      </c>
      <c r="B68" t="s">
        <v>1403</v>
      </c>
      <c r="C68" t="str">
        <f t="shared" si="4"/>
        <v>12</v>
      </c>
      <c r="D68" t="str">
        <f t="shared" si="5"/>
        <v>2023</v>
      </c>
      <c r="E68" s="51" t="s">
        <v>1522</v>
      </c>
      <c r="J68">
        <v>-0.38750000000000001</v>
      </c>
      <c r="K68">
        <v>7.4999999999999997E-3</v>
      </c>
      <c r="L68">
        <v>0</v>
      </c>
      <c r="M68">
        <v>62</v>
      </c>
      <c r="N68">
        <v>0</v>
      </c>
      <c r="O68">
        <v>0</v>
      </c>
      <c r="P68">
        <v>0</v>
      </c>
      <c r="Q68">
        <v>0</v>
      </c>
      <c r="R68">
        <v>0</v>
      </c>
    </row>
    <row r="69" spans="1:18" x14ac:dyDescent="0.2">
      <c r="A69" t="str">
        <f t="shared" si="3"/>
        <v>ICE.2024.1</v>
      </c>
      <c r="B69" t="s">
        <v>1403</v>
      </c>
      <c r="C69" t="str">
        <f t="shared" si="4"/>
        <v>1</v>
      </c>
      <c r="D69" t="str">
        <f t="shared" si="5"/>
        <v>2024</v>
      </c>
      <c r="E69" s="51" t="s">
        <v>1523</v>
      </c>
      <c r="J69">
        <v>-0.41</v>
      </c>
      <c r="K69">
        <v>7.4999999999999997E-3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</row>
    <row r="70" spans="1:18" x14ac:dyDescent="0.2">
      <c r="A70" t="str">
        <f t="shared" si="3"/>
        <v>ICE.2024.2</v>
      </c>
      <c r="B70" t="s">
        <v>1403</v>
      </c>
      <c r="C70" t="str">
        <f t="shared" si="4"/>
        <v>2</v>
      </c>
      <c r="D70" t="str">
        <f t="shared" si="5"/>
        <v>2024</v>
      </c>
      <c r="E70" s="51" t="s">
        <v>1524</v>
      </c>
      <c r="J70">
        <v>-0.42</v>
      </c>
      <c r="K70">
        <v>7.4999999999999997E-3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</row>
    <row r="71" spans="1:18" x14ac:dyDescent="0.2">
      <c r="A71" t="str">
        <f t="shared" si="3"/>
        <v>ICE.2024.3</v>
      </c>
      <c r="B71" t="s">
        <v>1403</v>
      </c>
      <c r="C71" t="str">
        <f t="shared" si="4"/>
        <v>3</v>
      </c>
      <c r="D71" t="str">
        <f t="shared" si="5"/>
        <v>2024</v>
      </c>
      <c r="E71" s="51" t="s">
        <v>1525</v>
      </c>
      <c r="J71">
        <v>-0.44500000000000001</v>
      </c>
      <c r="K71">
        <v>7.4999999999999997E-3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</row>
    <row r="72" spans="1:18" x14ac:dyDescent="0.2">
      <c r="A72" t="str">
        <f t="shared" si="3"/>
        <v>ICE.2024.4</v>
      </c>
      <c r="B72" t="s">
        <v>1403</v>
      </c>
      <c r="C72" t="str">
        <f t="shared" si="4"/>
        <v>4</v>
      </c>
      <c r="D72" t="str">
        <f t="shared" si="5"/>
        <v>2024</v>
      </c>
      <c r="E72" s="51" t="s">
        <v>1526</v>
      </c>
      <c r="J72">
        <v>-0.67749999999999999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</row>
    <row r="73" spans="1:18" x14ac:dyDescent="0.2">
      <c r="A73" t="str">
        <f t="shared" si="3"/>
        <v>ICE.2024.5</v>
      </c>
      <c r="B73" t="s">
        <v>1403</v>
      </c>
      <c r="C73" t="str">
        <f t="shared" si="4"/>
        <v>5</v>
      </c>
      <c r="D73" t="str">
        <f t="shared" si="5"/>
        <v>2024</v>
      </c>
      <c r="E73" s="51" t="s">
        <v>1527</v>
      </c>
      <c r="J73">
        <v>-0.67500000000000004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</row>
    <row r="74" spans="1:18" x14ac:dyDescent="0.2">
      <c r="A74" t="str">
        <f t="shared" si="3"/>
        <v>ICE.2024.6</v>
      </c>
      <c r="B74" t="s">
        <v>1403</v>
      </c>
      <c r="C74" t="str">
        <f t="shared" si="4"/>
        <v>6</v>
      </c>
      <c r="D74" t="str">
        <f t="shared" si="5"/>
        <v>2024</v>
      </c>
      <c r="E74" s="51" t="s">
        <v>1528</v>
      </c>
      <c r="J74">
        <v>-0.68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</row>
    <row r="75" spans="1:18" x14ac:dyDescent="0.2">
      <c r="A75" t="str">
        <f t="shared" si="3"/>
        <v>ICE.2024.7</v>
      </c>
      <c r="B75" t="s">
        <v>1403</v>
      </c>
      <c r="C75" t="str">
        <f t="shared" si="4"/>
        <v>7</v>
      </c>
      <c r="D75" t="str">
        <f t="shared" si="5"/>
        <v>2024</v>
      </c>
      <c r="E75" s="51" t="s">
        <v>1529</v>
      </c>
      <c r="J75">
        <v>-0.58750000000000002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</row>
    <row r="76" spans="1:18" x14ac:dyDescent="0.2">
      <c r="A76" t="str">
        <f t="shared" si="3"/>
        <v>ICE.2024.8</v>
      </c>
      <c r="B76" t="s">
        <v>1403</v>
      </c>
      <c r="C76" t="str">
        <f t="shared" si="4"/>
        <v>8</v>
      </c>
      <c r="D76" t="str">
        <f t="shared" si="5"/>
        <v>2024</v>
      </c>
      <c r="E76" s="51" t="s">
        <v>1530</v>
      </c>
      <c r="J76">
        <v>-0.58499999999999996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</row>
    <row r="77" spans="1:18" x14ac:dyDescent="0.2">
      <c r="A77" t="str">
        <f t="shared" si="3"/>
        <v>ICE.2024.9</v>
      </c>
      <c r="B77" t="s">
        <v>1403</v>
      </c>
      <c r="C77" t="str">
        <f t="shared" si="4"/>
        <v>9</v>
      </c>
      <c r="D77" t="str">
        <f t="shared" si="5"/>
        <v>2024</v>
      </c>
      <c r="E77" s="51" t="s">
        <v>1531</v>
      </c>
      <c r="J77">
        <v>-0.6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</row>
    <row r="78" spans="1:18" x14ac:dyDescent="0.2">
      <c r="A78" t="str">
        <f t="shared" si="3"/>
        <v>ICE.2024.10</v>
      </c>
      <c r="B78" t="s">
        <v>1403</v>
      </c>
      <c r="C78" t="str">
        <f t="shared" si="4"/>
        <v>10</v>
      </c>
      <c r="D78" t="str">
        <f t="shared" si="5"/>
        <v>2024</v>
      </c>
      <c r="E78" s="51" t="s">
        <v>1532</v>
      </c>
      <c r="J78">
        <v>-0.64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</row>
    <row r="79" spans="1:18" x14ac:dyDescent="0.2">
      <c r="A79" t="str">
        <f t="shared" si="3"/>
        <v>ICE.2024.11</v>
      </c>
      <c r="B79" t="s">
        <v>1403</v>
      </c>
      <c r="C79" t="str">
        <f t="shared" si="4"/>
        <v>11</v>
      </c>
      <c r="D79" t="str">
        <f t="shared" si="5"/>
        <v>2024</v>
      </c>
      <c r="E79" s="51" t="s">
        <v>1533</v>
      </c>
      <c r="J79">
        <v>-0.45500000000000002</v>
      </c>
      <c r="K79">
        <v>7.4999999999999997E-3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</row>
    <row r="80" spans="1:18" x14ac:dyDescent="0.2">
      <c r="A80" t="str">
        <f t="shared" si="3"/>
        <v>ICE.2024.12</v>
      </c>
      <c r="B80" t="s">
        <v>1403</v>
      </c>
      <c r="C80" t="str">
        <f t="shared" si="4"/>
        <v>12</v>
      </c>
      <c r="D80" t="str">
        <f t="shared" si="5"/>
        <v>2024</v>
      </c>
      <c r="E80" s="51" t="s">
        <v>1534</v>
      </c>
      <c r="J80">
        <v>-0.38750000000000001</v>
      </c>
      <c r="K80">
        <v>7.4999999999999997E-3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WRPrevious"/>
  <dimension ref="A1:F98"/>
  <sheetViews>
    <sheetView workbookViewId="0">
      <selection activeCell="I88" sqref="I88"/>
    </sheetView>
  </sheetViews>
  <sheetFormatPr defaultRowHeight="12.75" x14ac:dyDescent="0.2"/>
  <cols>
    <col min="1" max="1" width="81.140625" bestFit="1" customWidth="1"/>
  </cols>
  <sheetData>
    <row r="1" spans="1:6" s="1" customFormat="1" x14ac:dyDescent="0.2">
      <c r="A1" s="1" t="s">
        <v>1020</v>
      </c>
      <c r="C1" s="1" t="s">
        <v>1444</v>
      </c>
      <c r="D1" s="1" t="s">
        <v>1445</v>
      </c>
      <c r="E1" s="1" t="s">
        <v>976</v>
      </c>
      <c r="F1" s="45">
        <v>41221</v>
      </c>
    </row>
    <row r="2" spans="1:6" x14ac:dyDescent="0.2">
      <c r="A2" t="s">
        <v>169</v>
      </c>
      <c r="B2" t="s">
        <v>1446</v>
      </c>
      <c r="C2">
        <v>0</v>
      </c>
      <c r="D2">
        <v>0</v>
      </c>
      <c r="E2">
        <v>1984</v>
      </c>
    </row>
    <row r="3" spans="1:6" x14ac:dyDescent="0.2">
      <c r="A3" t="s">
        <v>170</v>
      </c>
      <c r="B3" t="s">
        <v>1446</v>
      </c>
      <c r="C3">
        <v>0</v>
      </c>
      <c r="D3">
        <v>0</v>
      </c>
      <c r="E3">
        <v>1705</v>
      </c>
    </row>
    <row r="4" spans="1:6" x14ac:dyDescent="0.2">
      <c r="A4" t="s">
        <v>171</v>
      </c>
      <c r="B4" t="s">
        <v>1446</v>
      </c>
      <c r="C4">
        <v>0</v>
      </c>
      <c r="D4">
        <v>0</v>
      </c>
      <c r="E4">
        <v>1204</v>
      </c>
    </row>
    <row r="5" spans="1:6" x14ac:dyDescent="0.2">
      <c r="A5" t="s">
        <v>172</v>
      </c>
      <c r="B5" t="s">
        <v>1446</v>
      </c>
      <c r="C5">
        <v>0</v>
      </c>
      <c r="D5">
        <v>0</v>
      </c>
      <c r="E5">
        <v>1333</v>
      </c>
    </row>
    <row r="6" spans="1:6" x14ac:dyDescent="0.2">
      <c r="A6" t="s">
        <v>173</v>
      </c>
      <c r="B6" t="s">
        <v>1446</v>
      </c>
      <c r="C6">
        <v>0</v>
      </c>
      <c r="D6">
        <v>0</v>
      </c>
      <c r="E6">
        <v>180</v>
      </c>
    </row>
    <row r="7" spans="1:6" x14ac:dyDescent="0.2">
      <c r="A7" t="s">
        <v>174</v>
      </c>
      <c r="B7" t="s">
        <v>1446</v>
      </c>
      <c r="C7">
        <v>0</v>
      </c>
      <c r="D7">
        <v>0</v>
      </c>
      <c r="E7">
        <v>186</v>
      </c>
    </row>
    <row r="8" spans="1:6" x14ac:dyDescent="0.2">
      <c r="A8" t="s">
        <v>175</v>
      </c>
      <c r="B8" t="s">
        <v>1446</v>
      </c>
      <c r="C8">
        <v>0</v>
      </c>
      <c r="D8">
        <v>0</v>
      </c>
      <c r="E8">
        <v>180</v>
      </c>
    </row>
    <row r="9" spans="1:6" x14ac:dyDescent="0.2">
      <c r="A9" t="s">
        <v>176</v>
      </c>
      <c r="B9" t="s">
        <v>1446</v>
      </c>
      <c r="C9">
        <v>0</v>
      </c>
      <c r="D9">
        <v>0</v>
      </c>
      <c r="E9">
        <v>186</v>
      </c>
    </row>
    <row r="10" spans="1:6" x14ac:dyDescent="0.2">
      <c r="A10" t="s">
        <v>177</v>
      </c>
      <c r="B10" t="s">
        <v>1446</v>
      </c>
      <c r="C10">
        <v>0</v>
      </c>
      <c r="D10">
        <v>0</v>
      </c>
      <c r="E10">
        <v>186</v>
      </c>
    </row>
    <row r="11" spans="1:6" x14ac:dyDescent="0.2">
      <c r="A11" t="s">
        <v>178</v>
      </c>
      <c r="B11" t="s">
        <v>1446</v>
      </c>
      <c r="C11">
        <v>0</v>
      </c>
      <c r="D11">
        <v>0</v>
      </c>
      <c r="E11">
        <v>180</v>
      </c>
    </row>
    <row r="12" spans="1:6" x14ac:dyDescent="0.2">
      <c r="A12" t="s">
        <v>179</v>
      </c>
      <c r="B12" t="s">
        <v>1446</v>
      </c>
      <c r="C12">
        <v>0</v>
      </c>
      <c r="D12">
        <v>0</v>
      </c>
      <c r="E12">
        <v>186</v>
      </c>
    </row>
    <row r="13" spans="1:6" x14ac:dyDescent="0.2">
      <c r="A13" t="s">
        <v>180</v>
      </c>
      <c r="B13" t="s">
        <v>1446</v>
      </c>
      <c r="C13">
        <v>0</v>
      </c>
      <c r="D13">
        <v>0</v>
      </c>
      <c r="E13">
        <v>0</v>
      </c>
    </row>
    <row r="14" spans="1:6" x14ac:dyDescent="0.2">
      <c r="A14" t="s">
        <v>181</v>
      </c>
      <c r="B14" t="s">
        <v>1446</v>
      </c>
      <c r="C14">
        <v>0</v>
      </c>
      <c r="D14">
        <v>0</v>
      </c>
      <c r="E14">
        <v>0</v>
      </c>
    </row>
    <row r="15" spans="1:6" x14ac:dyDescent="0.2">
      <c r="A15" t="s">
        <v>182</v>
      </c>
      <c r="B15" t="s">
        <v>1446</v>
      </c>
      <c r="C15">
        <v>0</v>
      </c>
      <c r="D15">
        <v>0</v>
      </c>
      <c r="E15">
        <v>0</v>
      </c>
    </row>
    <row r="16" spans="1:6" x14ac:dyDescent="0.2">
      <c r="A16" t="s">
        <v>183</v>
      </c>
      <c r="B16" t="s">
        <v>1446</v>
      </c>
      <c r="C16">
        <v>0</v>
      </c>
      <c r="D16">
        <v>0</v>
      </c>
      <c r="E16">
        <v>0</v>
      </c>
    </row>
    <row r="17" spans="1:5" x14ac:dyDescent="0.2">
      <c r="A17" t="s">
        <v>184</v>
      </c>
      <c r="B17" t="s">
        <v>1446</v>
      </c>
      <c r="C17">
        <v>0</v>
      </c>
      <c r="D17">
        <v>0</v>
      </c>
      <c r="E17">
        <v>0</v>
      </c>
    </row>
    <row r="18" spans="1:5" x14ac:dyDescent="0.2">
      <c r="A18" t="s">
        <v>185</v>
      </c>
      <c r="B18" t="s">
        <v>1446</v>
      </c>
      <c r="C18">
        <v>0</v>
      </c>
      <c r="D18">
        <v>0</v>
      </c>
      <c r="E18">
        <v>0</v>
      </c>
    </row>
    <row r="19" spans="1:5" x14ac:dyDescent="0.2">
      <c r="A19" t="s">
        <v>186</v>
      </c>
      <c r="B19" t="s">
        <v>1446</v>
      </c>
      <c r="C19">
        <v>0</v>
      </c>
      <c r="D19">
        <v>0</v>
      </c>
      <c r="E19">
        <v>0</v>
      </c>
    </row>
    <row r="20" spans="1:5" x14ac:dyDescent="0.2">
      <c r="A20" t="s">
        <v>187</v>
      </c>
      <c r="B20" t="s">
        <v>1446</v>
      </c>
      <c r="C20">
        <v>0</v>
      </c>
      <c r="D20">
        <v>0</v>
      </c>
      <c r="E20">
        <v>0</v>
      </c>
    </row>
    <row r="21" spans="1:5" x14ac:dyDescent="0.2">
      <c r="A21" t="s">
        <v>188</v>
      </c>
      <c r="B21" t="s">
        <v>1446</v>
      </c>
      <c r="C21">
        <v>0</v>
      </c>
      <c r="D21">
        <v>0</v>
      </c>
      <c r="E21">
        <v>0</v>
      </c>
    </row>
    <row r="22" spans="1:5" x14ac:dyDescent="0.2">
      <c r="A22" t="s">
        <v>189</v>
      </c>
      <c r="B22" t="s">
        <v>1446</v>
      </c>
      <c r="C22">
        <v>0</v>
      </c>
      <c r="D22">
        <v>0</v>
      </c>
      <c r="E22">
        <v>0</v>
      </c>
    </row>
    <row r="23" spans="1:5" x14ac:dyDescent="0.2">
      <c r="A23" t="s">
        <v>190</v>
      </c>
      <c r="B23" t="s">
        <v>1446</v>
      </c>
      <c r="C23">
        <v>0</v>
      </c>
      <c r="D23">
        <v>0</v>
      </c>
      <c r="E23">
        <v>0</v>
      </c>
    </row>
    <row r="24" spans="1:5" x14ac:dyDescent="0.2">
      <c r="A24" t="s">
        <v>191</v>
      </c>
      <c r="B24" t="s">
        <v>1446</v>
      </c>
      <c r="C24">
        <v>0</v>
      </c>
      <c r="D24">
        <v>0</v>
      </c>
      <c r="E24">
        <v>0</v>
      </c>
    </row>
    <row r="25" spans="1:5" x14ac:dyDescent="0.2">
      <c r="A25" t="s">
        <v>192</v>
      </c>
      <c r="B25" t="s">
        <v>1446</v>
      </c>
      <c r="C25">
        <v>0</v>
      </c>
      <c r="D25">
        <v>0</v>
      </c>
      <c r="E25">
        <v>0</v>
      </c>
    </row>
    <row r="26" spans="1:5" x14ac:dyDescent="0.2">
      <c r="A26" t="s">
        <v>193</v>
      </c>
      <c r="B26" t="s">
        <v>1446</v>
      </c>
      <c r="C26">
        <v>0</v>
      </c>
      <c r="D26">
        <v>0</v>
      </c>
      <c r="E26">
        <v>0</v>
      </c>
    </row>
    <row r="27" spans="1:5" x14ac:dyDescent="0.2">
      <c r="A27" t="s">
        <v>194</v>
      </c>
      <c r="B27" t="s">
        <v>1446</v>
      </c>
      <c r="C27">
        <v>0</v>
      </c>
      <c r="D27">
        <v>0</v>
      </c>
      <c r="E27">
        <v>0</v>
      </c>
    </row>
    <row r="28" spans="1:5" x14ac:dyDescent="0.2">
      <c r="A28" t="s">
        <v>195</v>
      </c>
      <c r="B28" t="s">
        <v>1446</v>
      </c>
      <c r="C28">
        <v>0</v>
      </c>
      <c r="D28">
        <v>0</v>
      </c>
      <c r="E28">
        <v>0</v>
      </c>
    </row>
    <row r="29" spans="1:5" x14ac:dyDescent="0.2">
      <c r="A29" t="s">
        <v>196</v>
      </c>
      <c r="B29" t="s">
        <v>1446</v>
      </c>
      <c r="C29">
        <v>0</v>
      </c>
      <c r="D29">
        <v>0</v>
      </c>
      <c r="E29">
        <v>0</v>
      </c>
    </row>
    <row r="30" spans="1:5" x14ac:dyDescent="0.2">
      <c r="A30" t="s">
        <v>197</v>
      </c>
      <c r="B30" t="s">
        <v>1446</v>
      </c>
      <c r="C30">
        <v>0</v>
      </c>
      <c r="D30">
        <v>0</v>
      </c>
      <c r="E30">
        <v>0</v>
      </c>
    </row>
    <row r="31" spans="1:5" x14ac:dyDescent="0.2">
      <c r="A31" t="s">
        <v>198</v>
      </c>
      <c r="B31" t="s">
        <v>1446</v>
      </c>
      <c r="C31">
        <v>0</v>
      </c>
      <c r="D31">
        <v>0</v>
      </c>
      <c r="E31">
        <v>0</v>
      </c>
    </row>
    <row r="32" spans="1:5" x14ac:dyDescent="0.2">
      <c r="A32" t="s">
        <v>199</v>
      </c>
      <c r="B32" t="s">
        <v>1446</v>
      </c>
      <c r="C32">
        <v>0</v>
      </c>
      <c r="D32">
        <v>0</v>
      </c>
      <c r="E32">
        <v>0</v>
      </c>
    </row>
    <row r="33" spans="1:5" x14ac:dyDescent="0.2">
      <c r="A33" t="s">
        <v>200</v>
      </c>
      <c r="B33" t="s">
        <v>1446</v>
      </c>
      <c r="C33">
        <v>0</v>
      </c>
      <c r="D33">
        <v>0</v>
      </c>
      <c r="E33">
        <v>0</v>
      </c>
    </row>
    <row r="34" spans="1:5" x14ac:dyDescent="0.2">
      <c r="A34" t="s">
        <v>201</v>
      </c>
      <c r="B34" t="s">
        <v>1446</v>
      </c>
      <c r="C34">
        <v>0</v>
      </c>
      <c r="D34">
        <v>0</v>
      </c>
      <c r="E34">
        <v>0</v>
      </c>
    </row>
    <row r="35" spans="1:5" x14ac:dyDescent="0.2">
      <c r="A35" t="s">
        <v>202</v>
      </c>
      <c r="B35" t="s">
        <v>1446</v>
      </c>
      <c r="C35">
        <v>0</v>
      </c>
      <c r="D35">
        <v>0</v>
      </c>
      <c r="E35">
        <v>0</v>
      </c>
    </row>
    <row r="36" spans="1:5" x14ac:dyDescent="0.2">
      <c r="A36" t="s">
        <v>203</v>
      </c>
      <c r="B36" t="s">
        <v>1446</v>
      </c>
      <c r="C36">
        <v>0</v>
      </c>
      <c r="D36">
        <v>0</v>
      </c>
      <c r="E36">
        <v>0</v>
      </c>
    </row>
    <row r="37" spans="1:5" x14ac:dyDescent="0.2">
      <c r="A37" t="s">
        <v>204</v>
      </c>
      <c r="B37" t="s">
        <v>1446</v>
      </c>
      <c r="C37">
        <v>0</v>
      </c>
      <c r="D37">
        <v>0</v>
      </c>
      <c r="E37">
        <v>0</v>
      </c>
    </row>
    <row r="38" spans="1:5" x14ac:dyDescent="0.2">
      <c r="A38" t="s">
        <v>205</v>
      </c>
      <c r="B38" t="s">
        <v>1446</v>
      </c>
      <c r="C38">
        <v>0</v>
      </c>
      <c r="D38">
        <v>0</v>
      </c>
      <c r="E38">
        <v>0</v>
      </c>
    </row>
    <row r="39" spans="1:5" x14ac:dyDescent="0.2">
      <c r="A39" t="s">
        <v>206</v>
      </c>
      <c r="B39" t="s">
        <v>1446</v>
      </c>
      <c r="C39">
        <v>0</v>
      </c>
      <c r="D39">
        <v>0</v>
      </c>
      <c r="E39">
        <v>31</v>
      </c>
    </row>
    <row r="40" spans="1:5" x14ac:dyDescent="0.2">
      <c r="A40" t="s">
        <v>207</v>
      </c>
      <c r="B40" t="s">
        <v>1446</v>
      </c>
      <c r="C40">
        <v>0</v>
      </c>
      <c r="D40">
        <v>0</v>
      </c>
      <c r="E40">
        <v>29</v>
      </c>
    </row>
    <row r="41" spans="1:5" x14ac:dyDescent="0.2">
      <c r="A41" t="s">
        <v>208</v>
      </c>
      <c r="B41" t="s">
        <v>1446</v>
      </c>
      <c r="C41">
        <v>0</v>
      </c>
      <c r="D41">
        <v>0</v>
      </c>
      <c r="E41">
        <v>31</v>
      </c>
    </row>
    <row r="42" spans="1:5" x14ac:dyDescent="0.2">
      <c r="A42" t="s">
        <v>209</v>
      </c>
      <c r="B42" t="s">
        <v>1446</v>
      </c>
      <c r="C42">
        <v>0</v>
      </c>
      <c r="D42">
        <v>0</v>
      </c>
      <c r="E42">
        <v>30</v>
      </c>
    </row>
    <row r="43" spans="1:5" x14ac:dyDescent="0.2">
      <c r="A43" t="s">
        <v>210</v>
      </c>
      <c r="B43" t="s">
        <v>1446</v>
      </c>
      <c r="C43">
        <v>0</v>
      </c>
      <c r="D43">
        <v>0</v>
      </c>
      <c r="E43">
        <v>31</v>
      </c>
    </row>
    <row r="44" spans="1:5" x14ac:dyDescent="0.2">
      <c r="A44" t="s">
        <v>211</v>
      </c>
      <c r="B44" t="s">
        <v>1446</v>
      </c>
      <c r="C44">
        <v>0</v>
      </c>
      <c r="D44">
        <v>0</v>
      </c>
      <c r="E44">
        <v>30</v>
      </c>
    </row>
    <row r="45" spans="1:5" x14ac:dyDescent="0.2">
      <c r="A45" t="s">
        <v>212</v>
      </c>
      <c r="B45" t="s">
        <v>1446</v>
      </c>
      <c r="C45">
        <v>0</v>
      </c>
      <c r="D45">
        <v>0</v>
      </c>
      <c r="E45">
        <v>31</v>
      </c>
    </row>
    <row r="46" spans="1:5" x14ac:dyDescent="0.2">
      <c r="A46" t="s">
        <v>213</v>
      </c>
      <c r="B46" t="s">
        <v>1446</v>
      </c>
      <c r="C46">
        <v>0</v>
      </c>
      <c r="D46">
        <v>0</v>
      </c>
      <c r="E46">
        <v>31</v>
      </c>
    </row>
    <row r="47" spans="1:5" x14ac:dyDescent="0.2">
      <c r="A47" t="s">
        <v>214</v>
      </c>
      <c r="B47" t="s">
        <v>1446</v>
      </c>
      <c r="C47">
        <v>0</v>
      </c>
      <c r="D47">
        <v>0</v>
      </c>
      <c r="E47">
        <v>30</v>
      </c>
    </row>
    <row r="48" spans="1:5" x14ac:dyDescent="0.2">
      <c r="A48" t="s">
        <v>215</v>
      </c>
      <c r="B48" t="s">
        <v>1446</v>
      </c>
      <c r="C48">
        <v>0</v>
      </c>
      <c r="D48">
        <v>0</v>
      </c>
      <c r="E48">
        <v>31</v>
      </c>
    </row>
    <row r="49" spans="1:5" x14ac:dyDescent="0.2">
      <c r="A49" t="s">
        <v>216</v>
      </c>
      <c r="B49" t="s">
        <v>1446</v>
      </c>
      <c r="C49">
        <v>0</v>
      </c>
      <c r="D49">
        <v>0</v>
      </c>
      <c r="E49">
        <v>30</v>
      </c>
    </row>
    <row r="50" spans="1:5" x14ac:dyDescent="0.2">
      <c r="A50" t="s">
        <v>217</v>
      </c>
      <c r="B50" t="s">
        <v>1446</v>
      </c>
      <c r="C50">
        <v>0</v>
      </c>
      <c r="D50">
        <v>0</v>
      </c>
      <c r="E50">
        <v>31</v>
      </c>
    </row>
    <row r="51" spans="1:5" x14ac:dyDescent="0.2">
      <c r="A51" t="s">
        <v>218</v>
      </c>
      <c r="B51" t="s">
        <v>1446</v>
      </c>
      <c r="C51">
        <v>0</v>
      </c>
      <c r="D51">
        <v>0</v>
      </c>
      <c r="E51">
        <v>0</v>
      </c>
    </row>
    <row r="52" spans="1:5" x14ac:dyDescent="0.2">
      <c r="A52" t="s">
        <v>219</v>
      </c>
      <c r="B52" t="s">
        <v>1446</v>
      </c>
      <c r="C52">
        <v>0</v>
      </c>
      <c r="D52">
        <v>0</v>
      </c>
      <c r="E52">
        <v>0</v>
      </c>
    </row>
    <row r="53" spans="1:5" x14ac:dyDescent="0.2">
      <c r="A53" t="s">
        <v>220</v>
      </c>
      <c r="B53" t="s">
        <v>1446</v>
      </c>
      <c r="C53">
        <v>0</v>
      </c>
      <c r="D53">
        <v>0</v>
      </c>
      <c r="E53">
        <v>0</v>
      </c>
    </row>
    <row r="54" spans="1:5" x14ac:dyDescent="0.2">
      <c r="A54" t="s">
        <v>221</v>
      </c>
      <c r="B54" t="s">
        <v>1446</v>
      </c>
      <c r="C54">
        <v>0</v>
      </c>
      <c r="D54">
        <v>0</v>
      </c>
      <c r="E54">
        <v>0</v>
      </c>
    </row>
    <row r="55" spans="1:5" x14ac:dyDescent="0.2">
      <c r="A55" t="s">
        <v>222</v>
      </c>
      <c r="B55" t="s">
        <v>1446</v>
      </c>
      <c r="C55">
        <v>0</v>
      </c>
      <c r="D55">
        <v>0</v>
      </c>
      <c r="E55">
        <v>0</v>
      </c>
    </row>
    <row r="56" spans="1:5" x14ac:dyDescent="0.2">
      <c r="A56" t="s">
        <v>223</v>
      </c>
      <c r="B56" t="s">
        <v>1446</v>
      </c>
      <c r="C56">
        <v>0</v>
      </c>
      <c r="D56">
        <v>0</v>
      </c>
      <c r="E56">
        <v>0</v>
      </c>
    </row>
    <row r="57" spans="1:5" x14ac:dyDescent="0.2">
      <c r="A57" t="s">
        <v>224</v>
      </c>
      <c r="B57" t="s">
        <v>1446</v>
      </c>
      <c r="C57">
        <v>0</v>
      </c>
      <c r="D57">
        <v>0</v>
      </c>
      <c r="E57">
        <v>0</v>
      </c>
    </row>
    <row r="58" spans="1:5" x14ac:dyDescent="0.2">
      <c r="A58" t="s">
        <v>225</v>
      </c>
      <c r="B58" t="s">
        <v>1446</v>
      </c>
      <c r="C58">
        <v>0</v>
      </c>
      <c r="D58">
        <v>0</v>
      </c>
      <c r="E58">
        <v>0</v>
      </c>
    </row>
    <row r="59" spans="1:5" x14ac:dyDescent="0.2">
      <c r="A59" t="s">
        <v>226</v>
      </c>
      <c r="B59" t="s">
        <v>1446</v>
      </c>
      <c r="C59">
        <v>0</v>
      </c>
      <c r="D59">
        <v>0</v>
      </c>
      <c r="E59">
        <v>0</v>
      </c>
    </row>
    <row r="60" spans="1:5" x14ac:dyDescent="0.2">
      <c r="A60" t="s">
        <v>227</v>
      </c>
      <c r="B60" t="s">
        <v>1446</v>
      </c>
      <c r="C60">
        <v>0</v>
      </c>
      <c r="D60">
        <v>0</v>
      </c>
      <c r="E60">
        <v>0</v>
      </c>
    </row>
    <row r="61" spans="1:5" x14ac:dyDescent="0.2">
      <c r="A61" t="s">
        <v>228</v>
      </c>
      <c r="B61" t="s">
        <v>1446</v>
      </c>
      <c r="C61">
        <v>0</v>
      </c>
      <c r="D61">
        <v>0</v>
      </c>
      <c r="E61">
        <v>0</v>
      </c>
    </row>
    <row r="62" spans="1:5" x14ac:dyDescent="0.2">
      <c r="A62" t="s">
        <v>229</v>
      </c>
      <c r="B62" t="s">
        <v>1446</v>
      </c>
      <c r="C62">
        <v>0</v>
      </c>
      <c r="D62">
        <v>0</v>
      </c>
      <c r="E62">
        <v>0</v>
      </c>
    </row>
    <row r="63" spans="1:5" x14ac:dyDescent="0.2">
      <c r="A63" t="s">
        <v>230</v>
      </c>
      <c r="B63" t="s">
        <v>1446</v>
      </c>
      <c r="C63">
        <v>0</v>
      </c>
      <c r="D63">
        <v>0</v>
      </c>
      <c r="E63">
        <v>0</v>
      </c>
    </row>
    <row r="64" spans="1:5" x14ac:dyDescent="0.2">
      <c r="A64" t="s">
        <v>231</v>
      </c>
      <c r="B64" t="s">
        <v>1446</v>
      </c>
      <c r="C64">
        <v>0</v>
      </c>
      <c r="D64">
        <v>0</v>
      </c>
      <c r="E64">
        <v>0</v>
      </c>
    </row>
    <row r="65" spans="1:5" x14ac:dyDescent="0.2">
      <c r="A65" t="s">
        <v>232</v>
      </c>
      <c r="B65" t="s">
        <v>1446</v>
      </c>
      <c r="C65">
        <v>0</v>
      </c>
      <c r="D65">
        <v>0</v>
      </c>
      <c r="E65">
        <v>0</v>
      </c>
    </row>
    <row r="66" spans="1:5" x14ac:dyDescent="0.2">
      <c r="A66" t="s">
        <v>233</v>
      </c>
      <c r="B66" t="s">
        <v>1446</v>
      </c>
      <c r="C66">
        <v>0</v>
      </c>
      <c r="D66">
        <v>0</v>
      </c>
      <c r="E66">
        <v>0</v>
      </c>
    </row>
    <row r="67" spans="1:5" x14ac:dyDescent="0.2">
      <c r="A67" t="s">
        <v>234</v>
      </c>
      <c r="B67" t="s">
        <v>1446</v>
      </c>
      <c r="C67">
        <v>0</v>
      </c>
      <c r="D67">
        <v>0</v>
      </c>
      <c r="E67">
        <v>0</v>
      </c>
    </row>
    <row r="68" spans="1:5" x14ac:dyDescent="0.2">
      <c r="A68" t="s">
        <v>235</v>
      </c>
      <c r="B68" t="s">
        <v>1446</v>
      </c>
      <c r="C68">
        <v>0</v>
      </c>
      <c r="D68">
        <v>0</v>
      </c>
      <c r="E68">
        <v>0</v>
      </c>
    </row>
    <row r="69" spans="1:5" x14ac:dyDescent="0.2">
      <c r="A69" t="s">
        <v>236</v>
      </c>
      <c r="B69" t="s">
        <v>1446</v>
      </c>
      <c r="C69">
        <v>0</v>
      </c>
      <c r="D69">
        <v>0</v>
      </c>
      <c r="E69">
        <v>0</v>
      </c>
    </row>
    <row r="70" spans="1:5" x14ac:dyDescent="0.2">
      <c r="A70" t="s">
        <v>237</v>
      </c>
      <c r="B70" t="s">
        <v>1446</v>
      </c>
      <c r="C70">
        <v>0</v>
      </c>
      <c r="D70">
        <v>0</v>
      </c>
      <c r="E70">
        <v>0</v>
      </c>
    </row>
    <row r="71" spans="1:5" x14ac:dyDescent="0.2">
      <c r="A71" t="s">
        <v>238</v>
      </c>
      <c r="B71" t="s">
        <v>1446</v>
      </c>
      <c r="C71">
        <v>0</v>
      </c>
      <c r="D71">
        <v>0</v>
      </c>
      <c r="E71">
        <v>0</v>
      </c>
    </row>
    <row r="72" spans="1:5" x14ac:dyDescent="0.2">
      <c r="A72" t="s">
        <v>239</v>
      </c>
      <c r="B72" t="s">
        <v>1446</v>
      </c>
      <c r="C72">
        <v>0</v>
      </c>
      <c r="D72">
        <v>0</v>
      </c>
      <c r="E72">
        <v>0</v>
      </c>
    </row>
    <row r="73" spans="1:5" x14ac:dyDescent="0.2">
      <c r="A73" t="s">
        <v>240</v>
      </c>
      <c r="B73" t="s">
        <v>1446</v>
      </c>
      <c r="C73">
        <v>0</v>
      </c>
      <c r="D73">
        <v>0</v>
      </c>
      <c r="E73">
        <v>0</v>
      </c>
    </row>
    <row r="74" spans="1:5" x14ac:dyDescent="0.2">
      <c r="A74" t="s">
        <v>241</v>
      </c>
      <c r="B74" t="s">
        <v>1446</v>
      </c>
      <c r="C74">
        <v>0</v>
      </c>
      <c r="D74">
        <v>0</v>
      </c>
      <c r="E74">
        <v>0</v>
      </c>
    </row>
    <row r="75" spans="1:5" x14ac:dyDescent="0.2">
      <c r="A75" t="s">
        <v>242</v>
      </c>
      <c r="B75" t="s">
        <v>1446</v>
      </c>
      <c r="C75">
        <v>0</v>
      </c>
      <c r="D75">
        <v>0</v>
      </c>
      <c r="E75">
        <v>0</v>
      </c>
    </row>
    <row r="76" spans="1:5" x14ac:dyDescent="0.2">
      <c r="A76" t="s">
        <v>243</v>
      </c>
      <c r="B76" t="s">
        <v>1446</v>
      </c>
      <c r="C76">
        <v>0</v>
      </c>
      <c r="D76">
        <v>0</v>
      </c>
      <c r="E76">
        <v>0</v>
      </c>
    </row>
    <row r="77" spans="1:5" x14ac:dyDescent="0.2">
      <c r="A77" t="s">
        <v>244</v>
      </c>
      <c r="B77" t="s">
        <v>1446</v>
      </c>
      <c r="C77">
        <v>0</v>
      </c>
      <c r="D77">
        <v>0</v>
      </c>
      <c r="E77">
        <v>0</v>
      </c>
    </row>
    <row r="78" spans="1:5" x14ac:dyDescent="0.2">
      <c r="A78" t="s">
        <v>245</v>
      </c>
      <c r="B78" t="s">
        <v>1446</v>
      </c>
      <c r="C78">
        <v>0</v>
      </c>
      <c r="D78">
        <v>0</v>
      </c>
      <c r="E78">
        <v>0</v>
      </c>
    </row>
    <row r="79" spans="1:5" x14ac:dyDescent="0.2">
      <c r="A79" t="s">
        <v>246</v>
      </c>
      <c r="B79" t="s">
        <v>1446</v>
      </c>
      <c r="C79">
        <v>0</v>
      </c>
      <c r="D79">
        <v>0</v>
      </c>
      <c r="E79">
        <v>0</v>
      </c>
    </row>
    <row r="80" spans="1:5" x14ac:dyDescent="0.2">
      <c r="A80" t="s">
        <v>247</v>
      </c>
      <c r="B80" t="s">
        <v>1446</v>
      </c>
      <c r="C80">
        <v>0</v>
      </c>
      <c r="D80">
        <v>0</v>
      </c>
      <c r="E80">
        <v>0</v>
      </c>
    </row>
    <row r="81" spans="1:5" x14ac:dyDescent="0.2">
      <c r="A81" t="s">
        <v>248</v>
      </c>
      <c r="B81" t="s">
        <v>1446</v>
      </c>
      <c r="C81">
        <v>0</v>
      </c>
      <c r="D81">
        <v>0</v>
      </c>
      <c r="E81">
        <v>0</v>
      </c>
    </row>
    <row r="82" spans="1:5" x14ac:dyDescent="0.2">
      <c r="A82" t="s">
        <v>249</v>
      </c>
      <c r="B82" t="s">
        <v>1446</v>
      </c>
      <c r="C82">
        <v>0</v>
      </c>
      <c r="D82">
        <v>0</v>
      </c>
      <c r="E82">
        <v>0</v>
      </c>
    </row>
    <row r="83" spans="1:5" x14ac:dyDescent="0.2">
      <c r="A83" t="s">
        <v>250</v>
      </c>
      <c r="B83" t="s">
        <v>1446</v>
      </c>
      <c r="C83">
        <v>0</v>
      </c>
      <c r="D83">
        <v>0</v>
      </c>
      <c r="E83">
        <v>0</v>
      </c>
    </row>
    <row r="84" spans="1:5" x14ac:dyDescent="0.2">
      <c r="A84" t="s">
        <v>251</v>
      </c>
      <c r="B84" t="s">
        <v>1446</v>
      </c>
      <c r="C84">
        <v>0</v>
      </c>
      <c r="D84">
        <v>0</v>
      </c>
      <c r="E84">
        <v>0</v>
      </c>
    </row>
    <row r="85" spans="1:5" x14ac:dyDescent="0.2">
      <c r="A85" t="s">
        <v>252</v>
      </c>
      <c r="B85" t="s">
        <v>1446</v>
      </c>
      <c r="C85">
        <v>0</v>
      </c>
      <c r="D85">
        <v>0</v>
      </c>
      <c r="E85">
        <v>0</v>
      </c>
    </row>
    <row r="86" spans="1:5" x14ac:dyDescent="0.2">
      <c r="A86" t="s">
        <v>253</v>
      </c>
      <c r="B86" t="s">
        <v>1446</v>
      </c>
      <c r="C86">
        <v>0</v>
      </c>
      <c r="D86">
        <v>0</v>
      </c>
      <c r="E86">
        <v>0</v>
      </c>
    </row>
    <row r="87" spans="1:5" x14ac:dyDescent="0.2">
      <c r="A87" t="s">
        <v>254</v>
      </c>
      <c r="B87" t="s">
        <v>1446</v>
      </c>
      <c r="C87">
        <v>0</v>
      </c>
      <c r="D87">
        <v>0</v>
      </c>
      <c r="E87">
        <v>0</v>
      </c>
    </row>
    <row r="88" spans="1:5" x14ac:dyDescent="0.2">
      <c r="A88" t="s">
        <v>255</v>
      </c>
      <c r="B88" t="s">
        <v>1446</v>
      </c>
      <c r="C88">
        <v>0</v>
      </c>
      <c r="D88">
        <v>0</v>
      </c>
      <c r="E88">
        <v>0</v>
      </c>
    </row>
    <row r="89" spans="1:5" x14ac:dyDescent="0.2">
      <c r="A89" t="s">
        <v>256</v>
      </c>
      <c r="B89" t="s">
        <v>1446</v>
      </c>
      <c r="C89">
        <v>0</v>
      </c>
      <c r="D89">
        <v>0</v>
      </c>
      <c r="E89">
        <v>0</v>
      </c>
    </row>
    <row r="90" spans="1:5" x14ac:dyDescent="0.2">
      <c r="A90" t="s">
        <v>257</v>
      </c>
      <c r="B90" t="s">
        <v>1446</v>
      </c>
      <c r="C90">
        <v>0</v>
      </c>
      <c r="D90">
        <v>0</v>
      </c>
      <c r="E90">
        <v>0</v>
      </c>
    </row>
    <row r="91" spans="1:5" x14ac:dyDescent="0.2">
      <c r="A91" t="s">
        <v>258</v>
      </c>
      <c r="B91" t="s">
        <v>1446</v>
      </c>
      <c r="C91">
        <v>0</v>
      </c>
      <c r="D91">
        <v>0</v>
      </c>
      <c r="E91">
        <v>0</v>
      </c>
    </row>
    <row r="92" spans="1:5" x14ac:dyDescent="0.2">
      <c r="A92" t="s">
        <v>259</v>
      </c>
      <c r="B92" t="s">
        <v>1446</v>
      </c>
      <c r="C92">
        <v>0</v>
      </c>
      <c r="D92">
        <v>0</v>
      </c>
      <c r="E92">
        <v>0</v>
      </c>
    </row>
    <row r="93" spans="1:5" x14ac:dyDescent="0.2">
      <c r="A93" t="s">
        <v>260</v>
      </c>
      <c r="B93" t="s">
        <v>1446</v>
      </c>
      <c r="C93">
        <v>0</v>
      </c>
      <c r="D93">
        <v>0</v>
      </c>
      <c r="E93">
        <v>0</v>
      </c>
    </row>
    <row r="94" spans="1:5" x14ac:dyDescent="0.2">
      <c r="A94" t="s">
        <v>261</v>
      </c>
      <c r="B94" t="s">
        <v>1446</v>
      </c>
      <c r="C94">
        <v>0</v>
      </c>
      <c r="D94">
        <v>0</v>
      </c>
      <c r="E94">
        <v>0</v>
      </c>
    </row>
    <row r="95" spans="1:5" x14ac:dyDescent="0.2">
      <c r="A95" t="s">
        <v>262</v>
      </c>
      <c r="B95" t="s">
        <v>1446</v>
      </c>
      <c r="C95">
        <v>0</v>
      </c>
      <c r="D95">
        <v>0</v>
      </c>
      <c r="E95">
        <v>0</v>
      </c>
    </row>
    <row r="96" spans="1:5" x14ac:dyDescent="0.2">
      <c r="A96" t="s">
        <v>263</v>
      </c>
      <c r="B96" t="s">
        <v>1446</v>
      </c>
      <c r="C96">
        <v>0</v>
      </c>
      <c r="D96">
        <v>0</v>
      </c>
      <c r="E96">
        <v>0</v>
      </c>
    </row>
    <row r="97" spans="1:5" x14ac:dyDescent="0.2">
      <c r="A97" t="s">
        <v>264</v>
      </c>
      <c r="B97" t="s">
        <v>1446</v>
      </c>
      <c r="C97">
        <v>0</v>
      </c>
      <c r="D97">
        <v>0</v>
      </c>
      <c r="E97">
        <v>0</v>
      </c>
    </row>
    <row r="98" spans="1:5" x14ac:dyDescent="0.2">
      <c r="A98" t="s">
        <v>265</v>
      </c>
      <c r="B98" t="s">
        <v>1446</v>
      </c>
      <c r="C98">
        <v>0</v>
      </c>
      <c r="D98">
        <v>0</v>
      </c>
      <c r="E98">
        <v>0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GE"/>
  <dimension ref="A1:T80"/>
  <sheetViews>
    <sheetView workbookViewId="0"/>
  </sheetViews>
  <sheetFormatPr defaultRowHeight="12.75" x14ac:dyDescent="0.2"/>
  <cols>
    <col min="1" max="1" width="11.140625" bestFit="1" customWidth="1"/>
    <col min="2" max="2" width="8.5703125" bestFit="1" customWidth="1"/>
    <col min="3" max="3" width="5.7109375" bestFit="1" customWidth="1"/>
    <col min="4" max="4" width="5.140625" bestFit="1" customWidth="1"/>
    <col min="5" max="5" width="7.7109375" bestFit="1" customWidth="1"/>
    <col min="6" max="9" width="7" bestFit="1" customWidth="1"/>
    <col min="10" max="10" width="10.85546875" bestFit="1" customWidth="1"/>
    <col min="11" max="12" width="8" bestFit="1" customWidth="1"/>
    <col min="13" max="13" width="8.7109375" bestFit="1" customWidth="1"/>
    <col min="14" max="14" width="10.5703125" bestFit="1" customWidth="1"/>
    <col min="15" max="16" width="4.5703125" bestFit="1" customWidth="1"/>
    <col min="17" max="17" width="9.5703125" bestFit="1" customWidth="1"/>
    <col min="18" max="18" width="11.140625" bestFit="1" customWidth="1"/>
  </cols>
  <sheetData>
    <row r="1" spans="1:20" s="1" customFormat="1" x14ac:dyDescent="0.2">
      <c r="A1" s="1" t="s">
        <v>1404</v>
      </c>
      <c r="B1" s="1" t="s">
        <v>1402</v>
      </c>
      <c r="C1" s="1" t="s">
        <v>974</v>
      </c>
      <c r="D1" s="1" t="s">
        <v>980</v>
      </c>
      <c r="E1" s="50" t="s">
        <v>1364</v>
      </c>
      <c r="F1" s="45" t="s">
        <v>1365</v>
      </c>
      <c r="G1" s="1" t="s">
        <v>1366</v>
      </c>
      <c r="H1" s="1" t="s">
        <v>1367</v>
      </c>
      <c r="I1" s="1" t="s">
        <v>1368</v>
      </c>
      <c r="J1" s="1" t="s">
        <v>978</v>
      </c>
      <c r="K1" s="1" t="s">
        <v>1369</v>
      </c>
      <c r="L1" s="1" t="s">
        <v>975</v>
      </c>
      <c r="M1" s="1" t="s">
        <v>979</v>
      </c>
      <c r="N1" s="1" t="s">
        <v>969</v>
      </c>
      <c r="O1" s="1" t="s">
        <v>1444</v>
      </c>
      <c r="P1" s="1" t="s">
        <v>1445</v>
      </c>
      <c r="Q1" s="1" t="s">
        <v>976</v>
      </c>
      <c r="R1" s="1" t="s">
        <v>1510</v>
      </c>
      <c r="T1" s="45">
        <v>43236</v>
      </c>
    </row>
    <row r="2" spans="1:20" x14ac:dyDescent="0.2">
      <c r="A2" t="str">
        <f>B2&amp;"."&amp;D2&amp;"."&amp;C2</f>
        <v>ICE.2018.6</v>
      </c>
      <c r="B2" t="s">
        <v>1403</v>
      </c>
      <c r="C2" t="str">
        <f>TEXT(DATEVALUE("1"&amp;E2),"M")</f>
        <v>6</v>
      </c>
      <c r="D2" t="str">
        <f>TEXT(DATEVALUE("1"&amp;E2),"YYYY")</f>
        <v>2018</v>
      </c>
      <c r="E2" s="51" t="s">
        <v>1371</v>
      </c>
      <c r="F2">
        <v>7.2499999999999995E-2</v>
      </c>
      <c r="G2">
        <v>7.2499999999999995E-2</v>
      </c>
      <c r="H2">
        <v>7.2499999999999995E-2</v>
      </c>
      <c r="I2">
        <v>7.2499999999999995E-2</v>
      </c>
      <c r="J2">
        <v>7.7499999999999999E-2</v>
      </c>
      <c r="K2">
        <v>0</v>
      </c>
      <c r="L2">
        <v>1260</v>
      </c>
      <c r="M2">
        <v>9923</v>
      </c>
      <c r="N2">
        <v>-480</v>
      </c>
      <c r="O2">
        <v>0</v>
      </c>
      <c r="P2">
        <v>0</v>
      </c>
      <c r="Q2">
        <v>780</v>
      </c>
      <c r="R2">
        <v>0</v>
      </c>
    </row>
    <row r="3" spans="1:20" x14ac:dyDescent="0.2">
      <c r="A3" t="str">
        <f t="shared" ref="A3:A66" si="0">B3&amp;"."&amp;D3&amp;"."&amp;C3</f>
        <v>ICE.2018.7</v>
      </c>
      <c r="B3" t="s">
        <v>1403</v>
      </c>
      <c r="C3" t="str">
        <f t="shared" ref="C3:C66" si="1">TEXT(DATEVALUE("1"&amp;E3),"M")</f>
        <v>7</v>
      </c>
      <c r="D3" t="str">
        <f t="shared" ref="D3:D66" si="2">TEXT(DATEVALUE("1"&amp;E3),"YYYY")</f>
        <v>2018</v>
      </c>
      <c r="E3" s="51" t="s">
        <v>1372</v>
      </c>
      <c r="F3">
        <v>0.1</v>
      </c>
      <c r="G3">
        <v>0.1</v>
      </c>
      <c r="H3">
        <v>0.1</v>
      </c>
      <c r="I3">
        <v>0.1</v>
      </c>
      <c r="J3">
        <v>9.7500000000000003E-2</v>
      </c>
      <c r="K3">
        <v>-1.4999999999999999E-2</v>
      </c>
      <c r="L3">
        <v>811</v>
      </c>
      <c r="M3">
        <v>10092</v>
      </c>
      <c r="N3">
        <v>36</v>
      </c>
      <c r="O3">
        <v>0</v>
      </c>
      <c r="P3">
        <v>0</v>
      </c>
      <c r="Q3">
        <v>594</v>
      </c>
      <c r="R3">
        <v>0</v>
      </c>
    </row>
    <row r="4" spans="1:20" x14ac:dyDescent="0.2">
      <c r="A4" t="str">
        <f t="shared" si="0"/>
        <v>ICE.2018.8</v>
      </c>
      <c r="B4" t="s">
        <v>1403</v>
      </c>
      <c r="C4" t="str">
        <f t="shared" si="1"/>
        <v>8</v>
      </c>
      <c r="D4" t="str">
        <f t="shared" si="2"/>
        <v>2018</v>
      </c>
      <c r="E4" s="51" t="s">
        <v>1373</v>
      </c>
      <c r="F4">
        <v>0.115</v>
      </c>
      <c r="G4">
        <v>0.115</v>
      </c>
      <c r="H4">
        <v>0.115</v>
      </c>
      <c r="I4">
        <v>0.115</v>
      </c>
      <c r="J4">
        <v>0.1125</v>
      </c>
      <c r="K4">
        <v>-1.2500000000000001E-2</v>
      </c>
      <c r="L4">
        <v>718</v>
      </c>
      <c r="M4">
        <v>13750</v>
      </c>
      <c r="N4">
        <v>5</v>
      </c>
      <c r="O4">
        <v>0</v>
      </c>
      <c r="P4">
        <v>0</v>
      </c>
      <c r="Q4">
        <v>594</v>
      </c>
      <c r="R4">
        <v>0</v>
      </c>
    </row>
    <row r="5" spans="1:20" x14ac:dyDescent="0.2">
      <c r="A5" t="str">
        <f t="shared" si="0"/>
        <v>ICE.2018.9</v>
      </c>
      <c r="B5" t="s">
        <v>1403</v>
      </c>
      <c r="C5" t="str">
        <f t="shared" si="1"/>
        <v>9</v>
      </c>
      <c r="D5" t="str">
        <f t="shared" si="2"/>
        <v>2018</v>
      </c>
      <c r="E5" s="51" t="s">
        <v>1374</v>
      </c>
      <c r="J5">
        <v>8.2500000000000004E-2</v>
      </c>
      <c r="K5">
        <v>-7.4999999999999997E-3</v>
      </c>
      <c r="L5">
        <v>640</v>
      </c>
      <c r="M5">
        <v>8632</v>
      </c>
      <c r="N5">
        <v>520</v>
      </c>
      <c r="O5">
        <v>0</v>
      </c>
      <c r="P5">
        <v>0</v>
      </c>
      <c r="Q5">
        <v>580</v>
      </c>
      <c r="R5">
        <v>0</v>
      </c>
    </row>
    <row r="6" spans="1:20" x14ac:dyDescent="0.2">
      <c r="A6" t="str">
        <f t="shared" si="0"/>
        <v>ICE.2018.10</v>
      </c>
      <c r="B6" t="s">
        <v>1403</v>
      </c>
      <c r="C6" t="str">
        <f t="shared" si="1"/>
        <v>10</v>
      </c>
      <c r="D6" t="str">
        <f t="shared" si="2"/>
        <v>2018</v>
      </c>
      <c r="E6" s="51" t="s">
        <v>1375</v>
      </c>
      <c r="J6">
        <v>3.2500000000000001E-2</v>
      </c>
      <c r="K6">
        <v>2.5000000000000001E-3</v>
      </c>
      <c r="L6">
        <v>310</v>
      </c>
      <c r="M6">
        <v>6662</v>
      </c>
      <c r="N6">
        <v>217</v>
      </c>
      <c r="O6">
        <v>0</v>
      </c>
      <c r="P6">
        <v>0</v>
      </c>
      <c r="Q6">
        <v>310</v>
      </c>
      <c r="R6">
        <v>0</v>
      </c>
    </row>
    <row r="7" spans="1:20" x14ac:dyDescent="0.2">
      <c r="A7" t="str">
        <f t="shared" si="0"/>
        <v>ICE.2018.11</v>
      </c>
      <c r="B7" t="s">
        <v>1403</v>
      </c>
      <c r="C7" t="str">
        <f t="shared" si="1"/>
        <v>11</v>
      </c>
      <c r="D7" t="str">
        <f t="shared" si="2"/>
        <v>2018</v>
      </c>
      <c r="E7" s="51" t="s">
        <v>1376</v>
      </c>
      <c r="J7">
        <v>5.0000000000000001E-3</v>
      </c>
      <c r="K7">
        <v>7.4999999999999997E-3</v>
      </c>
      <c r="L7">
        <v>0</v>
      </c>
      <c r="M7">
        <v>5991</v>
      </c>
      <c r="N7">
        <v>0</v>
      </c>
      <c r="O7">
        <v>0</v>
      </c>
      <c r="P7">
        <v>0</v>
      </c>
      <c r="Q7">
        <v>0</v>
      </c>
      <c r="R7">
        <v>0</v>
      </c>
    </row>
    <row r="8" spans="1:20" x14ac:dyDescent="0.2">
      <c r="A8" t="str">
        <f t="shared" si="0"/>
        <v>ICE.2018.12</v>
      </c>
      <c r="B8" t="s">
        <v>1403</v>
      </c>
      <c r="C8" t="str">
        <f t="shared" si="1"/>
        <v>12</v>
      </c>
      <c r="D8" t="str">
        <f t="shared" si="2"/>
        <v>2018</v>
      </c>
      <c r="E8" s="51" t="s">
        <v>1377</v>
      </c>
      <c r="J8">
        <v>-0.03</v>
      </c>
      <c r="K8">
        <v>1.7500000000000002E-2</v>
      </c>
      <c r="L8">
        <v>0</v>
      </c>
      <c r="M8">
        <v>4776</v>
      </c>
      <c r="N8">
        <v>0</v>
      </c>
      <c r="O8">
        <v>0</v>
      </c>
      <c r="P8">
        <v>0</v>
      </c>
      <c r="Q8">
        <v>0</v>
      </c>
      <c r="R8">
        <v>0</v>
      </c>
    </row>
    <row r="9" spans="1:20" x14ac:dyDescent="0.2">
      <c r="A9" t="str">
        <f t="shared" si="0"/>
        <v>ICE.2019.1</v>
      </c>
      <c r="B9" t="s">
        <v>1403</v>
      </c>
      <c r="C9" t="str">
        <f t="shared" si="1"/>
        <v>1</v>
      </c>
      <c r="D9" t="str">
        <f t="shared" si="2"/>
        <v>2019</v>
      </c>
      <c r="E9" s="51" t="s">
        <v>1378</v>
      </c>
      <c r="J9">
        <v>-7.2499999999999995E-2</v>
      </c>
      <c r="K9">
        <v>1.7500000000000002E-2</v>
      </c>
      <c r="L9">
        <v>0</v>
      </c>
      <c r="M9">
        <v>4862</v>
      </c>
      <c r="N9">
        <v>0</v>
      </c>
      <c r="O9">
        <v>0</v>
      </c>
      <c r="P9">
        <v>0</v>
      </c>
      <c r="Q9">
        <v>0</v>
      </c>
      <c r="R9">
        <v>0</v>
      </c>
    </row>
    <row r="10" spans="1:20" x14ac:dyDescent="0.2">
      <c r="A10" t="str">
        <f t="shared" si="0"/>
        <v>ICE.2019.2</v>
      </c>
      <c r="B10" t="s">
        <v>1403</v>
      </c>
      <c r="C10" t="str">
        <f t="shared" si="1"/>
        <v>2</v>
      </c>
      <c r="D10" t="str">
        <f t="shared" si="2"/>
        <v>2019</v>
      </c>
      <c r="E10" s="51" t="s">
        <v>1379</v>
      </c>
      <c r="J10">
        <v>-7.4999999999999997E-2</v>
      </c>
      <c r="K10">
        <v>1.4999999999999999E-2</v>
      </c>
      <c r="L10">
        <v>0</v>
      </c>
      <c r="M10">
        <v>3061</v>
      </c>
      <c r="N10">
        <v>0</v>
      </c>
      <c r="O10">
        <v>0</v>
      </c>
      <c r="P10">
        <v>0</v>
      </c>
      <c r="Q10">
        <v>0</v>
      </c>
      <c r="R10">
        <v>0</v>
      </c>
    </row>
    <row r="11" spans="1:20" x14ac:dyDescent="0.2">
      <c r="A11" t="str">
        <f t="shared" si="0"/>
        <v>ICE.2019.3</v>
      </c>
      <c r="B11" t="s">
        <v>1403</v>
      </c>
      <c r="C11" t="str">
        <f t="shared" si="1"/>
        <v>3</v>
      </c>
      <c r="D11" t="str">
        <f t="shared" si="2"/>
        <v>2019</v>
      </c>
      <c r="E11" s="51" t="s">
        <v>1380</v>
      </c>
      <c r="J11">
        <v>-4.2500000000000003E-2</v>
      </c>
      <c r="K11">
        <v>1.7500000000000002E-2</v>
      </c>
      <c r="L11">
        <v>0</v>
      </c>
      <c r="M11">
        <v>3965</v>
      </c>
      <c r="N11">
        <v>0</v>
      </c>
      <c r="O11">
        <v>0</v>
      </c>
      <c r="P11">
        <v>0</v>
      </c>
      <c r="Q11">
        <v>0</v>
      </c>
      <c r="R11">
        <v>0</v>
      </c>
    </row>
    <row r="12" spans="1:20" x14ac:dyDescent="0.2">
      <c r="A12" t="str">
        <f t="shared" si="0"/>
        <v>ICE.2019.4</v>
      </c>
      <c r="B12" t="s">
        <v>1403</v>
      </c>
      <c r="C12" t="str">
        <f t="shared" si="1"/>
        <v>4</v>
      </c>
      <c r="D12" t="str">
        <f t="shared" si="2"/>
        <v>2019</v>
      </c>
      <c r="E12" s="51" t="s">
        <v>1381</v>
      </c>
      <c r="J12">
        <v>-1.4999999999999999E-2</v>
      </c>
      <c r="K12">
        <v>1.2500000000000001E-2</v>
      </c>
      <c r="L12">
        <v>0</v>
      </c>
      <c r="M12">
        <v>3191</v>
      </c>
      <c r="N12">
        <v>0</v>
      </c>
      <c r="O12">
        <v>0</v>
      </c>
      <c r="P12">
        <v>0</v>
      </c>
      <c r="Q12">
        <v>0</v>
      </c>
      <c r="R12">
        <v>0</v>
      </c>
    </row>
    <row r="13" spans="1:20" x14ac:dyDescent="0.2">
      <c r="A13" t="str">
        <f t="shared" si="0"/>
        <v>ICE.2019.5</v>
      </c>
      <c r="B13" t="s">
        <v>1403</v>
      </c>
      <c r="C13" t="str">
        <f t="shared" si="1"/>
        <v>5</v>
      </c>
      <c r="D13" t="str">
        <f t="shared" si="2"/>
        <v>2019</v>
      </c>
      <c r="E13" s="51" t="s">
        <v>1382</v>
      </c>
      <c r="J13">
        <v>-0.01</v>
      </c>
      <c r="K13">
        <v>1.2500000000000001E-2</v>
      </c>
      <c r="L13">
        <v>0</v>
      </c>
      <c r="M13">
        <v>3297</v>
      </c>
      <c r="N13">
        <v>0</v>
      </c>
      <c r="O13">
        <v>0</v>
      </c>
      <c r="P13">
        <v>0</v>
      </c>
      <c r="Q13">
        <v>0</v>
      </c>
      <c r="R13">
        <v>0</v>
      </c>
    </row>
    <row r="14" spans="1:20" x14ac:dyDescent="0.2">
      <c r="A14" t="str">
        <f t="shared" si="0"/>
        <v>ICE.2019.6</v>
      </c>
      <c r="B14" t="s">
        <v>1403</v>
      </c>
      <c r="C14" t="str">
        <f t="shared" si="1"/>
        <v>6</v>
      </c>
      <c r="D14" t="str">
        <f t="shared" si="2"/>
        <v>2019</v>
      </c>
      <c r="E14" s="51" t="s">
        <v>1383</v>
      </c>
      <c r="J14">
        <v>-3.2500000000000001E-2</v>
      </c>
      <c r="K14">
        <v>1.2500000000000001E-2</v>
      </c>
      <c r="L14">
        <v>0</v>
      </c>
      <c r="M14">
        <v>3191</v>
      </c>
      <c r="N14">
        <v>0</v>
      </c>
      <c r="O14">
        <v>0</v>
      </c>
      <c r="P14">
        <v>0</v>
      </c>
      <c r="Q14">
        <v>0</v>
      </c>
      <c r="R14">
        <v>0</v>
      </c>
    </row>
    <row r="15" spans="1:20" x14ac:dyDescent="0.2">
      <c r="A15" t="str">
        <f t="shared" si="0"/>
        <v>ICE.2019.7</v>
      </c>
      <c r="B15" t="s">
        <v>1403</v>
      </c>
      <c r="C15" t="str">
        <f t="shared" si="1"/>
        <v>7</v>
      </c>
      <c r="D15" t="str">
        <f t="shared" si="2"/>
        <v>2019</v>
      </c>
      <c r="E15" s="51" t="s">
        <v>1384</v>
      </c>
      <c r="J15">
        <v>5.5E-2</v>
      </c>
      <c r="K15">
        <v>1.2500000000000001E-2</v>
      </c>
      <c r="L15">
        <v>0</v>
      </c>
      <c r="M15">
        <v>3512</v>
      </c>
      <c r="N15">
        <v>0</v>
      </c>
      <c r="O15">
        <v>0</v>
      </c>
      <c r="P15">
        <v>0</v>
      </c>
      <c r="Q15">
        <v>0</v>
      </c>
      <c r="R15">
        <v>0</v>
      </c>
    </row>
    <row r="16" spans="1:20" x14ac:dyDescent="0.2">
      <c r="A16" t="str">
        <f t="shared" si="0"/>
        <v>ICE.2019.8</v>
      </c>
      <c r="B16" t="s">
        <v>1403</v>
      </c>
      <c r="C16" t="str">
        <f t="shared" si="1"/>
        <v>8</v>
      </c>
      <c r="D16" t="str">
        <f t="shared" si="2"/>
        <v>2019</v>
      </c>
      <c r="E16" s="51" t="s">
        <v>1385</v>
      </c>
      <c r="J16">
        <v>7.7499999999999999E-2</v>
      </c>
      <c r="K16">
        <v>1.2500000000000001E-2</v>
      </c>
      <c r="L16">
        <v>0</v>
      </c>
      <c r="M16">
        <v>3512</v>
      </c>
      <c r="N16">
        <v>0</v>
      </c>
      <c r="O16">
        <v>0</v>
      </c>
      <c r="P16">
        <v>0</v>
      </c>
      <c r="Q16">
        <v>0</v>
      </c>
      <c r="R16">
        <v>0</v>
      </c>
    </row>
    <row r="17" spans="1:18" x14ac:dyDescent="0.2">
      <c r="A17" t="str">
        <f t="shared" si="0"/>
        <v>ICE.2019.9</v>
      </c>
      <c r="B17" t="s">
        <v>1403</v>
      </c>
      <c r="C17" t="str">
        <f t="shared" si="1"/>
        <v>9</v>
      </c>
      <c r="D17" t="str">
        <f t="shared" si="2"/>
        <v>2019</v>
      </c>
      <c r="E17" s="51" t="s">
        <v>1386</v>
      </c>
      <c r="J17">
        <v>6.25E-2</v>
      </c>
      <c r="K17">
        <v>1.2500000000000001E-2</v>
      </c>
      <c r="L17">
        <v>0</v>
      </c>
      <c r="M17">
        <v>3399</v>
      </c>
      <c r="N17">
        <v>0</v>
      </c>
      <c r="O17">
        <v>0</v>
      </c>
      <c r="P17">
        <v>0</v>
      </c>
      <c r="Q17">
        <v>0</v>
      </c>
      <c r="R17">
        <v>0</v>
      </c>
    </row>
    <row r="18" spans="1:18" x14ac:dyDescent="0.2">
      <c r="A18" t="str">
        <f t="shared" si="0"/>
        <v>ICE.2019.10</v>
      </c>
      <c r="B18" t="s">
        <v>1403</v>
      </c>
      <c r="C18" t="str">
        <f t="shared" si="1"/>
        <v>10</v>
      </c>
      <c r="D18" t="str">
        <f t="shared" si="2"/>
        <v>2019</v>
      </c>
      <c r="E18" s="51" t="s">
        <v>1387</v>
      </c>
      <c r="J18">
        <v>0</v>
      </c>
      <c r="K18">
        <v>1.2500000000000001E-2</v>
      </c>
      <c r="L18">
        <v>0</v>
      </c>
      <c r="M18">
        <v>3109</v>
      </c>
      <c r="N18">
        <v>0</v>
      </c>
      <c r="O18">
        <v>0</v>
      </c>
      <c r="P18">
        <v>0</v>
      </c>
      <c r="Q18">
        <v>0</v>
      </c>
      <c r="R18">
        <v>0</v>
      </c>
    </row>
    <row r="19" spans="1:18" x14ac:dyDescent="0.2">
      <c r="A19" t="str">
        <f t="shared" si="0"/>
        <v>ICE.2019.11</v>
      </c>
      <c r="B19" t="s">
        <v>1403</v>
      </c>
      <c r="C19" t="str">
        <f t="shared" si="1"/>
        <v>11</v>
      </c>
      <c r="D19" t="str">
        <f t="shared" si="2"/>
        <v>2019</v>
      </c>
      <c r="E19" s="51" t="s">
        <v>1388</v>
      </c>
      <c r="J19">
        <v>3.7499999999999999E-2</v>
      </c>
      <c r="K19">
        <v>0</v>
      </c>
      <c r="L19">
        <v>0</v>
      </c>
      <c r="M19">
        <v>1329</v>
      </c>
      <c r="N19">
        <v>0</v>
      </c>
      <c r="O19">
        <v>0</v>
      </c>
      <c r="P19">
        <v>0</v>
      </c>
      <c r="Q19">
        <v>0</v>
      </c>
      <c r="R19">
        <v>0</v>
      </c>
    </row>
    <row r="20" spans="1:18" x14ac:dyDescent="0.2">
      <c r="A20" t="str">
        <f t="shared" si="0"/>
        <v>ICE.2019.12</v>
      </c>
      <c r="B20" t="s">
        <v>1403</v>
      </c>
      <c r="C20" t="str">
        <f t="shared" si="1"/>
        <v>12</v>
      </c>
      <c r="D20" t="str">
        <f t="shared" si="2"/>
        <v>2019</v>
      </c>
      <c r="E20" s="51" t="s">
        <v>1389</v>
      </c>
      <c r="J20">
        <v>1.7500000000000002E-2</v>
      </c>
      <c r="K20">
        <v>0</v>
      </c>
      <c r="L20">
        <v>0</v>
      </c>
      <c r="M20">
        <v>1373</v>
      </c>
      <c r="N20">
        <v>0</v>
      </c>
      <c r="O20">
        <v>0</v>
      </c>
      <c r="P20">
        <v>0</v>
      </c>
      <c r="Q20">
        <v>0</v>
      </c>
      <c r="R20">
        <v>0</v>
      </c>
    </row>
    <row r="21" spans="1:18" x14ac:dyDescent="0.2">
      <c r="A21" t="str">
        <f t="shared" si="0"/>
        <v>ICE.2020.1</v>
      </c>
      <c r="B21" t="s">
        <v>1403</v>
      </c>
      <c r="C21" t="str">
        <f t="shared" si="1"/>
        <v>1</v>
      </c>
      <c r="D21" t="str">
        <f t="shared" si="2"/>
        <v>2020</v>
      </c>
      <c r="E21" s="51" t="s">
        <v>1390</v>
      </c>
      <c r="J21">
        <v>-0.03</v>
      </c>
      <c r="K21">
        <v>0</v>
      </c>
      <c r="L21">
        <v>0</v>
      </c>
      <c r="M21">
        <v>923</v>
      </c>
      <c r="N21">
        <v>0</v>
      </c>
      <c r="O21">
        <v>0</v>
      </c>
      <c r="P21">
        <v>0</v>
      </c>
      <c r="Q21">
        <v>0</v>
      </c>
      <c r="R21">
        <v>0</v>
      </c>
    </row>
    <row r="22" spans="1:18" x14ac:dyDescent="0.2">
      <c r="A22" t="str">
        <f t="shared" si="0"/>
        <v>ICE.2020.2</v>
      </c>
      <c r="B22" t="s">
        <v>1403</v>
      </c>
      <c r="C22" t="str">
        <f t="shared" si="1"/>
        <v>2</v>
      </c>
      <c r="D22" t="str">
        <f t="shared" si="2"/>
        <v>2020</v>
      </c>
      <c r="E22" s="51" t="s">
        <v>1391</v>
      </c>
      <c r="J22">
        <v>-4.2500000000000003E-2</v>
      </c>
      <c r="K22">
        <v>0</v>
      </c>
      <c r="L22">
        <v>0</v>
      </c>
      <c r="M22">
        <v>865</v>
      </c>
      <c r="N22">
        <v>0</v>
      </c>
      <c r="O22">
        <v>0</v>
      </c>
      <c r="P22">
        <v>0</v>
      </c>
      <c r="Q22">
        <v>0</v>
      </c>
      <c r="R22">
        <v>0</v>
      </c>
    </row>
    <row r="23" spans="1:18" x14ac:dyDescent="0.2">
      <c r="A23" t="str">
        <f t="shared" si="0"/>
        <v>ICE.2020.3</v>
      </c>
      <c r="B23" t="s">
        <v>1403</v>
      </c>
      <c r="C23" t="str">
        <f t="shared" si="1"/>
        <v>3</v>
      </c>
      <c r="D23" t="str">
        <f t="shared" si="2"/>
        <v>2020</v>
      </c>
      <c r="E23" s="51" t="s">
        <v>1392</v>
      </c>
      <c r="J23">
        <v>-7.4999999999999997E-3</v>
      </c>
      <c r="K23">
        <v>0</v>
      </c>
      <c r="L23">
        <v>0</v>
      </c>
      <c r="M23">
        <v>923</v>
      </c>
      <c r="N23">
        <v>0</v>
      </c>
      <c r="O23">
        <v>0</v>
      </c>
      <c r="P23">
        <v>0</v>
      </c>
      <c r="Q23">
        <v>0</v>
      </c>
      <c r="R23">
        <v>0</v>
      </c>
    </row>
    <row r="24" spans="1:18" x14ac:dyDescent="0.2">
      <c r="A24" t="str">
        <f t="shared" si="0"/>
        <v>ICE.2020.4</v>
      </c>
      <c r="B24" t="s">
        <v>1403</v>
      </c>
      <c r="C24" t="str">
        <f t="shared" si="1"/>
        <v>4</v>
      </c>
      <c r="D24" t="str">
        <f t="shared" si="2"/>
        <v>2020</v>
      </c>
      <c r="E24" s="51" t="s">
        <v>1393</v>
      </c>
      <c r="J24">
        <v>0.14749999999999999</v>
      </c>
      <c r="K24">
        <v>7.4999999999999997E-3</v>
      </c>
      <c r="L24">
        <v>0</v>
      </c>
      <c r="M24">
        <v>914</v>
      </c>
      <c r="N24">
        <v>0</v>
      </c>
      <c r="O24">
        <v>0</v>
      </c>
      <c r="P24">
        <v>0</v>
      </c>
      <c r="Q24">
        <v>0</v>
      </c>
      <c r="R24">
        <v>0</v>
      </c>
    </row>
    <row r="25" spans="1:18" x14ac:dyDescent="0.2">
      <c r="A25" t="str">
        <f t="shared" si="0"/>
        <v>ICE.2020.5</v>
      </c>
      <c r="B25" t="s">
        <v>1403</v>
      </c>
      <c r="C25" t="str">
        <f t="shared" si="1"/>
        <v>5</v>
      </c>
      <c r="D25" t="str">
        <f t="shared" si="2"/>
        <v>2020</v>
      </c>
      <c r="E25" s="51" t="s">
        <v>1394</v>
      </c>
      <c r="J25">
        <v>0.15</v>
      </c>
      <c r="K25">
        <v>7.4999999999999997E-3</v>
      </c>
      <c r="L25">
        <v>0</v>
      </c>
      <c r="M25">
        <v>944</v>
      </c>
      <c r="N25">
        <v>0</v>
      </c>
      <c r="O25">
        <v>0</v>
      </c>
      <c r="P25">
        <v>0</v>
      </c>
      <c r="Q25">
        <v>0</v>
      </c>
      <c r="R25">
        <v>0</v>
      </c>
    </row>
    <row r="26" spans="1:18" x14ac:dyDescent="0.2">
      <c r="A26" t="str">
        <f t="shared" si="0"/>
        <v>ICE.2020.6</v>
      </c>
      <c r="B26" t="s">
        <v>1403</v>
      </c>
      <c r="C26" t="str">
        <f t="shared" si="1"/>
        <v>6</v>
      </c>
      <c r="D26" t="str">
        <f t="shared" si="2"/>
        <v>2020</v>
      </c>
      <c r="E26" s="51" t="s">
        <v>1395</v>
      </c>
      <c r="J26">
        <v>0.13</v>
      </c>
      <c r="K26">
        <v>7.4999999999999997E-3</v>
      </c>
      <c r="L26">
        <v>0</v>
      </c>
      <c r="M26">
        <v>914</v>
      </c>
      <c r="N26">
        <v>0</v>
      </c>
      <c r="O26">
        <v>0</v>
      </c>
      <c r="P26">
        <v>0</v>
      </c>
      <c r="Q26">
        <v>0</v>
      </c>
      <c r="R26">
        <v>0</v>
      </c>
    </row>
    <row r="27" spans="1:18" x14ac:dyDescent="0.2">
      <c r="A27" t="str">
        <f t="shared" si="0"/>
        <v>ICE.2020.7</v>
      </c>
      <c r="B27" t="s">
        <v>1403</v>
      </c>
      <c r="C27" t="str">
        <f t="shared" si="1"/>
        <v>7</v>
      </c>
      <c r="D27" t="str">
        <f t="shared" si="2"/>
        <v>2020</v>
      </c>
      <c r="E27" s="51" t="s">
        <v>1396</v>
      </c>
      <c r="J27">
        <v>0.20749999999999999</v>
      </c>
      <c r="K27">
        <v>7.4999999999999997E-3</v>
      </c>
      <c r="L27">
        <v>0</v>
      </c>
      <c r="M27">
        <v>944</v>
      </c>
      <c r="N27">
        <v>0</v>
      </c>
      <c r="O27">
        <v>0</v>
      </c>
      <c r="P27">
        <v>0</v>
      </c>
      <c r="Q27">
        <v>0</v>
      </c>
      <c r="R27">
        <v>0</v>
      </c>
    </row>
    <row r="28" spans="1:18" x14ac:dyDescent="0.2">
      <c r="A28" t="str">
        <f t="shared" si="0"/>
        <v>ICE.2020.8</v>
      </c>
      <c r="B28" t="s">
        <v>1403</v>
      </c>
      <c r="C28" t="str">
        <f t="shared" si="1"/>
        <v>8</v>
      </c>
      <c r="D28" t="str">
        <f t="shared" si="2"/>
        <v>2020</v>
      </c>
      <c r="E28" s="51" t="s">
        <v>1397</v>
      </c>
      <c r="J28">
        <v>0.23</v>
      </c>
      <c r="K28">
        <v>7.4999999999999997E-3</v>
      </c>
      <c r="L28">
        <v>0</v>
      </c>
      <c r="M28">
        <v>944</v>
      </c>
      <c r="N28">
        <v>0</v>
      </c>
      <c r="O28">
        <v>0</v>
      </c>
      <c r="P28">
        <v>0</v>
      </c>
      <c r="Q28">
        <v>0</v>
      </c>
      <c r="R28">
        <v>0</v>
      </c>
    </row>
    <row r="29" spans="1:18" x14ac:dyDescent="0.2">
      <c r="A29" t="str">
        <f t="shared" si="0"/>
        <v>ICE.2020.9</v>
      </c>
      <c r="B29" t="s">
        <v>1403</v>
      </c>
      <c r="C29" t="str">
        <f t="shared" si="1"/>
        <v>9</v>
      </c>
      <c r="D29" t="str">
        <f t="shared" si="2"/>
        <v>2020</v>
      </c>
      <c r="E29" s="51" t="s">
        <v>1398</v>
      </c>
      <c r="J29">
        <v>0.2175</v>
      </c>
      <c r="K29">
        <v>7.4999999999999997E-3</v>
      </c>
      <c r="L29">
        <v>0</v>
      </c>
      <c r="M29">
        <v>914</v>
      </c>
      <c r="N29">
        <v>0</v>
      </c>
      <c r="O29">
        <v>0</v>
      </c>
      <c r="P29">
        <v>0</v>
      </c>
      <c r="Q29">
        <v>0</v>
      </c>
      <c r="R29">
        <v>0</v>
      </c>
    </row>
    <row r="30" spans="1:18" x14ac:dyDescent="0.2">
      <c r="A30" t="str">
        <f t="shared" si="0"/>
        <v>ICE.2020.10</v>
      </c>
      <c r="B30" t="s">
        <v>1403</v>
      </c>
      <c r="C30" t="str">
        <f t="shared" si="1"/>
        <v>10</v>
      </c>
      <c r="D30" t="str">
        <f t="shared" si="2"/>
        <v>2020</v>
      </c>
      <c r="E30" s="51" t="s">
        <v>1399</v>
      </c>
      <c r="J30">
        <v>0.185</v>
      </c>
      <c r="K30">
        <v>7.4999999999999997E-3</v>
      </c>
      <c r="L30">
        <v>0</v>
      </c>
      <c r="M30">
        <v>944</v>
      </c>
      <c r="N30">
        <v>0</v>
      </c>
      <c r="O30">
        <v>0</v>
      </c>
      <c r="P30">
        <v>0</v>
      </c>
      <c r="Q30">
        <v>0</v>
      </c>
      <c r="R30">
        <v>0</v>
      </c>
    </row>
    <row r="31" spans="1:18" x14ac:dyDescent="0.2">
      <c r="A31" t="str">
        <f t="shared" si="0"/>
        <v>ICE.2020.11</v>
      </c>
      <c r="B31" t="s">
        <v>1403</v>
      </c>
      <c r="C31" t="str">
        <f t="shared" si="1"/>
        <v>11</v>
      </c>
      <c r="D31" t="str">
        <f t="shared" si="2"/>
        <v>2020</v>
      </c>
      <c r="E31" s="51" t="s">
        <v>1400</v>
      </c>
      <c r="J31">
        <v>0.155</v>
      </c>
      <c r="K31">
        <v>0</v>
      </c>
      <c r="L31">
        <v>0</v>
      </c>
      <c r="M31">
        <v>324</v>
      </c>
      <c r="N31">
        <v>0</v>
      </c>
      <c r="O31">
        <v>0</v>
      </c>
      <c r="P31">
        <v>0</v>
      </c>
      <c r="Q31">
        <v>0</v>
      </c>
      <c r="R31">
        <v>0</v>
      </c>
    </row>
    <row r="32" spans="1:18" x14ac:dyDescent="0.2">
      <c r="A32" t="str">
        <f t="shared" si="0"/>
        <v>ICE.2020.12</v>
      </c>
      <c r="B32" t="s">
        <v>1403</v>
      </c>
      <c r="C32" t="str">
        <f t="shared" si="1"/>
        <v>12</v>
      </c>
      <c r="D32" t="str">
        <f t="shared" si="2"/>
        <v>2020</v>
      </c>
      <c r="E32" s="51" t="s">
        <v>1401</v>
      </c>
      <c r="J32">
        <v>0.1525</v>
      </c>
      <c r="K32">
        <v>0</v>
      </c>
      <c r="L32">
        <v>0</v>
      </c>
      <c r="M32">
        <v>334</v>
      </c>
      <c r="N32">
        <v>0</v>
      </c>
      <c r="O32">
        <v>0</v>
      </c>
      <c r="P32">
        <v>0</v>
      </c>
      <c r="Q32">
        <v>0</v>
      </c>
      <c r="R32">
        <v>0</v>
      </c>
    </row>
    <row r="33" spans="1:18" x14ac:dyDescent="0.2">
      <c r="A33" t="str">
        <f t="shared" si="0"/>
        <v>ICE.2021.1</v>
      </c>
      <c r="B33" t="s">
        <v>1403</v>
      </c>
      <c r="C33" t="str">
        <f t="shared" si="1"/>
        <v>1</v>
      </c>
      <c r="D33" t="str">
        <f t="shared" si="2"/>
        <v>2021</v>
      </c>
      <c r="E33" s="51" t="s">
        <v>1405</v>
      </c>
      <c r="J33">
        <v>0.13250000000000001</v>
      </c>
      <c r="K33">
        <v>0</v>
      </c>
      <c r="L33">
        <v>0</v>
      </c>
      <c r="M33">
        <v>186</v>
      </c>
      <c r="N33">
        <v>0</v>
      </c>
      <c r="O33">
        <v>0</v>
      </c>
      <c r="P33">
        <v>0</v>
      </c>
      <c r="Q33">
        <v>0</v>
      </c>
      <c r="R33">
        <v>0</v>
      </c>
    </row>
    <row r="34" spans="1:18" x14ac:dyDescent="0.2">
      <c r="A34" t="str">
        <f t="shared" si="0"/>
        <v>ICE.2021.2</v>
      </c>
      <c r="B34" t="s">
        <v>1403</v>
      </c>
      <c r="C34" t="str">
        <f t="shared" si="1"/>
        <v>2</v>
      </c>
      <c r="D34" t="str">
        <f t="shared" si="2"/>
        <v>2021</v>
      </c>
      <c r="E34" s="51" t="s">
        <v>1406</v>
      </c>
      <c r="J34">
        <v>0.11</v>
      </c>
      <c r="K34">
        <v>0</v>
      </c>
      <c r="L34">
        <v>0</v>
      </c>
      <c r="M34">
        <v>168</v>
      </c>
      <c r="N34">
        <v>0</v>
      </c>
      <c r="O34">
        <v>0</v>
      </c>
      <c r="P34">
        <v>0</v>
      </c>
      <c r="Q34">
        <v>0</v>
      </c>
      <c r="R34">
        <v>0</v>
      </c>
    </row>
    <row r="35" spans="1:18" x14ac:dyDescent="0.2">
      <c r="A35" t="str">
        <f t="shared" si="0"/>
        <v>ICE.2021.3</v>
      </c>
      <c r="B35" t="s">
        <v>1403</v>
      </c>
      <c r="C35" t="str">
        <f t="shared" si="1"/>
        <v>3</v>
      </c>
      <c r="D35" t="str">
        <f t="shared" si="2"/>
        <v>2021</v>
      </c>
      <c r="E35" s="51" t="s">
        <v>1407</v>
      </c>
      <c r="J35">
        <v>0.1525</v>
      </c>
      <c r="K35">
        <v>0</v>
      </c>
      <c r="L35">
        <v>0</v>
      </c>
      <c r="M35">
        <v>186</v>
      </c>
      <c r="N35">
        <v>0</v>
      </c>
      <c r="O35">
        <v>0</v>
      </c>
      <c r="P35">
        <v>0</v>
      </c>
      <c r="Q35">
        <v>0</v>
      </c>
      <c r="R35">
        <v>0</v>
      </c>
    </row>
    <row r="36" spans="1:18" x14ac:dyDescent="0.2">
      <c r="A36" t="str">
        <f t="shared" si="0"/>
        <v>ICE.2021.4</v>
      </c>
      <c r="B36" t="s">
        <v>1403</v>
      </c>
      <c r="C36" t="str">
        <f t="shared" si="1"/>
        <v>4</v>
      </c>
      <c r="D36" t="str">
        <f t="shared" si="2"/>
        <v>2021</v>
      </c>
      <c r="E36" s="51" t="s">
        <v>1408</v>
      </c>
      <c r="J36">
        <v>0.26</v>
      </c>
      <c r="K36">
        <v>5.0000000000000001E-3</v>
      </c>
      <c r="L36">
        <v>0</v>
      </c>
      <c r="M36">
        <v>256</v>
      </c>
      <c r="N36">
        <v>0</v>
      </c>
      <c r="O36">
        <v>0</v>
      </c>
      <c r="P36">
        <v>0</v>
      </c>
      <c r="Q36">
        <v>0</v>
      </c>
      <c r="R36">
        <v>0</v>
      </c>
    </row>
    <row r="37" spans="1:18" x14ac:dyDescent="0.2">
      <c r="A37" t="str">
        <f t="shared" si="0"/>
        <v>ICE.2021.5</v>
      </c>
      <c r="B37" t="s">
        <v>1403</v>
      </c>
      <c r="C37" t="str">
        <f t="shared" si="1"/>
        <v>5</v>
      </c>
      <c r="D37" t="str">
        <f t="shared" si="2"/>
        <v>2021</v>
      </c>
      <c r="E37" s="51" t="s">
        <v>1409</v>
      </c>
      <c r="J37">
        <v>0.26250000000000001</v>
      </c>
      <c r="K37">
        <v>5.0000000000000001E-3</v>
      </c>
      <c r="L37">
        <v>0</v>
      </c>
      <c r="M37">
        <v>265</v>
      </c>
      <c r="N37">
        <v>0</v>
      </c>
      <c r="O37">
        <v>0</v>
      </c>
      <c r="P37">
        <v>0</v>
      </c>
      <c r="Q37">
        <v>0</v>
      </c>
      <c r="R37">
        <v>0</v>
      </c>
    </row>
    <row r="38" spans="1:18" x14ac:dyDescent="0.2">
      <c r="A38" t="str">
        <f t="shared" si="0"/>
        <v>ICE.2021.6</v>
      </c>
      <c r="B38" t="s">
        <v>1403</v>
      </c>
      <c r="C38" t="str">
        <f t="shared" si="1"/>
        <v>6</v>
      </c>
      <c r="D38" t="str">
        <f t="shared" si="2"/>
        <v>2021</v>
      </c>
      <c r="E38" s="51" t="s">
        <v>1410</v>
      </c>
      <c r="J38">
        <v>0.23250000000000001</v>
      </c>
      <c r="K38">
        <v>5.0000000000000001E-3</v>
      </c>
      <c r="L38">
        <v>0</v>
      </c>
      <c r="M38">
        <v>256</v>
      </c>
      <c r="N38">
        <v>0</v>
      </c>
      <c r="O38">
        <v>0</v>
      </c>
      <c r="P38">
        <v>0</v>
      </c>
      <c r="Q38">
        <v>0</v>
      </c>
      <c r="R38">
        <v>0</v>
      </c>
    </row>
    <row r="39" spans="1:18" x14ac:dyDescent="0.2">
      <c r="A39" t="str">
        <f t="shared" si="0"/>
        <v>ICE.2021.7</v>
      </c>
      <c r="B39" t="s">
        <v>1403</v>
      </c>
      <c r="C39" t="str">
        <f t="shared" si="1"/>
        <v>7</v>
      </c>
      <c r="D39" t="str">
        <f t="shared" si="2"/>
        <v>2021</v>
      </c>
      <c r="E39" s="51" t="s">
        <v>1411</v>
      </c>
      <c r="J39">
        <v>0.34250000000000003</v>
      </c>
      <c r="K39">
        <v>5.0000000000000001E-3</v>
      </c>
      <c r="L39">
        <v>0</v>
      </c>
      <c r="M39">
        <v>265</v>
      </c>
      <c r="N39">
        <v>0</v>
      </c>
      <c r="O39">
        <v>0</v>
      </c>
      <c r="P39">
        <v>0</v>
      </c>
      <c r="Q39">
        <v>0</v>
      </c>
      <c r="R39">
        <v>0</v>
      </c>
    </row>
    <row r="40" spans="1:18" x14ac:dyDescent="0.2">
      <c r="A40" t="str">
        <f t="shared" si="0"/>
        <v>ICE.2021.8</v>
      </c>
      <c r="B40" t="s">
        <v>1403</v>
      </c>
      <c r="C40" t="str">
        <f t="shared" si="1"/>
        <v>8</v>
      </c>
      <c r="D40" t="str">
        <f t="shared" si="2"/>
        <v>2021</v>
      </c>
      <c r="E40" s="51" t="s">
        <v>1412</v>
      </c>
      <c r="J40">
        <v>0.375</v>
      </c>
      <c r="K40">
        <v>5.0000000000000001E-3</v>
      </c>
      <c r="L40">
        <v>0</v>
      </c>
      <c r="M40">
        <v>265</v>
      </c>
      <c r="N40">
        <v>0</v>
      </c>
      <c r="O40">
        <v>0</v>
      </c>
      <c r="P40">
        <v>0</v>
      </c>
      <c r="Q40">
        <v>0</v>
      </c>
      <c r="R40">
        <v>0</v>
      </c>
    </row>
    <row r="41" spans="1:18" x14ac:dyDescent="0.2">
      <c r="A41" t="str">
        <f t="shared" si="0"/>
        <v>ICE.2021.9</v>
      </c>
      <c r="B41" t="s">
        <v>1403</v>
      </c>
      <c r="C41" t="str">
        <f t="shared" si="1"/>
        <v>9</v>
      </c>
      <c r="D41" t="str">
        <f t="shared" si="2"/>
        <v>2021</v>
      </c>
      <c r="E41" s="51" t="s">
        <v>1413</v>
      </c>
      <c r="J41">
        <v>0.35499999999999998</v>
      </c>
      <c r="K41">
        <v>5.0000000000000001E-3</v>
      </c>
      <c r="L41">
        <v>0</v>
      </c>
      <c r="M41">
        <v>256</v>
      </c>
      <c r="N41">
        <v>0</v>
      </c>
      <c r="O41">
        <v>0</v>
      </c>
      <c r="P41">
        <v>0</v>
      </c>
      <c r="Q41">
        <v>0</v>
      </c>
      <c r="R41">
        <v>0</v>
      </c>
    </row>
    <row r="42" spans="1:18" x14ac:dyDescent="0.2">
      <c r="A42" t="str">
        <f t="shared" si="0"/>
        <v>ICE.2021.10</v>
      </c>
      <c r="B42" t="s">
        <v>1403</v>
      </c>
      <c r="C42" t="str">
        <f t="shared" si="1"/>
        <v>10</v>
      </c>
      <c r="D42" t="str">
        <f t="shared" si="2"/>
        <v>2021</v>
      </c>
      <c r="E42" s="51" t="s">
        <v>1414</v>
      </c>
      <c r="J42">
        <v>0.31</v>
      </c>
      <c r="K42">
        <v>5.0000000000000001E-3</v>
      </c>
      <c r="L42">
        <v>0</v>
      </c>
      <c r="M42">
        <v>265</v>
      </c>
      <c r="N42">
        <v>0</v>
      </c>
      <c r="O42">
        <v>0</v>
      </c>
      <c r="P42">
        <v>0</v>
      </c>
      <c r="Q42">
        <v>0</v>
      </c>
      <c r="R42">
        <v>0</v>
      </c>
    </row>
    <row r="43" spans="1:18" x14ac:dyDescent="0.2">
      <c r="A43" t="str">
        <f t="shared" si="0"/>
        <v>ICE.2021.11</v>
      </c>
      <c r="B43" t="s">
        <v>1403</v>
      </c>
      <c r="C43" t="str">
        <f t="shared" si="1"/>
        <v>11</v>
      </c>
      <c r="D43" t="str">
        <f t="shared" si="2"/>
        <v>2021</v>
      </c>
      <c r="E43" s="51" t="s">
        <v>1415</v>
      </c>
      <c r="J43">
        <v>0.21249999999999999</v>
      </c>
      <c r="K43">
        <v>0</v>
      </c>
      <c r="L43">
        <v>0</v>
      </c>
      <c r="M43">
        <v>180</v>
      </c>
      <c r="N43">
        <v>0</v>
      </c>
      <c r="O43">
        <v>0</v>
      </c>
      <c r="P43">
        <v>0</v>
      </c>
      <c r="Q43">
        <v>0</v>
      </c>
      <c r="R43">
        <v>0</v>
      </c>
    </row>
    <row r="44" spans="1:18" x14ac:dyDescent="0.2">
      <c r="A44" t="str">
        <f t="shared" si="0"/>
        <v>ICE.2021.12</v>
      </c>
      <c r="B44" t="s">
        <v>1403</v>
      </c>
      <c r="C44" t="str">
        <f t="shared" si="1"/>
        <v>12</v>
      </c>
      <c r="D44" t="str">
        <f t="shared" si="2"/>
        <v>2021</v>
      </c>
      <c r="E44" s="51" t="s">
        <v>1416</v>
      </c>
      <c r="J44">
        <v>0.21</v>
      </c>
      <c r="K44">
        <v>0</v>
      </c>
      <c r="L44">
        <v>0</v>
      </c>
      <c r="M44">
        <v>186</v>
      </c>
      <c r="N44">
        <v>0</v>
      </c>
      <c r="O44">
        <v>0</v>
      </c>
      <c r="P44">
        <v>0</v>
      </c>
      <c r="Q44">
        <v>0</v>
      </c>
      <c r="R44">
        <v>0</v>
      </c>
    </row>
    <row r="45" spans="1:18" x14ac:dyDescent="0.2">
      <c r="A45" t="str">
        <f t="shared" si="0"/>
        <v>ICE.2022.1</v>
      </c>
      <c r="B45" t="s">
        <v>1403</v>
      </c>
      <c r="C45" t="str">
        <f t="shared" si="1"/>
        <v>1</v>
      </c>
      <c r="D45" t="str">
        <f t="shared" si="2"/>
        <v>2022</v>
      </c>
      <c r="E45" s="51" t="s">
        <v>1485</v>
      </c>
      <c r="J45">
        <v>0.185</v>
      </c>
      <c r="K45">
        <v>0</v>
      </c>
      <c r="L45">
        <v>0</v>
      </c>
      <c r="M45">
        <v>93</v>
      </c>
      <c r="N45">
        <v>0</v>
      </c>
      <c r="O45">
        <v>0</v>
      </c>
      <c r="P45">
        <v>0</v>
      </c>
      <c r="Q45">
        <v>0</v>
      </c>
      <c r="R45">
        <v>0</v>
      </c>
    </row>
    <row r="46" spans="1:18" x14ac:dyDescent="0.2">
      <c r="A46" t="str">
        <f t="shared" si="0"/>
        <v>ICE.2022.2</v>
      </c>
      <c r="B46" t="s">
        <v>1403</v>
      </c>
      <c r="C46" t="str">
        <f t="shared" si="1"/>
        <v>2</v>
      </c>
      <c r="D46" t="str">
        <f t="shared" si="2"/>
        <v>2022</v>
      </c>
      <c r="E46" s="51" t="s">
        <v>1486</v>
      </c>
      <c r="J46">
        <v>0.1525</v>
      </c>
      <c r="K46">
        <v>0</v>
      </c>
      <c r="L46">
        <v>0</v>
      </c>
      <c r="M46">
        <v>84</v>
      </c>
      <c r="N46">
        <v>0</v>
      </c>
      <c r="O46">
        <v>0</v>
      </c>
      <c r="P46">
        <v>0</v>
      </c>
      <c r="Q46">
        <v>0</v>
      </c>
      <c r="R46">
        <v>0</v>
      </c>
    </row>
    <row r="47" spans="1:18" x14ac:dyDescent="0.2">
      <c r="A47" t="str">
        <f t="shared" si="0"/>
        <v>ICE.2022.3</v>
      </c>
      <c r="B47" t="s">
        <v>1403</v>
      </c>
      <c r="C47" t="str">
        <f t="shared" si="1"/>
        <v>3</v>
      </c>
      <c r="D47" t="str">
        <f t="shared" si="2"/>
        <v>2022</v>
      </c>
      <c r="E47" s="51" t="s">
        <v>1487</v>
      </c>
      <c r="J47">
        <v>0.21</v>
      </c>
      <c r="K47">
        <v>0</v>
      </c>
      <c r="L47">
        <v>0</v>
      </c>
      <c r="M47">
        <v>93</v>
      </c>
      <c r="N47">
        <v>0</v>
      </c>
      <c r="O47">
        <v>0</v>
      </c>
      <c r="P47">
        <v>0</v>
      </c>
      <c r="Q47">
        <v>0</v>
      </c>
      <c r="R47">
        <v>0</v>
      </c>
    </row>
    <row r="48" spans="1:18" x14ac:dyDescent="0.2">
      <c r="A48" t="str">
        <f t="shared" si="0"/>
        <v>ICE.2022.4</v>
      </c>
      <c r="B48" t="s">
        <v>1403</v>
      </c>
      <c r="C48" t="str">
        <f t="shared" si="1"/>
        <v>4</v>
      </c>
      <c r="D48" t="str">
        <f t="shared" si="2"/>
        <v>2022</v>
      </c>
      <c r="E48" s="51" t="s">
        <v>1488</v>
      </c>
      <c r="J48">
        <v>0.32750000000000001</v>
      </c>
      <c r="K48">
        <v>0</v>
      </c>
      <c r="L48">
        <v>0</v>
      </c>
      <c r="M48">
        <v>114</v>
      </c>
      <c r="N48">
        <v>0</v>
      </c>
      <c r="O48">
        <v>0</v>
      </c>
      <c r="P48">
        <v>0</v>
      </c>
      <c r="Q48">
        <v>0</v>
      </c>
      <c r="R48">
        <v>0</v>
      </c>
    </row>
    <row r="49" spans="1:18" x14ac:dyDescent="0.2">
      <c r="A49" t="str">
        <f t="shared" si="0"/>
        <v>ICE.2022.5</v>
      </c>
      <c r="B49" t="s">
        <v>1403</v>
      </c>
      <c r="C49" t="str">
        <f t="shared" si="1"/>
        <v>5</v>
      </c>
      <c r="D49" t="str">
        <f t="shared" si="2"/>
        <v>2022</v>
      </c>
      <c r="E49" s="51" t="s">
        <v>1489</v>
      </c>
      <c r="J49">
        <v>0.33250000000000002</v>
      </c>
      <c r="K49">
        <v>0</v>
      </c>
      <c r="L49">
        <v>0</v>
      </c>
      <c r="M49">
        <v>117</v>
      </c>
      <c r="N49">
        <v>0</v>
      </c>
      <c r="O49">
        <v>0</v>
      </c>
      <c r="P49">
        <v>0</v>
      </c>
      <c r="Q49">
        <v>0</v>
      </c>
      <c r="R49">
        <v>0</v>
      </c>
    </row>
    <row r="50" spans="1:18" x14ac:dyDescent="0.2">
      <c r="A50" t="str">
        <f t="shared" si="0"/>
        <v>ICE.2022.6</v>
      </c>
      <c r="B50" t="s">
        <v>1403</v>
      </c>
      <c r="C50" t="str">
        <f t="shared" si="1"/>
        <v>6</v>
      </c>
      <c r="D50" t="str">
        <f t="shared" si="2"/>
        <v>2022</v>
      </c>
      <c r="E50" s="51" t="s">
        <v>1490</v>
      </c>
      <c r="J50">
        <v>0.3</v>
      </c>
      <c r="K50">
        <v>0</v>
      </c>
      <c r="L50">
        <v>0</v>
      </c>
      <c r="M50">
        <v>114</v>
      </c>
      <c r="N50">
        <v>0</v>
      </c>
      <c r="O50">
        <v>0</v>
      </c>
      <c r="P50">
        <v>0</v>
      </c>
      <c r="Q50">
        <v>0</v>
      </c>
      <c r="R50">
        <v>0</v>
      </c>
    </row>
    <row r="51" spans="1:18" x14ac:dyDescent="0.2">
      <c r="A51" t="str">
        <f t="shared" si="0"/>
        <v>ICE.2022.7</v>
      </c>
      <c r="B51" t="s">
        <v>1403</v>
      </c>
      <c r="C51" t="str">
        <f t="shared" si="1"/>
        <v>7</v>
      </c>
      <c r="D51" t="str">
        <f t="shared" si="2"/>
        <v>2022</v>
      </c>
      <c r="E51" s="51" t="s">
        <v>1491</v>
      </c>
      <c r="J51">
        <v>0.42</v>
      </c>
      <c r="K51">
        <v>0</v>
      </c>
      <c r="L51">
        <v>0</v>
      </c>
      <c r="M51">
        <v>117</v>
      </c>
      <c r="N51">
        <v>0</v>
      </c>
      <c r="O51">
        <v>0</v>
      </c>
      <c r="P51">
        <v>0</v>
      </c>
      <c r="Q51">
        <v>0</v>
      </c>
      <c r="R51">
        <v>0</v>
      </c>
    </row>
    <row r="52" spans="1:18" x14ac:dyDescent="0.2">
      <c r="A52" t="str">
        <f t="shared" si="0"/>
        <v>ICE.2022.8</v>
      </c>
      <c r="B52" t="s">
        <v>1403</v>
      </c>
      <c r="C52" t="str">
        <f t="shared" si="1"/>
        <v>8</v>
      </c>
      <c r="D52" t="str">
        <f t="shared" si="2"/>
        <v>2022</v>
      </c>
      <c r="E52" s="51" t="s">
        <v>1492</v>
      </c>
      <c r="J52">
        <v>0.45500000000000002</v>
      </c>
      <c r="K52">
        <v>0</v>
      </c>
      <c r="L52">
        <v>0</v>
      </c>
      <c r="M52">
        <v>117</v>
      </c>
      <c r="N52">
        <v>0</v>
      </c>
      <c r="O52">
        <v>0</v>
      </c>
      <c r="P52">
        <v>0</v>
      </c>
      <c r="Q52">
        <v>0</v>
      </c>
      <c r="R52">
        <v>0</v>
      </c>
    </row>
    <row r="53" spans="1:18" x14ac:dyDescent="0.2">
      <c r="A53" t="str">
        <f t="shared" si="0"/>
        <v>ICE.2022.9</v>
      </c>
      <c r="B53" t="s">
        <v>1403</v>
      </c>
      <c r="C53" t="str">
        <f t="shared" si="1"/>
        <v>9</v>
      </c>
      <c r="D53" t="str">
        <f t="shared" si="2"/>
        <v>2022</v>
      </c>
      <c r="E53" s="51" t="s">
        <v>1493</v>
      </c>
      <c r="J53">
        <v>0.435</v>
      </c>
      <c r="K53">
        <v>0</v>
      </c>
      <c r="L53">
        <v>0</v>
      </c>
      <c r="M53">
        <v>114</v>
      </c>
      <c r="N53">
        <v>0</v>
      </c>
      <c r="O53">
        <v>0</v>
      </c>
      <c r="P53">
        <v>0</v>
      </c>
      <c r="Q53">
        <v>0</v>
      </c>
      <c r="R53">
        <v>0</v>
      </c>
    </row>
    <row r="54" spans="1:18" x14ac:dyDescent="0.2">
      <c r="A54" t="str">
        <f t="shared" si="0"/>
        <v>ICE.2022.10</v>
      </c>
      <c r="B54" t="s">
        <v>1403</v>
      </c>
      <c r="C54" t="str">
        <f t="shared" si="1"/>
        <v>10</v>
      </c>
      <c r="D54" t="str">
        <f t="shared" si="2"/>
        <v>2022</v>
      </c>
      <c r="E54" s="51" t="s">
        <v>1494</v>
      </c>
      <c r="J54">
        <v>0.38250000000000001</v>
      </c>
      <c r="K54">
        <v>0</v>
      </c>
      <c r="L54">
        <v>0</v>
      </c>
      <c r="M54">
        <v>117</v>
      </c>
      <c r="N54">
        <v>0</v>
      </c>
      <c r="O54">
        <v>0</v>
      </c>
      <c r="P54">
        <v>0</v>
      </c>
      <c r="Q54">
        <v>0</v>
      </c>
      <c r="R54">
        <v>0</v>
      </c>
    </row>
    <row r="55" spans="1:18" x14ac:dyDescent="0.2">
      <c r="A55" t="str">
        <f t="shared" si="0"/>
        <v>ICE.2022.11</v>
      </c>
      <c r="B55" t="s">
        <v>1403</v>
      </c>
      <c r="C55" t="str">
        <f t="shared" si="1"/>
        <v>11</v>
      </c>
      <c r="D55" t="str">
        <f t="shared" si="2"/>
        <v>2022</v>
      </c>
      <c r="E55" s="51" t="s">
        <v>1495</v>
      </c>
      <c r="J55">
        <v>0.23250000000000001</v>
      </c>
      <c r="K55">
        <v>0</v>
      </c>
      <c r="L55">
        <v>0</v>
      </c>
      <c r="M55">
        <v>90</v>
      </c>
      <c r="N55">
        <v>0</v>
      </c>
      <c r="O55">
        <v>0</v>
      </c>
      <c r="P55">
        <v>0</v>
      </c>
      <c r="Q55">
        <v>0</v>
      </c>
      <c r="R55">
        <v>0</v>
      </c>
    </row>
    <row r="56" spans="1:18" x14ac:dyDescent="0.2">
      <c r="A56" t="str">
        <f t="shared" si="0"/>
        <v>ICE.2022.12</v>
      </c>
      <c r="B56" t="s">
        <v>1403</v>
      </c>
      <c r="C56" t="str">
        <f t="shared" si="1"/>
        <v>12</v>
      </c>
      <c r="D56" t="str">
        <f t="shared" si="2"/>
        <v>2022</v>
      </c>
      <c r="E56" s="51" t="s">
        <v>1496</v>
      </c>
      <c r="J56">
        <v>0.23</v>
      </c>
      <c r="K56">
        <v>0</v>
      </c>
      <c r="L56">
        <v>0</v>
      </c>
      <c r="M56">
        <v>93</v>
      </c>
      <c r="N56">
        <v>0</v>
      </c>
      <c r="O56">
        <v>0</v>
      </c>
      <c r="P56">
        <v>0</v>
      </c>
      <c r="Q56">
        <v>0</v>
      </c>
      <c r="R56">
        <v>0</v>
      </c>
    </row>
    <row r="57" spans="1:18" x14ac:dyDescent="0.2">
      <c r="A57" t="str">
        <f t="shared" si="0"/>
        <v>ICE.2023.1</v>
      </c>
      <c r="B57" t="s">
        <v>1403</v>
      </c>
      <c r="C57" t="str">
        <f t="shared" si="1"/>
        <v>1</v>
      </c>
      <c r="D57" t="str">
        <f t="shared" si="2"/>
        <v>2023</v>
      </c>
      <c r="E57" s="51" t="s">
        <v>1511</v>
      </c>
      <c r="J57">
        <v>0.20250000000000001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</row>
    <row r="58" spans="1:18" x14ac:dyDescent="0.2">
      <c r="A58" t="str">
        <f t="shared" si="0"/>
        <v>ICE.2023.2</v>
      </c>
      <c r="B58" t="s">
        <v>1403</v>
      </c>
      <c r="C58" t="str">
        <f t="shared" si="1"/>
        <v>2</v>
      </c>
      <c r="D58" t="str">
        <f t="shared" si="2"/>
        <v>2023</v>
      </c>
      <c r="E58" s="51" t="s">
        <v>1512</v>
      </c>
      <c r="J58">
        <v>0.17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</row>
    <row r="59" spans="1:18" x14ac:dyDescent="0.2">
      <c r="A59" t="str">
        <f t="shared" si="0"/>
        <v>ICE.2023.3</v>
      </c>
      <c r="B59" t="s">
        <v>1403</v>
      </c>
      <c r="C59" t="str">
        <f t="shared" si="1"/>
        <v>3</v>
      </c>
      <c r="D59" t="str">
        <f t="shared" si="2"/>
        <v>2023</v>
      </c>
      <c r="E59" s="51" t="s">
        <v>1513</v>
      </c>
      <c r="J59">
        <v>0.23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</row>
    <row r="60" spans="1:18" x14ac:dyDescent="0.2">
      <c r="A60" t="str">
        <f t="shared" si="0"/>
        <v>ICE.2023.4</v>
      </c>
      <c r="B60" t="s">
        <v>1403</v>
      </c>
      <c r="C60" t="str">
        <f t="shared" si="1"/>
        <v>4</v>
      </c>
      <c r="D60" t="str">
        <f t="shared" si="2"/>
        <v>2023</v>
      </c>
      <c r="E60" s="51" t="s">
        <v>1514</v>
      </c>
      <c r="J60">
        <v>0.34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</row>
    <row r="61" spans="1:18" x14ac:dyDescent="0.2">
      <c r="A61" t="str">
        <f t="shared" si="0"/>
        <v>ICE.2023.5</v>
      </c>
      <c r="B61" t="s">
        <v>1403</v>
      </c>
      <c r="C61" t="str">
        <f t="shared" si="1"/>
        <v>5</v>
      </c>
      <c r="D61" t="str">
        <f t="shared" si="2"/>
        <v>2023</v>
      </c>
      <c r="E61" s="51" t="s">
        <v>1515</v>
      </c>
      <c r="J61">
        <v>0.34499999999999997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</row>
    <row r="62" spans="1:18" x14ac:dyDescent="0.2">
      <c r="A62" t="str">
        <f t="shared" si="0"/>
        <v>ICE.2023.6</v>
      </c>
      <c r="B62" t="s">
        <v>1403</v>
      </c>
      <c r="C62" t="str">
        <f t="shared" si="1"/>
        <v>6</v>
      </c>
      <c r="D62" t="str">
        <f t="shared" si="2"/>
        <v>2023</v>
      </c>
      <c r="E62" s="51" t="s">
        <v>1516</v>
      </c>
      <c r="J62">
        <v>0.3125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</row>
    <row r="63" spans="1:18" x14ac:dyDescent="0.2">
      <c r="A63" t="str">
        <f t="shared" si="0"/>
        <v>ICE.2023.7</v>
      </c>
      <c r="B63" t="s">
        <v>1403</v>
      </c>
      <c r="C63" t="str">
        <f t="shared" si="1"/>
        <v>7</v>
      </c>
      <c r="D63" t="str">
        <f t="shared" si="2"/>
        <v>2023</v>
      </c>
      <c r="E63" s="51" t="s">
        <v>1517</v>
      </c>
      <c r="J63">
        <v>0.4375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</row>
    <row r="64" spans="1:18" x14ac:dyDescent="0.2">
      <c r="A64" t="str">
        <f t="shared" si="0"/>
        <v>ICE.2023.8</v>
      </c>
      <c r="B64" t="s">
        <v>1403</v>
      </c>
      <c r="C64" t="str">
        <f t="shared" si="1"/>
        <v>8</v>
      </c>
      <c r="D64" t="str">
        <f t="shared" si="2"/>
        <v>2023</v>
      </c>
      <c r="E64" s="51" t="s">
        <v>1518</v>
      </c>
      <c r="J64">
        <v>0.47499999999999998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</row>
    <row r="65" spans="1:18" x14ac:dyDescent="0.2">
      <c r="A65" t="str">
        <f t="shared" si="0"/>
        <v>ICE.2023.9</v>
      </c>
      <c r="B65" t="s">
        <v>1403</v>
      </c>
      <c r="C65" t="str">
        <f t="shared" si="1"/>
        <v>9</v>
      </c>
      <c r="D65" t="str">
        <f t="shared" si="2"/>
        <v>2023</v>
      </c>
      <c r="E65" s="51" t="s">
        <v>1519</v>
      </c>
      <c r="J65">
        <v>0.45500000000000002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</row>
    <row r="66" spans="1:18" x14ac:dyDescent="0.2">
      <c r="A66" t="str">
        <f t="shared" si="0"/>
        <v>ICE.2023.10</v>
      </c>
      <c r="B66" t="s">
        <v>1403</v>
      </c>
      <c r="C66" t="str">
        <f t="shared" si="1"/>
        <v>10</v>
      </c>
      <c r="D66" t="str">
        <f t="shared" si="2"/>
        <v>2023</v>
      </c>
      <c r="E66" s="51" t="s">
        <v>1520</v>
      </c>
      <c r="J66">
        <v>0.4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</row>
    <row r="67" spans="1:18" x14ac:dyDescent="0.2">
      <c r="A67" t="str">
        <f t="shared" ref="A67:A80" si="3">B67&amp;"."&amp;D67&amp;"."&amp;C67</f>
        <v>ICE.2023.11</v>
      </c>
      <c r="B67" t="s">
        <v>1403</v>
      </c>
      <c r="C67" t="str">
        <f t="shared" ref="C67:C80" si="4">TEXT(DATEVALUE("1"&amp;E67),"M")</f>
        <v>11</v>
      </c>
      <c r="D67" t="str">
        <f t="shared" ref="D67:D80" si="5">TEXT(DATEVALUE("1"&amp;E67),"YYYY")</f>
        <v>2023</v>
      </c>
      <c r="E67" s="51" t="s">
        <v>1521</v>
      </c>
      <c r="J67">
        <v>0.27250000000000002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</row>
    <row r="68" spans="1:18" x14ac:dyDescent="0.2">
      <c r="A68" t="str">
        <f t="shared" si="3"/>
        <v>ICE.2023.12</v>
      </c>
      <c r="B68" t="s">
        <v>1403</v>
      </c>
      <c r="C68" t="str">
        <f t="shared" si="4"/>
        <v>12</v>
      </c>
      <c r="D68" t="str">
        <f t="shared" si="5"/>
        <v>2023</v>
      </c>
      <c r="E68" s="51" t="s">
        <v>1522</v>
      </c>
      <c r="J68">
        <v>0.26750000000000002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</row>
    <row r="69" spans="1:18" x14ac:dyDescent="0.2">
      <c r="A69" t="str">
        <f t="shared" si="3"/>
        <v>ICE.2024.1</v>
      </c>
      <c r="B69" t="s">
        <v>1403</v>
      </c>
      <c r="C69" t="str">
        <f t="shared" si="4"/>
        <v>1</v>
      </c>
      <c r="D69" t="str">
        <f t="shared" si="5"/>
        <v>2024</v>
      </c>
      <c r="E69" s="51" t="s">
        <v>1523</v>
      </c>
      <c r="J69">
        <v>0.23749999999999999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</row>
    <row r="70" spans="1:18" x14ac:dyDescent="0.2">
      <c r="A70" t="str">
        <f t="shared" si="3"/>
        <v>ICE.2024.2</v>
      </c>
      <c r="B70" t="s">
        <v>1403</v>
      </c>
      <c r="C70" t="str">
        <f t="shared" si="4"/>
        <v>2</v>
      </c>
      <c r="D70" t="str">
        <f t="shared" si="5"/>
        <v>2024</v>
      </c>
      <c r="E70" s="51" t="s">
        <v>1524</v>
      </c>
      <c r="J70">
        <v>0.19750000000000001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</row>
    <row r="71" spans="1:18" x14ac:dyDescent="0.2">
      <c r="A71" t="str">
        <f t="shared" si="3"/>
        <v>ICE.2024.3</v>
      </c>
      <c r="B71" t="s">
        <v>1403</v>
      </c>
      <c r="C71" t="str">
        <f t="shared" si="4"/>
        <v>3</v>
      </c>
      <c r="D71" t="str">
        <f t="shared" si="5"/>
        <v>2024</v>
      </c>
      <c r="E71" s="51" t="s">
        <v>1525</v>
      </c>
      <c r="J71">
        <v>0.26750000000000002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</row>
    <row r="72" spans="1:18" x14ac:dyDescent="0.2">
      <c r="A72" t="str">
        <f t="shared" si="3"/>
        <v>ICE.2024.4</v>
      </c>
      <c r="B72" t="s">
        <v>1403</v>
      </c>
      <c r="C72" t="str">
        <f t="shared" si="4"/>
        <v>4</v>
      </c>
      <c r="D72" t="str">
        <f t="shared" si="5"/>
        <v>2024</v>
      </c>
      <c r="E72" s="51" t="s">
        <v>1526</v>
      </c>
      <c r="J72">
        <v>0.3775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</row>
    <row r="73" spans="1:18" x14ac:dyDescent="0.2">
      <c r="A73" t="str">
        <f t="shared" si="3"/>
        <v>ICE.2024.5</v>
      </c>
      <c r="B73" t="s">
        <v>1403</v>
      </c>
      <c r="C73" t="str">
        <f t="shared" si="4"/>
        <v>5</v>
      </c>
      <c r="D73" t="str">
        <f t="shared" si="5"/>
        <v>2024</v>
      </c>
      <c r="E73" s="51" t="s">
        <v>1527</v>
      </c>
      <c r="J73">
        <v>0.38250000000000001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</row>
    <row r="74" spans="1:18" x14ac:dyDescent="0.2">
      <c r="A74" t="str">
        <f t="shared" si="3"/>
        <v>ICE.2024.6</v>
      </c>
      <c r="B74" t="s">
        <v>1403</v>
      </c>
      <c r="C74" t="str">
        <f t="shared" si="4"/>
        <v>6</v>
      </c>
      <c r="D74" t="str">
        <f t="shared" si="5"/>
        <v>2024</v>
      </c>
      <c r="E74" s="51" t="s">
        <v>1528</v>
      </c>
      <c r="J74">
        <v>0.34499999999999997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</row>
    <row r="75" spans="1:18" x14ac:dyDescent="0.2">
      <c r="A75" t="str">
        <f t="shared" si="3"/>
        <v>ICE.2024.7</v>
      </c>
      <c r="B75" t="s">
        <v>1403</v>
      </c>
      <c r="C75" t="str">
        <f t="shared" si="4"/>
        <v>7</v>
      </c>
      <c r="D75" t="str">
        <f t="shared" si="5"/>
        <v>2024</v>
      </c>
      <c r="E75" s="51" t="s">
        <v>1529</v>
      </c>
      <c r="J75">
        <v>0.48499999999999999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</row>
    <row r="76" spans="1:18" x14ac:dyDescent="0.2">
      <c r="A76" t="str">
        <f t="shared" si="3"/>
        <v>ICE.2024.8</v>
      </c>
      <c r="B76" t="s">
        <v>1403</v>
      </c>
      <c r="C76" t="str">
        <f t="shared" si="4"/>
        <v>8</v>
      </c>
      <c r="D76" t="str">
        <f t="shared" si="5"/>
        <v>2024</v>
      </c>
      <c r="E76" s="51" t="s">
        <v>1530</v>
      </c>
      <c r="J76">
        <v>0.52749999999999997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</row>
    <row r="77" spans="1:18" x14ac:dyDescent="0.2">
      <c r="A77" t="str">
        <f t="shared" si="3"/>
        <v>ICE.2024.9</v>
      </c>
      <c r="B77" t="s">
        <v>1403</v>
      </c>
      <c r="C77" t="str">
        <f t="shared" si="4"/>
        <v>9</v>
      </c>
      <c r="D77" t="str">
        <f t="shared" si="5"/>
        <v>2024</v>
      </c>
      <c r="E77" s="51" t="s">
        <v>1531</v>
      </c>
      <c r="J77">
        <v>0.50249999999999995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</row>
    <row r="78" spans="1:18" x14ac:dyDescent="0.2">
      <c r="A78" t="str">
        <f t="shared" si="3"/>
        <v>ICE.2024.10</v>
      </c>
      <c r="B78" t="s">
        <v>1403</v>
      </c>
      <c r="C78" t="str">
        <f t="shared" si="4"/>
        <v>10</v>
      </c>
      <c r="D78" t="str">
        <f t="shared" si="5"/>
        <v>2024</v>
      </c>
      <c r="E78" s="51" t="s">
        <v>1532</v>
      </c>
      <c r="J78">
        <v>0.4425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</row>
    <row r="79" spans="1:18" x14ac:dyDescent="0.2">
      <c r="A79" t="str">
        <f t="shared" si="3"/>
        <v>ICE.2024.11</v>
      </c>
      <c r="B79" t="s">
        <v>1403</v>
      </c>
      <c r="C79" t="str">
        <f t="shared" si="4"/>
        <v>11</v>
      </c>
      <c r="D79" t="str">
        <f t="shared" si="5"/>
        <v>2024</v>
      </c>
      <c r="E79" s="51" t="s">
        <v>1533</v>
      </c>
      <c r="J79">
        <v>0.3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</row>
    <row r="80" spans="1:18" x14ac:dyDescent="0.2">
      <c r="A80" t="str">
        <f t="shared" si="3"/>
        <v>ICE.2024.12</v>
      </c>
      <c r="B80" t="s">
        <v>1403</v>
      </c>
      <c r="C80" t="str">
        <f t="shared" si="4"/>
        <v>12</v>
      </c>
      <c r="D80" t="str">
        <f t="shared" si="5"/>
        <v>2024</v>
      </c>
      <c r="E80" s="51" t="s">
        <v>1534</v>
      </c>
      <c r="J80">
        <v>0.29499999999999998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GEPrevious"/>
  <dimension ref="A1:F50"/>
  <sheetViews>
    <sheetView workbookViewId="0"/>
  </sheetViews>
  <sheetFormatPr defaultRowHeight="12.75" x14ac:dyDescent="0.2"/>
  <cols>
    <col min="1" max="1" width="81.140625" bestFit="1" customWidth="1"/>
  </cols>
  <sheetData>
    <row r="1" spans="1:6" s="1" customFormat="1" x14ac:dyDescent="0.2">
      <c r="A1" s="1" t="s">
        <v>1020</v>
      </c>
      <c r="C1" s="1" t="s">
        <v>1444</v>
      </c>
      <c r="D1" s="1" t="s">
        <v>1445</v>
      </c>
      <c r="E1" s="1" t="s">
        <v>976</v>
      </c>
      <c r="F1" s="45">
        <v>41221</v>
      </c>
    </row>
    <row r="2" spans="1:6" x14ac:dyDescent="0.2">
      <c r="A2" t="s">
        <v>266</v>
      </c>
      <c r="B2" t="s">
        <v>1446</v>
      </c>
      <c r="C2">
        <v>0</v>
      </c>
      <c r="D2">
        <v>0</v>
      </c>
      <c r="E2">
        <v>434</v>
      </c>
    </row>
    <row r="3" spans="1:6" x14ac:dyDescent="0.2">
      <c r="A3" t="s">
        <v>267</v>
      </c>
      <c r="B3" t="s">
        <v>1446</v>
      </c>
      <c r="C3">
        <v>0</v>
      </c>
      <c r="D3">
        <v>0</v>
      </c>
      <c r="E3">
        <v>248</v>
      </c>
    </row>
    <row r="4" spans="1:6" x14ac:dyDescent="0.2">
      <c r="A4" t="s">
        <v>268</v>
      </c>
      <c r="B4" t="s">
        <v>1446</v>
      </c>
      <c r="C4">
        <v>0</v>
      </c>
      <c r="D4">
        <v>0</v>
      </c>
      <c r="E4">
        <v>224</v>
      </c>
    </row>
    <row r="5" spans="1:6" x14ac:dyDescent="0.2">
      <c r="A5" t="s">
        <v>269</v>
      </c>
      <c r="B5" t="s">
        <v>1446</v>
      </c>
      <c r="C5">
        <v>0</v>
      </c>
      <c r="D5">
        <v>0</v>
      </c>
      <c r="E5">
        <v>248</v>
      </c>
    </row>
    <row r="6" spans="1:6" x14ac:dyDescent="0.2">
      <c r="A6" t="s">
        <v>270</v>
      </c>
      <c r="B6" t="s">
        <v>1446</v>
      </c>
      <c r="C6">
        <v>0</v>
      </c>
      <c r="D6">
        <v>0</v>
      </c>
      <c r="E6">
        <v>60</v>
      </c>
    </row>
    <row r="7" spans="1:6" x14ac:dyDescent="0.2">
      <c r="A7" t="s">
        <v>271</v>
      </c>
      <c r="B7" t="s">
        <v>1446</v>
      </c>
      <c r="C7">
        <v>0</v>
      </c>
      <c r="D7">
        <v>0</v>
      </c>
      <c r="E7">
        <v>62</v>
      </c>
    </row>
    <row r="8" spans="1:6" x14ac:dyDescent="0.2">
      <c r="A8" t="s">
        <v>272</v>
      </c>
      <c r="B8" t="s">
        <v>1446</v>
      </c>
      <c r="C8">
        <v>0</v>
      </c>
      <c r="D8">
        <v>0</v>
      </c>
      <c r="E8">
        <v>60</v>
      </c>
    </row>
    <row r="9" spans="1:6" x14ac:dyDescent="0.2">
      <c r="A9" t="s">
        <v>273</v>
      </c>
      <c r="B9" t="s">
        <v>1446</v>
      </c>
      <c r="C9">
        <v>0</v>
      </c>
      <c r="D9">
        <v>0</v>
      </c>
      <c r="E9">
        <v>62</v>
      </c>
    </row>
    <row r="10" spans="1:6" x14ac:dyDescent="0.2">
      <c r="A10" t="s">
        <v>274</v>
      </c>
      <c r="B10" t="s">
        <v>1446</v>
      </c>
      <c r="C10">
        <v>0</v>
      </c>
      <c r="D10">
        <v>0</v>
      </c>
      <c r="E10">
        <v>62</v>
      </c>
    </row>
    <row r="11" spans="1:6" x14ac:dyDescent="0.2">
      <c r="A11" t="s">
        <v>275</v>
      </c>
      <c r="B11" t="s">
        <v>1446</v>
      </c>
      <c r="C11">
        <v>0</v>
      </c>
      <c r="D11">
        <v>0</v>
      </c>
      <c r="E11">
        <v>60</v>
      </c>
    </row>
    <row r="12" spans="1:6" x14ac:dyDescent="0.2">
      <c r="A12" t="s">
        <v>276</v>
      </c>
      <c r="B12" t="s">
        <v>1446</v>
      </c>
      <c r="C12">
        <v>0</v>
      </c>
      <c r="D12">
        <v>0</v>
      </c>
      <c r="E12">
        <v>62</v>
      </c>
    </row>
    <row r="13" spans="1:6" x14ac:dyDescent="0.2">
      <c r="A13" t="s">
        <v>277</v>
      </c>
      <c r="B13" t="s">
        <v>1446</v>
      </c>
      <c r="C13">
        <v>0</v>
      </c>
      <c r="D13">
        <v>0</v>
      </c>
      <c r="E13">
        <v>0</v>
      </c>
    </row>
    <row r="14" spans="1:6" x14ac:dyDescent="0.2">
      <c r="A14" t="s">
        <v>278</v>
      </c>
      <c r="B14" t="s">
        <v>1446</v>
      </c>
      <c r="C14">
        <v>0</v>
      </c>
      <c r="D14">
        <v>0</v>
      </c>
      <c r="E14">
        <v>0</v>
      </c>
    </row>
    <row r="15" spans="1:6" x14ac:dyDescent="0.2">
      <c r="A15" t="s">
        <v>279</v>
      </c>
      <c r="B15" t="s">
        <v>1446</v>
      </c>
      <c r="C15">
        <v>0</v>
      </c>
      <c r="D15">
        <v>0</v>
      </c>
      <c r="E15">
        <v>0</v>
      </c>
    </row>
    <row r="16" spans="1:6" x14ac:dyDescent="0.2">
      <c r="A16" t="s">
        <v>280</v>
      </c>
      <c r="B16" t="s">
        <v>1446</v>
      </c>
      <c r="C16">
        <v>0</v>
      </c>
      <c r="D16">
        <v>0</v>
      </c>
      <c r="E16">
        <v>0</v>
      </c>
    </row>
    <row r="17" spans="1:5" x14ac:dyDescent="0.2">
      <c r="A17" t="s">
        <v>281</v>
      </c>
      <c r="B17" t="s">
        <v>1446</v>
      </c>
      <c r="C17">
        <v>0</v>
      </c>
      <c r="D17">
        <v>0</v>
      </c>
      <c r="E17">
        <v>0</v>
      </c>
    </row>
    <row r="18" spans="1:5" x14ac:dyDescent="0.2">
      <c r="A18" t="s">
        <v>282</v>
      </c>
      <c r="B18" t="s">
        <v>1446</v>
      </c>
      <c r="C18">
        <v>0</v>
      </c>
      <c r="D18">
        <v>0</v>
      </c>
      <c r="E18">
        <v>0</v>
      </c>
    </row>
    <row r="19" spans="1:5" x14ac:dyDescent="0.2">
      <c r="A19" t="s">
        <v>283</v>
      </c>
      <c r="B19" t="s">
        <v>1446</v>
      </c>
      <c r="C19">
        <v>0</v>
      </c>
      <c r="D19">
        <v>0</v>
      </c>
      <c r="E19">
        <v>0</v>
      </c>
    </row>
    <row r="20" spans="1:5" x14ac:dyDescent="0.2">
      <c r="A20" t="s">
        <v>284</v>
      </c>
      <c r="B20" t="s">
        <v>1446</v>
      </c>
      <c r="C20">
        <v>0</v>
      </c>
      <c r="D20">
        <v>0</v>
      </c>
      <c r="E20">
        <v>0</v>
      </c>
    </row>
    <row r="21" spans="1:5" x14ac:dyDescent="0.2">
      <c r="A21" t="s">
        <v>285</v>
      </c>
      <c r="B21" t="s">
        <v>1446</v>
      </c>
      <c r="C21">
        <v>0</v>
      </c>
      <c r="D21">
        <v>0</v>
      </c>
      <c r="E21">
        <v>0</v>
      </c>
    </row>
    <row r="22" spans="1:5" x14ac:dyDescent="0.2">
      <c r="A22" t="s">
        <v>286</v>
      </c>
      <c r="B22" t="s">
        <v>1446</v>
      </c>
      <c r="C22">
        <v>0</v>
      </c>
      <c r="D22">
        <v>0</v>
      </c>
      <c r="E22">
        <v>0</v>
      </c>
    </row>
    <row r="23" spans="1:5" x14ac:dyDescent="0.2">
      <c r="A23" t="s">
        <v>763</v>
      </c>
      <c r="B23" t="s">
        <v>1446</v>
      </c>
      <c r="C23">
        <v>0</v>
      </c>
      <c r="D23">
        <v>0</v>
      </c>
      <c r="E23">
        <v>0</v>
      </c>
    </row>
    <row r="24" spans="1:5" x14ac:dyDescent="0.2">
      <c r="A24" t="s">
        <v>764</v>
      </c>
      <c r="B24" t="s">
        <v>1446</v>
      </c>
      <c r="C24">
        <v>0</v>
      </c>
      <c r="D24">
        <v>0</v>
      </c>
      <c r="E24">
        <v>0</v>
      </c>
    </row>
    <row r="25" spans="1:5" x14ac:dyDescent="0.2">
      <c r="A25" t="s">
        <v>765</v>
      </c>
      <c r="B25" t="s">
        <v>1446</v>
      </c>
      <c r="C25">
        <v>0</v>
      </c>
      <c r="D25">
        <v>0</v>
      </c>
      <c r="E25">
        <v>0</v>
      </c>
    </row>
    <row r="26" spans="1:5" x14ac:dyDescent="0.2">
      <c r="A26" t="s">
        <v>766</v>
      </c>
      <c r="B26" t="s">
        <v>1446</v>
      </c>
      <c r="C26">
        <v>0</v>
      </c>
      <c r="D26">
        <v>0</v>
      </c>
      <c r="E26">
        <v>0</v>
      </c>
    </row>
    <row r="27" spans="1:5" x14ac:dyDescent="0.2">
      <c r="A27" t="s">
        <v>767</v>
      </c>
      <c r="B27" t="s">
        <v>1446</v>
      </c>
      <c r="C27">
        <v>0</v>
      </c>
      <c r="D27">
        <v>0</v>
      </c>
      <c r="E27">
        <v>0</v>
      </c>
    </row>
    <row r="28" spans="1:5" x14ac:dyDescent="0.2">
      <c r="A28" t="s">
        <v>768</v>
      </c>
      <c r="B28" t="s">
        <v>1446</v>
      </c>
      <c r="C28">
        <v>0</v>
      </c>
      <c r="D28">
        <v>0</v>
      </c>
      <c r="E28">
        <v>0</v>
      </c>
    </row>
    <row r="29" spans="1:5" x14ac:dyDescent="0.2">
      <c r="A29" t="s">
        <v>769</v>
      </c>
      <c r="B29" t="s">
        <v>1446</v>
      </c>
      <c r="C29">
        <v>0</v>
      </c>
      <c r="D29">
        <v>0</v>
      </c>
      <c r="E29">
        <v>0</v>
      </c>
    </row>
    <row r="30" spans="1:5" x14ac:dyDescent="0.2">
      <c r="A30" t="s">
        <v>770</v>
      </c>
      <c r="B30" t="s">
        <v>1446</v>
      </c>
      <c r="C30">
        <v>0</v>
      </c>
      <c r="D30">
        <v>0</v>
      </c>
      <c r="E30">
        <v>0</v>
      </c>
    </row>
    <row r="31" spans="1:5" x14ac:dyDescent="0.2">
      <c r="A31" t="s">
        <v>771</v>
      </c>
      <c r="B31" t="s">
        <v>1446</v>
      </c>
      <c r="C31">
        <v>0</v>
      </c>
      <c r="D31">
        <v>0</v>
      </c>
      <c r="E31">
        <v>0</v>
      </c>
    </row>
    <row r="32" spans="1:5" x14ac:dyDescent="0.2">
      <c r="A32" t="s">
        <v>772</v>
      </c>
      <c r="B32" t="s">
        <v>1446</v>
      </c>
      <c r="C32">
        <v>0</v>
      </c>
      <c r="D32">
        <v>0</v>
      </c>
      <c r="E32">
        <v>0</v>
      </c>
    </row>
    <row r="33" spans="1:5" x14ac:dyDescent="0.2">
      <c r="A33" t="s">
        <v>773</v>
      </c>
      <c r="B33" t="s">
        <v>1446</v>
      </c>
      <c r="C33">
        <v>0</v>
      </c>
      <c r="D33">
        <v>0</v>
      </c>
      <c r="E33">
        <v>0</v>
      </c>
    </row>
    <row r="34" spans="1:5" x14ac:dyDescent="0.2">
      <c r="A34" t="s">
        <v>774</v>
      </c>
      <c r="B34" t="s">
        <v>1446</v>
      </c>
      <c r="C34">
        <v>0</v>
      </c>
      <c r="D34">
        <v>0</v>
      </c>
      <c r="E34">
        <v>0</v>
      </c>
    </row>
    <row r="35" spans="1:5" x14ac:dyDescent="0.2">
      <c r="A35" t="s">
        <v>775</v>
      </c>
      <c r="B35" t="s">
        <v>1446</v>
      </c>
      <c r="C35">
        <v>0</v>
      </c>
      <c r="D35">
        <v>0</v>
      </c>
      <c r="E35">
        <v>0</v>
      </c>
    </row>
    <row r="36" spans="1:5" x14ac:dyDescent="0.2">
      <c r="A36" t="s">
        <v>776</v>
      </c>
      <c r="B36" t="s">
        <v>1446</v>
      </c>
      <c r="C36">
        <v>0</v>
      </c>
      <c r="D36">
        <v>0</v>
      </c>
      <c r="E36">
        <v>0</v>
      </c>
    </row>
    <row r="37" spans="1:5" x14ac:dyDescent="0.2">
      <c r="A37" t="s">
        <v>777</v>
      </c>
      <c r="B37" t="s">
        <v>1446</v>
      </c>
      <c r="C37">
        <v>0</v>
      </c>
      <c r="D37">
        <v>0</v>
      </c>
      <c r="E37">
        <v>0</v>
      </c>
    </row>
    <row r="38" spans="1:5" x14ac:dyDescent="0.2">
      <c r="A38" t="s">
        <v>778</v>
      </c>
      <c r="B38" t="s">
        <v>1446</v>
      </c>
      <c r="C38">
        <v>0</v>
      </c>
      <c r="D38">
        <v>0</v>
      </c>
      <c r="E38">
        <v>0</v>
      </c>
    </row>
    <row r="39" spans="1:5" x14ac:dyDescent="0.2">
      <c r="A39" t="s">
        <v>779</v>
      </c>
      <c r="B39" t="s">
        <v>1446</v>
      </c>
      <c r="C39">
        <v>0</v>
      </c>
      <c r="D39">
        <v>0</v>
      </c>
      <c r="E39">
        <v>0</v>
      </c>
    </row>
    <row r="40" spans="1:5" x14ac:dyDescent="0.2">
      <c r="A40" t="s">
        <v>780</v>
      </c>
      <c r="B40" t="s">
        <v>1446</v>
      </c>
      <c r="C40">
        <v>0</v>
      </c>
      <c r="D40">
        <v>0</v>
      </c>
      <c r="E40">
        <v>0</v>
      </c>
    </row>
    <row r="41" spans="1:5" x14ac:dyDescent="0.2">
      <c r="A41" t="s">
        <v>781</v>
      </c>
      <c r="B41" t="s">
        <v>1446</v>
      </c>
      <c r="C41">
        <v>0</v>
      </c>
      <c r="D41">
        <v>0</v>
      </c>
      <c r="E41">
        <v>0</v>
      </c>
    </row>
    <row r="42" spans="1:5" x14ac:dyDescent="0.2">
      <c r="A42" t="s">
        <v>782</v>
      </c>
      <c r="B42" t="s">
        <v>1446</v>
      </c>
      <c r="C42">
        <v>0</v>
      </c>
      <c r="D42">
        <v>0</v>
      </c>
      <c r="E42">
        <v>0</v>
      </c>
    </row>
    <row r="43" spans="1:5" x14ac:dyDescent="0.2">
      <c r="A43" t="s">
        <v>783</v>
      </c>
      <c r="B43" t="s">
        <v>1446</v>
      </c>
      <c r="C43">
        <v>0</v>
      </c>
      <c r="D43">
        <v>0</v>
      </c>
      <c r="E43">
        <v>0</v>
      </c>
    </row>
    <row r="44" spans="1:5" x14ac:dyDescent="0.2">
      <c r="A44" t="s">
        <v>784</v>
      </c>
      <c r="B44" t="s">
        <v>1446</v>
      </c>
      <c r="C44">
        <v>0</v>
      </c>
      <c r="D44">
        <v>0</v>
      </c>
      <c r="E44">
        <v>0</v>
      </c>
    </row>
    <row r="45" spans="1:5" x14ac:dyDescent="0.2">
      <c r="A45" t="s">
        <v>785</v>
      </c>
      <c r="B45" t="s">
        <v>1446</v>
      </c>
      <c r="C45">
        <v>0</v>
      </c>
      <c r="D45">
        <v>0</v>
      </c>
      <c r="E45">
        <v>0</v>
      </c>
    </row>
    <row r="46" spans="1:5" x14ac:dyDescent="0.2">
      <c r="A46" t="s">
        <v>786</v>
      </c>
      <c r="B46" t="s">
        <v>1446</v>
      </c>
      <c r="C46">
        <v>0</v>
      </c>
      <c r="D46">
        <v>0</v>
      </c>
      <c r="E46">
        <v>0</v>
      </c>
    </row>
    <row r="47" spans="1:5" x14ac:dyDescent="0.2">
      <c r="A47" t="s">
        <v>787</v>
      </c>
      <c r="B47" t="s">
        <v>1446</v>
      </c>
      <c r="C47">
        <v>0</v>
      </c>
      <c r="D47">
        <v>0</v>
      </c>
      <c r="E47">
        <v>0</v>
      </c>
    </row>
    <row r="48" spans="1:5" x14ac:dyDescent="0.2">
      <c r="A48" t="s">
        <v>788</v>
      </c>
      <c r="B48" t="s">
        <v>1446</v>
      </c>
      <c r="C48">
        <v>0</v>
      </c>
      <c r="D48">
        <v>0</v>
      </c>
      <c r="E48">
        <v>0</v>
      </c>
    </row>
    <row r="49" spans="1:5" x14ac:dyDescent="0.2">
      <c r="A49" t="s">
        <v>789</v>
      </c>
      <c r="B49" t="s">
        <v>1446</v>
      </c>
      <c r="C49">
        <v>0</v>
      </c>
      <c r="D49">
        <v>0</v>
      </c>
      <c r="E49">
        <v>0</v>
      </c>
    </row>
    <row r="50" spans="1:5" x14ac:dyDescent="0.2">
      <c r="A50" t="s">
        <v>790</v>
      </c>
      <c r="B50" t="s">
        <v>1446</v>
      </c>
      <c r="C50">
        <v>0</v>
      </c>
      <c r="D50">
        <v>0</v>
      </c>
      <c r="E50"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L"/>
  <dimension ref="A1:T140"/>
  <sheetViews>
    <sheetView workbookViewId="0"/>
  </sheetViews>
  <sheetFormatPr defaultRowHeight="12.75" x14ac:dyDescent="0.2"/>
  <cols>
    <col min="1" max="1" width="11.140625" bestFit="1" customWidth="1"/>
    <col min="2" max="2" width="8.5703125" bestFit="1" customWidth="1"/>
    <col min="3" max="3" width="5.7109375" bestFit="1" customWidth="1"/>
    <col min="4" max="4" width="5.140625" bestFit="1" customWidth="1"/>
    <col min="5" max="5" width="7.7109375" bestFit="1" customWidth="1"/>
    <col min="6" max="7" width="6.5703125" bestFit="1" customWidth="1"/>
    <col min="8" max="8" width="5.5703125" bestFit="1" customWidth="1"/>
    <col min="9" max="9" width="6" bestFit="1" customWidth="1"/>
    <col min="10" max="10" width="10.85546875" bestFit="1" customWidth="1"/>
    <col min="11" max="12" width="8" bestFit="1" customWidth="1"/>
    <col min="13" max="13" width="8.7109375" bestFit="1" customWidth="1"/>
    <col min="14" max="14" width="10.5703125" bestFit="1" customWidth="1"/>
    <col min="15" max="16" width="4.5703125" bestFit="1" customWidth="1"/>
    <col min="17" max="17" width="9.5703125" bestFit="1" customWidth="1"/>
    <col min="18" max="18" width="11.140625" bestFit="1" customWidth="1"/>
  </cols>
  <sheetData>
    <row r="1" spans="1:20" s="1" customFormat="1" x14ac:dyDescent="0.2">
      <c r="A1" s="1" t="s">
        <v>1404</v>
      </c>
      <c r="B1" s="1" t="s">
        <v>1402</v>
      </c>
      <c r="C1" s="1" t="s">
        <v>974</v>
      </c>
      <c r="D1" s="1" t="s">
        <v>980</v>
      </c>
      <c r="E1" s="50" t="s">
        <v>1364</v>
      </c>
      <c r="F1" s="45" t="s">
        <v>1365</v>
      </c>
      <c r="G1" s="1" t="s">
        <v>1366</v>
      </c>
      <c r="H1" s="1" t="s">
        <v>1367</v>
      </c>
      <c r="I1" s="1" t="s">
        <v>1368</v>
      </c>
      <c r="J1" s="1" t="s">
        <v>978</v>
      </c>
      <c r="K1" s="1" t="s">
        <v>1369</v>
      </c>
      <c r="L1" s="1" t="s">
        <v>975</v>
      </c>
      <c r="M1" s="1" t="s">
        <v>979</v>
      </c>
      <c r="N1" s="1" t="s">
        <v>969</v>
      </c>
      <c r="O1" s="1" t="s">
        <v>1444</v>
      </c>
      <c r="P1" s="1" t="s">
        <v>1445</v>
      </c>
      <c r="Q1" s="1" t="s">
        <v>976</v>
      </c>
      <c r="R1" s="1" t="s">
        <v>1510</v>
      </c>
      <c r="T1" s="45">
        <v>43236</v>
      </c>
    </row>
    <row r="2" spans="1:20" x14ac:dyDescent="0.2">
      <c r="A2" t="str">
        <f>B2&amp;"."&amp;D2&amp;"."&amp;C2</f>
        <v>ICE.2018.6</v>
      </c>
      <c r="B2" t="s">
        <v>1403</v>
      </c>
      <c r="C2" t="str">
        <f>TEXT(DATEVALUE("1"&amp;E2),"M")</f>
        <v>6</v>
      </c>
      <c r="D2" t="str">
        <f>TEXT(DATEVALUE("1"&amp;E2),"YYYY")</f>
        <v>2018</v>
      </c>
      <c r="E2" s="51" t="s">
        <v>1371</v>
      </c>
      <c r="F2">
        <v>-0.63500000000000001</v>
      </c>
      <c r="G2">
        <v>-0.63500000000000001</v>
      </c>
      <c r="H2">
        <v>-0.64</v>
      </c>
      <c r="I2">
        <v>-0.64</v>
      </c>
      <c r="J2">
        <v>-0.64</v>
      </c>
      <c r="K2">
        <v>-0.02</v>
      </c>
      <c r="L2">
        <v>240</v>
      </c>
      <c r="M2">
        <v>14192</v>
      </c>
      <c r="N2">
        <v>180</v>
      </c>
      <c r="O2">
        <v>0</v>
      </c>
      <c r="P2">
        <v>0</v>
      </c>
      <c r="Q2">
        <v>0</v>
      </c>
      <c r="R2">
        <v>120</v>
      </c>
    </row>
    <row r="3" spans="1:20" x14ac:dyDescent="0.2">
      <c r="A3" t="str">
        <f t="shared" ref="A3:A66" si="0">B3&amp;"."&amp;D3&amp;"."&amp;C3</f>
        <v>ICE.2018.7</v>
      </c>
      <c r="B3" t="s">
        <v>1403</v>
      </c>
      <c r="C3" t="str">
        <f t="shared" ref="C3:C66" si="1">TEXT(DATEVALUE("1"&amp;E3),"M")</f>
        <v>7</v>
      </c>
      <c r="D3" t="str">
        <f t="shared" ref="D3:D66" si="2">TEXT(DATEVALUE("1"&amp;E3),"YYYY")</f>
        <v>2018</v>
      </c>
      <c r="E3" s="51" t="s">
        <v>1372</v>
      </c>
      <c r="F3">
        <v>-0.32</v>
      </c>
      <c r="G3">
        <v>-0.32</v>
      </c>
      <c r="H3">
        <v>-0.34</v>
      </c>
      <c r="I3">
        <v>-0.33</v>
      </c>
      <c r="J3">
        <v>-0.33500000000000002</v>
      </c>
      <c r="K3">
        <v>-4.2500000000000003E-2</v>
      </c>
      <c r="L3">
        <v>403</v>
      </c>
      <c r="M3">
        <v>14954</v>
      </c>
      <c r="N3">
        <v>217</v>
      </c>
      <c r="O3">
        <v>0</v>
      </c>
      <c r="P3">
        <v>0</v>
      </c>
      <c r="Q3">
        <v>93</v>
      </c>
      <c r="R3">
        <v>0</v>
      </c>
    </row>
    <row r="4" spans="1:20" x14ac:dyDescent="0.2">
      <c r="A4" t="str">
        <f t="shared" si="0"/>
        <v>ICE.2018.8</v>
      </c>
      <c r="B4" t="s">
        <v>1403</v>
      </c>
      <c r="C4" t="str">
        <f t="shared" si="1"/>
        <v>8</v>
      </c>
      <c r="D4" t="str">
        <f t="shared" si="2"/>
        <v>2018</v>
      </c>
      <c r="E4" s="51" t="s">
        <v>1373</v>
      </c>
      <c r="F4">
        <v>-0.14000000000000001</v>
      </c>
      <c r="G4">
        <v>-0.14000000000000001</v>
      </c>
      <c r="H4">
        <v>-0.16</v>
      </c>
      <c r="I4">
        <v>-0.16</v>
      </c>
      <c r="J4">
        <v>-0.155</v>
      </c>
      <c r="K4">
        <v>-2.5000000000000001E-2</v>
      </c>
      <c r="L4">
        <v>341</v>
      </c>
      <c r="M4">
        <v>11267</v>
      </c>
      <c r="N4">
        <v>-228</v>
      </c>
      <c r="O4">
        <v>0</v>
      </c>
      <c r="P4">
        <v>0</v>
      </c>
      <c r="Q4">
        <v>93</v>
      </c>
      <c r="R4">
        <v>0</v>
      </c>
    </row>
    <row r="5" spans="1:20" x14ac:dyDescent="0.2">
      <c r="A5" t="str">
        <f t="shared" si="0"/>
        <v>ICE.2018.9</v>
      </c>
      <c r="B5" t="s">
        <v>1403</v>
      </c>
      <c r="C5" t="str">
        <f t="shared" si="1"/>
        <v>9</v>
      </c>
      <c r="D5" t="str">
        <f t="shared" si="2"/>
        <v>2018</v>
      </c>
      <c r="E5" s="51" t="s">
        <v>1374</v>
      </c>
      <c r="F5">
        <v>-0.29499999999999998</v>
      </c>
      <c r="G5">
        <v>-0.29499999999999998</v>
      </c>
      <c r="H5">
        <v>-0.31</v>
      </c>
      <c r="I5">
        <v>-0.31</v>
      </c>
      <c r="J5">
        <v>-0.28749999999999998</v>
      </c>
      <c r="K5">
        <v>0</v>
      </c>
      <c r="L5">
        <v>240</v>
      </c>
      <c r="M5">
        <v>12379</v>
      </c>
      <c r="N5">
        <v>60</v>
      </c>
      <c r="O5">
        <v>0</v>
      </c>
      <c r="P5">
        <v>0</v>
      </c>
      <c r="Q5">
        <v>90</v>
      </c>
      <c r="R5">
        <v>0</v>
      </c>
    </row>
    <row r="6" spans="1:20" x14ac:dyDescent="0.2">
      <c r="A6" t="str">
        <f t="shared" si="0"/>
        <v>ICE.2018.10</v>
      </c>
      <c r="B6" t="s">
        <v>1403</v>
      </c>
      <c r="C6" t="str">
        <f t="shared" si="1"/>
        <v>10</v>
      </c>
      <c r="D6" t="str">
        <f t="shared" si="2"/>
        <v>2018</v>
      </c>
      <c r="E6" s="51" t="s">
        <v>1375</v>
      </c>
      <c r="J6">
        <v>-0.57250000000000001</v>
      </c>
      <c r="K6">
        <v>0</v>
      </c>
      <c r="L6">
        <v>62</v>
      </c>
      <c r="M6">
        <v>12354</v>
      </c>
      <c r="N6">
        <v>-6</v>
      </c>
      <c r="O6">
        <v>0</v>
      </c>
      <c r="P6">
        <v>0</v>
      </c>
      <c r="Q6">
        <v>62</v>
      </c>
      <c r="R6">
        <v>0</v>
      </c>
    </row>
    <row r="7" spans="1:20" x14ac:dyDescent="0.2">
      <c r="A7" t="str">
        <f t="shared" si="0"/>
        <v>ICE.2018.11</v>
      </c>
      <c r="B7" t="s">
        <v>1403</v>
      </c>
      <c r="C7" t="str">
        <f t="shared" si="1"/>
        <v>11</v>
      </c>
      <c r="D7" t="str">
        <f t="shared" si="2"/>
        <v>2018</v>
      </c>
      <c r="E7" s="51" t="s">
        <v>1376</v>
      </c>
      <c r="F7">
        <v>-0.5</v>
      </c>
      <c r="G7">
        <v>-0.5</v>
      </c>
      <c r="H7">
        <v>-0.5</v>
      </c>
      <c r="I7">
        <v>-0.5</v>
      </c>
      <c r="J7">
        <v>-0.505</v>
      </c>
      <c r="K7">
        <v>3.2500000000000001E-2</v>
      </c>
      <c r="L7">
        <v>510</v>
      </c>
      <c r="M7">
        <v>8551</v>
      </c>
      <c r="N7">
        <v>-30</v>
      </c>
      <c r="O7">
        <v>0</v>
      </c>
      <c r="P7">
        <v>0</v>
      </c>
      <c r="Q7">
        <v>90</v>
      </c>
      <c r="R7">
        <v>120</v>
      </c>
    </row>
    <row r="8" spans="1:20" x14ac:dyDescent="0.2">
      <c r="A8" t="str">
        <f t="shared" si="0"/>
        <v>ICE.2018.12</v>
      </c>
      <c r="B8" t="s">
        <v>1403</v>
      </c>
      <c r="C8" t="str">
        <f t="shared" si="1"/>
        <v>12</v>
      </c>
      <c r="D8" t="str">
        <f t="shared" si="2"/>
        <v>2018</v>
      </c>
      <c r="E8" s="51" t="s">
        <v>1377</v>
      </c>
      <c r="J8">
        <v>0.31</v>
      </c>
      <c r="K8">
        <v>1.7500000000000002E-2</v>
      </c>
      <c r="L8">
        <v>93</v>
      </c>
      <c r="M8">
        <v>10440</v>
      </c>
      <c r="N8">
        <v>31</v>
      </c>
      <c r="O8">
        <v>0</v>
      </c>
      <c r="P8">
        <v>0</v>
      </c>
      <c r="Q8">
        <v>93</v>
      </c>
      <c r="R8">
        <v>0</v>
      </c>
    </row>
    <row r="9" spans="1:20" x14ac:dyDescent="0.2">
      <c r="A9" t="str">
        <f t="shared" si="0"/>
        <v>ICE.2019.1</v>
      </c>
      <c r="B9" t="s">
        <v>1403</v>
      </c>
      <c r="C9" t="str">
        <f t="shared" si="1"/>
        <v>1</v>
      </c>
      <c r="D9" t="str">
        <f t="shared" si="2"/>
        <v>2019</v>
      </c>
      <c r="E9" s="51" t="s">
        <v>1378</v>
      </c>
      <c r="J9">
        <v>0.06</v>
      </c>
      <c r="K9">
        <v>1.7500000000000002E-2</v>
      </c>
      <c r="L9">
        <v>434</v>
      </c>
      <c r="M9">
        <v>9637</v>
      </c>
      <c r="N9">
        <v>-217</v>
      </c>
      <c r="O9">
        <v>0</v>
      </c>
      <c r="P9">
        <v>0</v>
      </c>
      <c r="Q9">
        <v>62</v>
      </c>
      <c r="R9">
        <v>31</v>
      </c>
    </row>
    <row r="10" spans="1:20" x14ac:dyDescent="0.2">
      <c r="A10" t="str">
        <f t="shared" si="0"/>
        <v>ICE.2019.2</v>
      </c>
      <c r="B10" t="s">
        <v>1403</v>
      </c>
      <c r="C10" t="str">
        <f t="shared" si="1"/>
        <v>2</v>
      </c>
      <c r="D10" t="str">
        <f t="shared" si="2"/>
        <v>2019</v>
      </c>
      <c r="E10" s="51" t="s">
        <v>1379</v>
      </c>
      <c r="J10">
        <v>-0.10249999999999999</v>
      </c>
      <c r="K10">
        <v>1.4999999999999999E-2</v>
      </c>
      <c r="L10">
        <v>364</v>
      </c>
      <c r="M10">
        <v>8188</v>
      </c>
      <c r="N10">
        <v>-168</v>
      </c>
      <c r="O10">
        <v>0</v>
      </c>
      <c r="P10">
        <v>0</v>
      </c>
      <c r="Q10">
        <v>56</v>
      </c>
      <c r="R10">
        <v>0</v>
      </c>
    </row>
    <row r="11" spans="1:20" x14ac:dyDescent="0.2">
      <c r="A11" t="str">
        <f t="shared" si="0"/>
        <v>ICE.2019.3</v>
      </c>
      <c r="B11" t="s">
        <v>1403</v>
      </c>
      <c r="C11" t="str">
        <f t="shared" si="1"/>
        <v>3</v>
      </c>
      <c r="D11" t="str">
        <f t="shared" si="2"/>
        <v>2019</v>
      </c>
      <c r="E11" s="51" t="s">
        <v>1380</v>
      </c>
      <c r="J11">
        <v>-0.64</v>
      </c>
      <c r="K11">
        <v>1.7500000000000002E-2</v>
      </c>
      <c r="L11">
        <v>713</v>
      </c>
      <c r="M11">
        <v>9736</v>
      </c>
      <c r="N11">
        <v>-248</v>
      </c>
      <c r="O11">
        <v>0</v>
      </c>
      <c r="P11">
        <v>0</v>
      </c>
      <c r="Q11">
        <v>124</v>
      </c>
      <c r="R11">
        <v>248</v>
      </c>
    </row>
    <row r="12" spans="1:20" x14ac:dyDescent="0.2">
      <c r="A12" t="str">
        <f t="shared" si="0"/>
        <v>ICE.2019.4</v>
      </c>
      <c r="B12" t="s">
        <v>1403</v>
      </c>
      <c r="C12" t="str">
        <f t="shared" si="1"/>
        <v>4</v>
      </c>
      <c r="D12" t="str">
        <f t="shared" si="2"/>
        <v>2019</v>
      </c>
      <c r="E12" s="51" t="s">
        <v>1381</v>
      </c>
      <c r="J12">
        <v>-0.78249999999999997</v>
      </c>
      <c r="K12">
        <v>2.5000000000000001E-2</v>
      </c>
      <c r="L12">
        <v>450</v>
      </c>
      <c r="M12">
        <v>6418</v>
      </c>
      <c r="N12">
        <v>-300</v>
      </c>
      <c r="O12">
        <v>0</v>
      </c>
      <c r="P12">
        <v>0</v>
      </c>
      <c r="Q12">
        <v>60</v>
      </c>
      <c r="R12">
        <v>0</v>
      </c>
    </row>
    <row r="13" spans="1:20" x14ac:dyDescent="0.2">
      <c r="A13" t="str">
        <f t="shared" si="0"/>
        <v>ICE.2019.5</v>
      </c>
      <c r="B13" t="s">
        <v>1403</v>
      </c>
      <c r="C13" t="str">
        <f t="shared" si="1"/>
        <v>5</v>
      </c>
      <c r="D13" t="str">
        <f t="shared" si="2"/>
        <v>2019</v>
      </c>
      <c r="E13" s="51" t="s">
        <v>1382</v>
      </c>
      <c r="J13">
        <v>-0.77500000000000002</v>
      </c>
      <c r="K13">
        <v>2.5000000000000001E-2</v>
      </c>
      <c r="L13">
        <v>465</v>
      </c>
      <c r="M13">
        <v>6598</v>
      </c>
      <c r="N13">
        <v>-310</v>
      </c>
      <c r="O13">
        <v>0</v>
      </c>
      <c r="P13">
        <v>0</v>
      </c>
      <c r="Q13">
        <v>62</v>
      </c>
      <c r="R13">
        <v>0</v>
      </c>
    </row>
    <row r="14" spans="1:20" x14ac:dyDescent="0.2">
      <c r="A14" t="str">
        <f t="shared" si="0"/>
        <v>ICE.2019.6</v>
      </c>
      <c r="B14" t="s">
        <v>1403</v>
      </c>
      <c r="C14" t="str">
        <f t="shared" si="1"/>
        <v>6</v>
      </c>
      <c r="D14" t="str">
        <f t="shared" si="2"/>
        <v>2019</v>
      </c>
      <c r="E14" s="51" t="s">
        <v>1383</v>
      </c>
      <c r="J14">
        <v>-0.77</v>
      </c>
      <c r="K14">
        <v>2.5000000000000001E-2</v>
      </c>
      <c r="L14">
        <v>450</v>
      </c>
      <c r="M14">
        <v>6388</v>
      </c>
      <c r="N14">
        <v>-300</v>
      </c>
      <c r="O14">
        <v>0</v>
      </c>
      <c r="P14">
        <v>0</v>
      </c>
      <c r="Q14">
        <v>60</v>
      </c>
      <c r="R14">
        <v>0</v>
      </c>
    </row>
    <row r="15" spans="1:20" x14ac:dyDescent="0.2">
      <c r="A15" t="str">
        <f t="shared" si="0"/>
        <v>ICE.2019.7</v>
      </c>
      <c r="B15" t="s">
        <v>1403</v>
      </c>
      <c r="C15" t="str">
        <f t="shared" si="1"/>
        <v>7</v>
      </c>
      <c r="D15" t="str">
        <f t="shared" si="2"/>
        <v>2019</v>
      </c>
      <c r="E15" s="51" t="s">
        <v>1384</v>
      </c>
      <c r="J15">
        <v>-0.36749999999999999</v>
      </c>
      <c r="K15">
        <v>2.5000000000000001E-2</v>
      </c>
      <c r="L15">
        <v>465</v>
      </c>
      <c r="M15">
        <v>6337</v>
      </c>
      <c r="N15">
        <v>-310</v>
      </c>
      <c r="O15">
        <v>0</v>
      </c>
      <c r="P15">
        <v>0</v>
      </c>
      <c r="Q15">
        <v>62</v>
      </c>
      <c r="R15">
        <v>0</v>
      </c>
    </row>
    <row r="16" spans="1:20" x14ac:dyDescent="0.2">
      <c r="A16" t="str">
        <f t="shared" si="0"/>
        <v>ICE.2019.8</v>
      </c>
      <c r="B16" t="s">
        <v>1403</v>
      </c>
      <c r="C16" t="str">
        <f t="shared" si="1"/>
        <v>8</v>
      </c>
      <c r="D16" t="str">
        <f t="shared" si="2"/>
        <v>2019</v>
      </c>
      <c r="E16" s="51" t="s">
        <v>1385</v>
      </c>
      <c r="J16">
        <v>-0.34499999999999997</v>
      </c>
      <c r="K16">
        <v>2.5000000000000001E-2</v>
      </c>
      <c r="L16">
        <v>465</v>
      </c>
      <c r="M16">
        <v>6337</v>
      </c>
      <c r="N16">
        <v>-310</v>
      </c>
      <c r="O16">
        <v>0</v>
      </c>
      <c r="P16">
        <v>0</v>
      </c>
      <c r="Q16">
        <v>62</v>
      </c>
      <c r="R16">
        <v>0</v>
      </c>
    </row>
    <row r="17" spans="1:18" x14ac:dyDescent="0.2">
      <c r="A17" t="str">
        <f t="shared" si="0"/>
        <v>ICE.2019.9</v>
      </c>
      <c r="B17" t="s">
        <v>1403</v>
      </c>
      <c r="C17" t="str">
        <f t="shared" si="1"/>
        <v>9</v>
      </c>
      <c r="D17" t="str">
        <f t="shared" si="2"/>
        <v>2019</v>
      </c>
      <c r="E17" s="51" t="s">
        <v>1386</v>
      </c>
      <c r="J17">
        <v>-0.50749999999999995</v>
      </c>
      <c r="K17">
        <v>2.5000000000000001E-2</v>
      </c>
      <c r="L17">
        <v>450</v>
      </c>
      <c r="M17">
        <v>6124</v>
      </c>
      <c r="N17">
        <v>-300</v>
      </c>
      <c r="O17">
        <v>0</v>
      </c>
      <c r="P17">
        <v>0</v>
      </c>
      <c r="Q17">
        <v>60</v>
      </c>
      <c r="R17">
        <v>0</v>
      </c>
    </row>
    <row r="18" spans="1:18" x14ac:dyDescent="0.2">
      <c r="A18" t="str">
        <f t="shared" si="0"/>
        <v>ICE.2019.10</v>
      </c>
      <c r="B18" t="s">
        <v>1403</v>
      </c>
      <c r="C18" t="str">
        <f t="shared" si="1"/>
        <v>10</v>
      </c>
      <c r="D18" t="str">
        <f t="shared" si="2"/>
        <v>2019</v>
      </c>
      <c r="E18" s="51" t="s">
        <v>1387</v>
      </c>
      <c r="J18">
        <v>-0.66</v>
      </c>
      <c r="K18">
        <v>2.5000000000000001E-2</v>
      </c>
      <c r="L18">
        <v>465</v>
      </c>
      <c r="M18">
        <v>6503</v>
      </c>
      <c r="N18">
        <v>-310</v>
      </c>
      <c r="O18">
        <v>0</v>
      </c>
      <c r="P18">
        <v>0</v>
      </c>
      <c r="Q18">
        <v>62</v>
      </c>
      <c r="R18">
        <v>0</v>
      </c>
    </row>
    <row r="19" spans="1:18" x14ac:dyDescent="0.2">
      <c r="A19" t="str">
        <f t="shared" si="0"/>
        <v>ICE.2019.11</v>
      </c>
      <c r="B19" t="s">
        <v>1403</v>
      </c>
      <c r="C19" t="str">
        <f t="shared" si="1"/>
        <v>11</v>
      </c>
      <c r="D19" t="str">
        <f t="shared" si="2"/>
        <v>2019</v>
      </c>
      <c r="E19" s="51" t="s">
        <v>1388</v>
      </c>
      <c r="J19">
        <v>-0.41</v>
      </c>
      <c r="K19">
        <v>0</v>
      </c>
      <c r="L19">
        <v>450</v>
      </c>
      <c r="M19">
        <v>5102</v>
      </c>
      <c r="N19">
        <v>0</v>
      </c>
      <c r="O19">
        <v>0</v>
      </c>
      <c r="P19">
        <v>0</v>
      </c>
      <c r="Q19">
        <v>120</v>
      </c>
      <c r="R19">
        <v>0</v>
      </c>
    </row>
    <row r="20" spans="1:18" x14ac:dyDescent="0.2">
      <c r="A20" t="str">
        <f t="shared" si="0"/>
        <v>ICE.2019.12</v>
      </c>
      <c r="B20" t="s">
        <v>1403</v>
      </c>
      <c r="C20" t="str">
        <f t="shared" si="1"/>
        <v>12</v>
      </c>
      <c r="D20" t="str">
        <f t="shared" si="2"/>
        <v>2019</v>
      </c>
      <c r="E20" s="51" t="s">
        <v>1389</v>
      </c>
      <c r="J20">
        <v>-0.16</v>
      </c>
      <c r="K20">
        <v>0</v>
      </c>
      <c r="L20">
        <v>465</v>
      </c>
      <c r="M20">
        <v>5270</v>
      </c>
      <c r="N20">
        <v>0</v>
      </c>
      <c r="O20">
        <v>0</v>
      </c>
      <c r="P20">
        <v>0</v>
      </c>
      <c r="Q20">
        <v>124</v>
      </c>
      <c r="R20">
        <v>0</v>
      </c>
    </row>
    <row r="21" spans="1:18" x14ac:dyDescent="0.2">
      <c r="A21" t="str">
        <f t="shared" si="0"/>
        <v>ICE.2020.1</v>
      </c>
      <c r="B21" t="s">
        <v>1403</v>
      </c>
      <c r="C21" t="str">
        <f t="shared" si="1"/>
        <v>1</v>
      </c>
      <c r="D21" t="str">
        <f t="shared" si="2"/>
        <v>2020</v>
      </c>
      <c r="E21" s="51" t="s">
        <v>1390</v>
      </c>
      <c r="J21">
        <v>-0.28000000000000003</v>
      </c>
      <c r="K21">
        <v>0</v>
      </c>
      <c r="L21">
        <v>0</v>
      </c>
      <c r="M21">
        <v>3555</v>
      </c>
      <c r="N21">
        <v>0</v>
      </c>
      <c r="O21">
        <v>0</v>
      </c>
      <c r="P21">
        <v>0</v>
      </c>
      <c r="Q21">
        <v>0</v>
      </c>
      <c r="R21">
        <v>0</v>
      </c>
    </row>
    <row r="22" spans="1:18" x14ac:dyDescent="0.2">
      <c r="A22" t="str">
        <f t="shared" si="0"/>
        <v>ICE.2020.2</v>
      </c>
      <c r="B22" t="s">
        <v>1403</v>
      </c>
      <c r="C22" t="str">
        <f t="shared" si="1"/>
        <v>2</v>
      </c>
      <c r="D22" t="str">
        <f t="shared" si="2"/>
        <v>2020</v>
      </c>
      <c r="E22" s="51" t="s">
        <v>1391</v>
      </c>
      <c r="J22">
        <v>-0.31</v>
      </c>
      <c r="K22">
        <v>0</v>
      </c>
      <c r="L22">
        <v>0</v>
      </c>
      <c r="M22">
        <v>3331</v>
      </c>
      <c r="N22">
        <v>0</v>
      </c>
      <c r="O22">
        <v>0</v>
      </c>
      <c r="P22">
        <v>0</v>
      </c>
      <c r="Q22">
        <v>0</v>
      </c>
      <c r="R22">
        <v>0</v>
      </c>
    </row>
    <row r="23" spans="1:18" x14ac:dyDescent="0.2">
      <c r="A23" t="str">
        <f t="shared" si="0"/>
        <v>ICE.2020.3</v>
      </c>
      <c r="B23" t="s">
        <v>1403</v>
      </c>
      <c r="C23" t="str">
        <f t="shared" si="1"/>
        <v>3</v>
      </c>
      <c r="D23" t="str">
        <f t="shared" si="2"/>
        <v>2020</v>
      </c>
      <c r="E23" s="51" t="s">
        <v>1392</v>
      </c>
      <c r="J23">
        <v>-0.41749999999999998</v>
      </c>
      <c r="K23">
        <v>0</v>
      </c>
      <c r="L23">
        <v>0</v>
      </c>
      <c r="M23">
        <v>3555</v>
      </c>
      <c r="N23">
        <v>0</v>
      </c>
      <c r="O23">
        <v>0</v>
      </c>
      <c r="P23">
        <v>0</v>
      </c>
      <c r="Q23">
        <v>0</v>
      </c>
      <c r="R23">
        <v>0</v>
      </c>
    </row>
    <row r="24" spans="1:18" x14ac:dyDescent="0.2">
      <c r="A24" t="str">
        <f t="shared" si="0"/>
        <v>ICE.2020.4</v>
      </c>
      <c r="B24" t="s">
        <v>1403</v>
      </c>
      <c r="C24" t="str">
        <f t="shared" si="1"/>
        <v>4</v>
      </c>
      <c r="D24" t="str">
        <f t="shared" si="2"/>
        <v>2020</v>
      </c>
      <c r="E24" s="51" t="s">
        <v>1393</v>
      </c>
      <c r="J24">
        <v>-0.64249999999999996</v>
      </c>
      <c r="K24">
        <v>0.01</v>
      </c>
      <c r="L24">
        <v>0</v>
      </c>
      <c r="M24">
        <v>3632</v>
      </c>
      <c r="N24">
        <v>0</v>
      </c>
      <c r="O24">
        <v>0</v>
      </c>
      <c r="P24">
        <v>0</v>
      </c>
      <c r="Q24">
        <v>0</v>
      </c>
      <c r="R24">
        <v>0</v>
      </c>
    </row>
    <row r="25" spans="1:18" x14ac:dyDescent="0.2">
      <c r="A25" t="str">
        <f t="shared" si="0"/>
        <v>ICE.2020.5</v>
      </c>
      <c r="B25" t="s">
        <v>1403</v>
      </c>
      <c r="C25" t="str">
        <f t="shared" si="1"/>
        <v>5</v>
      </c>
      <c r="D25" t="str">
        <f t="shared" si="2"/>
        <v>2020</v>
      </c>
      <c r="E25" s="51" t="s">
        <v>1394</v>
      </c>
      <c r="J25">
        <v>-0.63249999999999995</v>
      </c>
      <c r="K25">
        <v>0.01</v>
      </c>
      <c r="L25">
        <v>0</v>
      </c>
      <c r="M25">
        <v>3752</v>
      </c>
      <c r="N25">
        <v>0</v>
      </c>
      <c r="O25">
        <v>0</v>
      </c>
      <c r="P25">
        <v>0</v>
      </c>
      <c r="Q25">
        <v>0</v>
      </c>
      <c r="R25">
        <v>0</v>
      </c>
    </row>
    <row r="26" spans="1:18" x14ac:dyDescent="0.2">
      <c r="A26" t="str">
        <f t="shared" si="0"/>
        <v>ICE.2020.6</v>
      </c>
      <c r="B26" t="s">
        <v>1403</v>
      </c>
      <c r="C26" t="str">
        <f t="shared" si="1"/>
        <v>6</v>
      </c>
      <c r="D26" t="str">
        <f t="shared" si="2"/>
        <v>2020</v>
      </c>
      <c r="E26" s="51" t="s">
        <v>1395</v>
      </c>
      <c r="J26">
        <v>-0.62250000000000005</v>
      </c>
      <c r="K26">
        <v>0.01</v>
      </c>
      <c r="L26">
        <v>0</v>
      </c>
      <c r="M26">
        <v>3632</v>
      </c>
      <c r="N26">
        <v>0</v>
      </c>
      <c r="O26">
        <v>0</v>
      </c>
      <c r="P26">
        <v>0</v>
      </c>
      <c r="Q26">
        <v>0</v>
      </c>
      <c r="R26">
        <v>0</v>
      </c>
    </row>
    <row r="27" spans="1:18" x14ac:dyDescent="0.2">
      <c r="A27" t="str">
        <f t="shared" si="0"/>
        <v>ICE.2020.7</v>
      </c>
      <c r="B27" t="s">
        <v>1403</v>
      </c>
      <c r="C27" t="str">
        <f t="shared" si="1"/>
        <v>7</v>
      </c>
      <c r="D27" t="str">
        <f t="shared" si="2"/>
        <v>2020</v>
      </c>
      <c r="E27" s="51" t="s">
        <v>1396</v>
      </c>
      <c r="J27">
        <v>-0.35499999999999998</v>
      </c>
      <c r="K27">
        <v>0.01</v>
      </c>
      <c r="L27">
        <v>0</v>
      </c>
      <c r="M27">
        <v>3700</v>
      </c>
      <c r="N27">
        <v>0</v>
      </c>
      <c r="O27">
        <v>0</v>
      </c>
      <c r="P27">
        <v>0</v>
      </c>
      <c r="Q27">
        <v>0</v>
      </c>
      <c r="R27">
        <v>0</v>
      </c>
    </row>
    <row r="28" spans="1:18" x14ac:dyDescent="0.2">
      <c r="A28" t="str">
        <f t="shared" si="0"/>
        <v>ICE.2020.8</v>
      </c>
      <c r="B28" t="s">
        <v>1403</v>
      </c>
      <c r="C28" t="str">
        <f t="shared" si="1"/>
        <v>8</v>
      </c>
      <c r="D28" t="str">
        <f t="shared" si="2"/>
        <v>2020</v>
      </c>
      <c r="E28" s="51" t="s">
        <v>1397</v>
      </c>
      <c r="J28">
        <v>-0.33750000000000002</v>
      </c>
      <c r="K28">
        <v>0.01</v>
      </c>
      <c r="L28">
        <v>0</v>
      </c>
      <c r="M28">
        <v>3700</v>
      </c>
      <c r="N28">
        <v>0</v>
      </c>
      <c r="O28">
        <v>0</v>
      </c>
      <c r="P28">
        <v>0</v>
      </c>
      <c r="Q28">
        <v>0</v>
      </c>
      <c r="R28">
        <v>0</v>
      </c>
    </row>
    <row r="29" spans="1:18" x14ac:dyDescent="0.2">
      <c r="A29" t="str">
        <f t="shared" si="0"/>
        <v>ICE.2020.9</v>
      </c>
      <c r="B29" t="s">
        <v>1403</v>
      </c>
      <c r="C29" t="str">
        <f t="shared" si="1"/>
        <v>9</v>
      </c>
      <c r="D29" t="str">
        <f t="shared" si="2"/>
        <v>2020</v>
      </c>
      <c r="E29" s="51" t="s">
        <v>1398</v>
      </c>
      <c r="J29">
        <v>-0.46250000000000002</v>
      </c>
      <c r="K29">
        <v>0.01</v>
      </c>
      <c r="L29">
        <v>0</v>
      </c>
      <c r="M29">
        <v>3570</v>
      </c>
      <c r="N29">
        <v>0</v>
      </c>
      <c r="O29">
        <v>0</v>
      </c>
      <c r="P29">
        <v>0</v>
      </c>
      <c r="Q29">
        <v>0</v>
      </c>
      <c r="R29">
        <v>0</v>
      </c>
    </row>
    <row r="30" spans="1:18" x14ac:dyDescent="0.2">
      <c r="A30" t="str">
        <f t="shared" si="0"/>
        <v>ICE.2020.10</v>
      </c>
      <c r="B30" t="s">
        <v>1403</v>
      </c>
      <c r="C30" t="str">
        <f t="shared" si="1"/>
        <v>10</v>
      </c>
      <c r="D30" t="str">
        <f t="shared" si="2"/>
        <v>2020</v>
      </c>
      <c r="E30" s="51" t="s">
        <v>1399</v>
      </c>
      <c r="J30">
        <v>-0.63</v>
      </c>
      <c r="K30">
        <v>0.01</v>
      </c>
      <c r="L30">
        <v>0</v>
      </c>
      <c r="M30">
        <v>3688</v>
      </c>
      <c r="N30">
        <v>0</v>
      </c>
      <c r="O30">
        <v>0</v>
      </c>
      <c r="P30">
        <v>0</v>
      </c>
      <c r="Q30">
        <v>0</v>
      </c>
      <c r="R30">
        <v>0</v>
      </c>
    </row>
    <row r="31" spans="1:18" x14ac:dyDescent="0.2">
      <c r="A31" t="str">
        <f t="shared" si="0"/>
        <v>ICE.2020.11</v>
      </c>
      <c r="B31" t="s">
        <v>1403</v>
      </c>
      <c r="C31" t="str">
        <f t="shared" si="1"/>
        <v>11</v>
      </c>
      <c r="D31" t="str">
        <f t="shared" si="2"/>
        <v>2020</v>
      </c>
      <c r="E31" s="51" t="s">
        <v>1400</v>
      </c>
      <c r="J31">
        <v>-0.33250000000000002</v>
      </c>
      <c r="K31">
        <v>0</v>
      </c>
      <c r="L31">
        <v>0</v>
      </c>
      <c r="M31">
        <v>2781</v>
      </c>
      <c r="N31">
        <v>0</v>
      </c>
      <c r="O31">
        <v>0</v>
      </c>
      <c r="P31">
        <v>0</v>
      </c>
      <c r="Q31">
        <v>0</v>
      </c>
      <c r="R31">
        <v>0</v>
      </c>
    </row>
    <row r="32" spans="1:18" x14ac:dyDescent="0.2">
      <c r="A32" t="str">
        <f t="shared" si="0"/>
        <v>ICE.2020.12</v>
      </c>
      <c r="B32" t="s">
        <v>1403</v>
      </c>
      <c r="C32" t="str">
        <f t="shared" si="1"/>
        <v>12</v>
      </c>
      <c r="D32" t="str">
        <f t="shared" si="2"/>
        <v>2020</v>
      </c>
      <c r="E32" s="51" t="s">
        <v>1401</v>
      </c>
      <c r="J32">
        <v>-0.14749999999999999</v>
      </c>
      <c r="K32">
        <v>0</v>
      </c>
      <c r="L32">
        <v>0</v>
      </c>
      <c r="M32">
        <v>2869</v>
      </c>
      <c r="N32">
        <v>0</v>
      </c>
      <c r="O32">
        <v>0</v>
      </c>
      <c r="P32">
        <v>0</v>
      </c>
      <c r="Q32">
        <v>0</v>
      </c>
      <c r="R32">
        <v>0</v>
      </c>
    </row>
    <row r="33" spans="1:18" x14ac:dyDescent="0.2">
      <c r="A33" t="str">
        <f t="shared" si="0"/>
        <v>ICE.2021.1</v>
      </c>
      <c r="B33" t="s">
        <v>1403</v>
      </c>
      <c r="C33" t="str">
        <f t="shared" si="1"/>
        <v>1</v>
      </c>
      <c r="D33" t="str">
        <f t="shared" si="2"/>
        <v>2021</v>
      </c>
      <c r="E33" s="51" t="s">
        <v>1405</v>
      </c>
      <c r="J33">
        <v>-0.22750000000000001</v>
      </c>
      <c r="K33">
        <v>0</v>
      </c>
      <c r="L33">
        <v>0</v>
      </c>
      <c r="M33">
        <v>2244</v>
      </c>
      <c r="N33">
        <v>0</v>
      </c>
      <c r="O33">
        <v>0</v>
      </c>
      <c r="P33">
        <v>0</v>
      </c>
      <c r="Q33">
        <v>0</v>
      </c>
      <c r="R33">
        <v>0</v>
      </c>
    </row>
    <row r="34" spans="1:18" x14ac:dyDescent="0.2">
      <c r="A34" t="str">
        <f t="shared" si="0"/>
        <v>ICE.2021.2</v>
      </c>
      <c r="B34" t="s">
        <v>1403</v>
      </c>
      <c r="C34" t="str">
        <f t="shared" si="1"/>
        <v>2</v>
      </c>
      <c r="D34" t="str">
        <f t="shared" si="2"/>
        <v>2021</v>
      </c>
      <c r="E34" s="51" t="s">
        <v>1406</v>
      </c>
      <c r="J34">
        <v>-0.255</v>
      </c>
      <c r="K34">
        <v>0</v>
      </c>
      <c r="L34">
        <v>0</v>
      </c>
      <c r="M34">
        <v>2031</v>
      </c>
      <c r="N34">
        <v>0</v>
      </c>
      <c r="O34">
        <v>0</v>
      </c>
      <c r="P34">
        <v>0</v>
      </c>
      <c r="Q34">
        <v>0</v>
      </c>
      <c r="R34">
        <v>0</v>
      </c>
    </row>
    <row r="35" spans="1:18" x14ac:dyDescent="0.2">
      <c r="A35" t="str">
        <f t="shared" si="0"/>
        <v>ICE.2021.3</v>
      </c>
      <c r="B35" t="s">
        <v>1403</v>
      </c>
      <c r="C35" t="str">
        <f t="shared" si="1"/>
        <v>3</v>
      </c>
      <c r="D35" t="str">
        <f t="shared" si="2"/>
        <v>2021</v>
      </c>
      <c r="E35" s="51" t="s">
        <v>1407</v>
      </c>
      <c r="J35">
        <v>-0.33750000000000002</v>
      </c>
      <c r="K35">
        <v>0</v>
      </c>
      <c r="L35">
        <v>0</v>
      </c>
      <c r="M35">
        <v>2244</v>
      </c>
      <c r="N35">
        <v>0</v>
      </c>
      <c r="O35">
        <v>0</v>
      </c>
      <c r="P35">
        <v>0</v>
      </c>
      <c r="Q35">
        <v>0</v>
      </c>
      <c r="R35">
        <v>0</v>
      </c>
    </row>
    <row r="36" spans="1:18" x14ac:dyDescent="0.2">
      <c r="A36" t="str">
        <f t="shared" si="0"/>
        <v>ICE.2021.4</v>
      </c>
      <c r="B36" t="s">
        <v>1403</v>
      </c>
      <c r="C36" t="str">
        <f t="shared" si="1"/>
        <v>4</v>
      </c>
      <c r="D36" t="str">
        <f t="shared" si="2"/>
        <v>2021</v>
      </c>
      <c r="E36" s="51" t="s">
        <v>1408</v>
      </c>
      <c r="J36">
        <v>-0.54</v>
      </c>
      <c r="K36">
        <v>2.2499999999999999E-2</v>
      </c>
      <c r="L36">
        <v>0</v>
      </c>
      <c r="M36">
        <v>3183</v>
      </c>
      <c r="N36">
        <v>0</v>
      </c>
      <c r="O36">
        <v>0</v>
      </c>
      <c r="P36">
        <v>0</v>
      </c>
      <c r="Q36">
        <v>0</v>
      </c>
      <c r="R36">
        <v>0</v>
      </c>
    </row>
    <row r="37" spans="1:18" x14ac:dyDescent="0.2">
      <c r="A37" t="str">
        <f t="shared" si="0"/>
        <v>ICE.2021.5</v>
      </c>
      <c r="B37" t="s">
        <v>1403</v>
      </c>
      <c r="C37" t="str">
        <f t="shared" si="1"/>
        <v>5</v>
      </c>
      <c r="D37" t="str">
        <f t="shared" si="2"/>
        <v>2021</v>
      </c>
      <c r="E37" s="51" t="s">
        <v>1409</v>
      </c>
      <c r="J37">
        <v>-0.52749999999999997</v>
      </c>
      <c r="K37">
        <v>2.2499999999999999E-2</v>
      </c>
      <c r="L37">
        <v>0</v>
      </c>
      <c r="M37">
        <v>3245</v>
      </c>
      <c r="N37">
        <v>0</v>
      </c>
      <c r="O37">
        <v>0</v>
      </c>
      <c r="P37">
        <v>0</v>
      </c>
      <c r="Q37">
        <v>0</v>
      </c>
      <c r="R37">
        <v>0</v>
      </c>
    </row>
    <row r="38" spans="1:18" x14ac:dyDescent="0.2">
      <c r="A38" t="str">
        <f t="shared" si="0"/>
        <v>ICE.2021.6</v>
      </c>
      <c r="B38" t="s">
        <v>1403</v>
      </c>
      <c r="C38" t="str">
        <f t="shared" si="1"/>
        <v>6</v>
      </c>
      <c r="D38" t="str">
        <f t="shared" si="2"/>
        <v>2021</v>
      </c>
      <c r="E38" s="51" t="s">
        <v>1410</v>
      </c>
      <c r="J38">
        <v>-0.52</v>
      </c>
      <c r="K38">
        <v>2.2499999999999999E-2</v>
      </c>
      <c r="L38">
        <v>0</v>
      </c>
      <c r="M38">
        <v>3143</v>
      </c>
      <c r="N38">
        <v>0</v>
      </c>
      <c r="O38">
        <v>0</v>
      </c>
      <c r="P38">
        <v>0</v>
      </c>
      <c r="Q38">
        <v>0</v>
      </c>
      <c r="R38">
        <v>0</v>
      </c>
    </row>
    <row r="39" spans="1:18" x14ac:dyDescent="0.2">
      <c r="A39" t="str">
        <f t="shared" si="0"/>
        <v>ICE.2021.7</v>
      </c>
      <c r="B39" t="s">
        <v>1403</v>
      </c>
      <c r="C39" t="str">
        <f t="shared" si="1"/>
        <v>7</v>
      </c>
      <c r="D39" t="str">
        <f t="shared" si="2"/>
        <v>2021</v>
      </c>
      <c r="E39" s="51" t="s">
        <v>1411</v>
      </c>
      <c r="J39">
        <v>-0.35</v>
      </c>
      <c r="K39">
        <v>2.2499999999999999E-2</v>
      </c>
      <c r="L39">
        <v>0</v>
      </c>
      <c r="M39">
        <v>3245</v>
      </c>
      <c r="N39">
        <v>0</v>
      </c>
      <c r="O39">
        <v>0</v>
      </c>
      <c r="P39">
        <v>0</v>
      </c>
      <c r="Q39">
        <v>0</v>
      </c>
      <c r="R39">
        <v>0</v>
      </c>
    </row>
    <row r="40" spans="1:18" x14ac:dyDescent="0.2">
      <c r="A40" t="str">
        <f t="shared" si="0"/>
        <v>ICE.2021.8</v>
      </c>
      <c r="B40" t="s">
        <v>1403</v>
      </c>
      <c r="C40" t="str">
        <f t="shared" si="1"/>
        <v>8</v>
      </c>
      <c r="D40" t="str">
        <f t="shared" si="2"/>
        <v>2021</v>
      </c>
      <c r="E40" s="51" t="s">
        <v>1412</v>
      </c>
      <c r="J40">
        <v>-0.33250000000000002</v>
      </c>
      <c r="K40">
        <v>2.2499999999999999E-2</v>
      </c>
      <c r="L40">
        <v>0</v>
      </c>
      <c r="M40">
        <v>3245</v>
      </c>
      <c r="N40">
        <v>0</v>
      </c>
      <c r="O40">
        <v>0</v>
      </c>
      <c r="P40">
        <v>0</v>
      </c>
      <c r="Q40">
        <v>0</v>
      </c>
      <c r="R40">
        <v>0</v>
      </c>
    </row>
    <row r="41" spans="1:18" x14ac:dyDescent="0.2">
      <c r="A41" t="str">
        <f t="shared" si="0"/>
        <v>ICE.2021.9</v>
      </c>
      <c r="B41" t="s">
        <v>1403</v>
      </c>
      <c r="C41" t="str">
        <f t="shared" si="1"/>
        <v>9</v>
      </c>
      <c r="D41" t="str">
        <f t="shared" si="2"/>
        <v>2021</v>
      </c>
      <c r="E41" s="51" t="s">
        <v>1413</v>
      </c>
      <c r="J41">
        <v>-0.45250000000000001</v>
      </c>
      <c r="K41">
        <v>2.2499999999999999E-2</v>
      </c>
      <c r="L41">
        <v>0</v>
      </c>
      <c r="M41">
        <v>3143</v>
      </c>
      <c r="N41">
        <v>0</v>
      </c>
      <c r="O41">
        <v>0</v>
      </c>
      <c r="P41">
        <v>0</v>
      </c>
      <c r="Q41">
        <v>0</v>
      </c>
      <c r="R41">
        <v>0</v>
      </c>
    </row>
    <row r="42" spans="1:18" x14ac:dyDescent="0.2">
      <c r="A42" t="str">
        <f t="shared" si="0"/>
        <v>ICE.2021.10</v>
      </c>
      <c r="B42" t="s">
        <v>1403</v>
      </c>
      <c r="C42" t="str">
        <f t="shared" si="1"/>
        <v>10</v>
      </c>
      <c r="D42" t="str">
        <f t="shared" si="2"/>
        <v>2021</v>
      </c>
      <c r="E42" s="51" t="s">
        <v>1414</v>
      </c>
      <c r="J42">
        <v>-0.52500000000000002</v>
      </c>
      <c r="K42">
        <v>2.2499999999999999E-2</v>
      </c>
      <c r="L42">
        <v>0</v>
      </c>
      <c r="M42">
        <v>3245</v>
      </c>
      <c r="N42">
        <v>0</v>
      </c>
      <c r="O42">
        <v>0</v>
      </c>
      <c r="P42">
        <v>0</v>
      </c>
      <c r="Q42">
        <v>0</v>
      </c>
      <c r="R42">
        <v>0</v>
      </c>
    </row>
    <row r="43" spans="1:18" x14ac:dyDescent="0.2">
      <c r="A43" t="str">
        <f t="shared" si="0"/>
        <v>ICE.2021.11</v>
      </c>
      <c r="B43" t="s">
        <v>1403</v>
      </c>
      <c r="C43" t="str">
        <f t="shared" si="1"/>
        <v>11</v>
      </c>
      <c r="D43" t="str">
        <f t="shared" si="2"/>
        <v>2021</v>
      </c>
      <c r="E43" s="51" t="s">
        <v>1415</v>
      </c>
      <c r="J43">
        <v>-0.27750000000000002</v>
      </c>
      <c r="K43">
        <v>0</v>
      </c>
      <c r="L43">
        <v>0</v>
      </c>
      <c r="M43">
        <v>2085</v>
      </c>
      <c r="N43">
        <v>0</v>
      </c>
      <c r="O43">
        <v>0</v>
      </c>
      <c r="P43">
        <v>0</v>
      </c>
      <c r="Q43">
        <v>0</v>
      </c>
      <c r="R43">
        <v>0</v>
      </c>
    </row>
    <row r="44" spans="1:18" x14ac:dyDescent="0.2">
      <c r="A44" t="str">
        <f t="shared" si="0"/>
        <v>ICE.2021.12</v>
      </c>
      <c r="B44" t="s">
        <v>1403</v>
      </c>
      <c r="C44" t="str">
        <f t="shared" si="1"/>
        <v>12</v>
      </c>
      <c r="D44" t="str">
        <f t="shared" si="2"/>
        <v>2021</v>
      </c>
      <c r="E44" s="51" t="s">
        <v>1416</v>
      </c>
      <c r="J44">
        <v>-0.11749999999999999</v>
      </c>
      <c r="K44">
        <v>0</v>
      </c>
      <c r="L44">
        <v>0</v>
      </c>
      <c r="M44">
        <v>2154</v>
      </c>
      <c r="N44">
        <v>0</v>
      </c>
      <c r="O44">
        <v>0</v>
      </c>
      <c r="P44">
        <v>0</v>
      </c>
      <c r="Q44">
        <v>0</v>
      </c>
      <c r="R44">
        <v>0</v>
      </c>
    </row>
    <row r="45" spans="1:18" x14ac:dyDescent="0.2">
      <c r="A45" t="str">
        <f t="shared" si="0"/>
        <v>ICE.2022.1</v>
      </c>
      <c r="B45" t="s">
        <v>1403</v>
      </c>
      <c r="C45" t="str">
        <f t="shared" si="1"/>
        <v>1</v>
      </c>
      <c r="D45" t="str">
        <f t="shared" si="2"/>
        <v>2022</v>
      </c>
      <c r="E45" s="51" t="s">
        <v>1485</v>
      </c>
      <c r="J45">
        <v>-0.1875</v>
      </c>
      <c r="K45">
        <v>0</v>
      </c>
      <c r="L45">
        <v>0</v>
      </c>
      <c r="M45">
        <v>1664</v>
      </c>
      <c r="N45">
        <v>0</v>
      </c>
      <c r="O45">
        <v>0</v>
      </c>
      <c r="P45">
        <v>0</v>
      </c>
      <c r="Q45">
        <v>0</v>
      </c>
      <c r="R45">
        <v>0</v>
      </c>
    </row>
    <row r="46" spans="1:18" x14ac:dyDescent="0.2">
      <c r="A46" t="str">
        <f t="shared" si="0"/>
        <v>ICE.2022.2</v>
      </c>
      <c r="B46" t="s">
        <v>1403</v>
      </c>
      <c r="C46" t="str">
        <f t="shared" si="1"/>
        <v>2</v>
      </c>
      <c r="D46" t="str">
        <f t="shared" si="2"/>
        <v>2022</v>
      </c>
      <c r="E46" s="51" t="s">
        <v>1486</v>
      </c>
      <c r="J46">
        <v>-0.21</v>
      </c>
      <c r="K46">
        <v>0</v>
      </c>
      <c r="L46">
        <v>0</v>
      </c>
      <c r="M46">
        <v>1511</v>
      </c>
      <c r="N46">
        <v>0</v>
      </c>
      <c r="O46">
        <v>0</v>
      </c>
      <c r="P46">
        <v>0</v>
      </c>
      <c r="Q46">
        <v>0</v>
      </c>
      <c r="R46">
        <v>0</v>
      </c>
    </row>
    <row r="47" spans="1:18" x14ac:dyDescent="0.2">
      <c r="A47" t="str">
        <f t="shared" si="0"/>
        <v>ICE.2022.3</v>
      </c>
      <c r="B47" t="s">
        <v>1403</v>
      </c>
      <c r="C47" t="str">
        <f t="shared" si="1"/>
        <v>3</v>
      </c>
      <c r="D47" t="str">
        <f t="shared" si="2"/>
        <v>2022</v>
      </c>
      <c r="E47" s="51" t="s">
        <v>1487</v>
      </c>
      <c r="J47">
        <v>-0.28000000000000003</v>
      </c>
      <c r="K47">
        <v>0</v>
      </c>
      <c r="L47">
        <v>0</v>
      </c>
      <c r="M47">
        <v>1664</v>
      </c>
      <c r="N47">
        <v>0</v>
      </c>
      <c r="O47">
        <v>0</v>
      </c>
      <c r="P47">
        <v>0</v>
      </c>
      <c r="Q47">
        <v>0</v>
      </c>
      <c r="R47">
        <v>0</v>
      </c>
    </row>
    <row r="48" spans="1:18" x14ac:dyDescent="0.2">
      <c r="A48" t="str">
        <f t="shared" si="0"/>
        <v>ICE.2022.4</v>
      </c>
      <c r="B48" t="s">
        <v>1403</v>
      </c>
      <c r="C48" t="str">
        <f t="shared" si="1"/>
        <v>4</v>
      </c>
      <c r="D48" t="str">
        <f t="shared" si="2"/>
        <v>2022</v>
      </c>
      <c r="E48" s="51" t="s">
        <v>1488</v>
      </c>
      <c r="J48">
        <v>-0.48499999999999999</v>
      </c>
      <c r="K48">
        <v>2.5000000000000001E-3</v>
      </c>
      <c r="L48">
        <v>150</v>
      </c>
      <c r="M48">
        <v>1510</v>
      </c>
      <c r="N48">
        <v>77</v>
      </c>
      <c r="O48">
        <v>0</v>
      </c>
      <c r="P48">
        <v>0</v>
      </c>
      <c r="Q48">
        <v>150</v>
      </c>
      <c r="R48">
        <v>150</v>
      </c>
    </row>
    <row r="49" spans="1:18" x14ac:dyDescent="0.2">
      <c r="A49" t="str">
        <f t="shared" si="0"/>
        <v>ICE.2022.5</v>
      </c>
      <c r="B49" t="s">
        <v>1403</v>
      </c>
      <c r="C49" t="str">
        <f t="shared" si="1"/>
        <v>5</v>
      </c>
      <c r="D49" t="str">
        <f t="shared" si="2"/>
        <v>2022</v>
      </c>
      <c r="E49" s="51" t="s">
        <v>1489</v>
      </c>
      <c r="J49">
        <v>-0.47749999999999998</v>
      </c>
      <c r="K49">
        <v>2.5000000000000001E-3</v>
      </c>
      <c r="L49">
        <v>155</v>
      </c>
      <c r="M49">
        <v>1558</v>
      </c>
      <c r="N49">
        <v>78</v>
      </c>
      <c r="O49">
        <v>0</v>
      </c>
      <c r="P49">
        <v>0</v>
      </c>
      <c r="Q49">
        <v>155</v>
      </c>
      <c r="R49">
        <v>155</v>
      </c>
    </row>
    <row r="50" spans="1:18" x14ac:dyDescent="0.2">
      <c r="A50" t="str">
        <f t="shared" si="0"/>
        <v>ICE.2022.6</v>
      </c>
      <c r="B50" t="s">
        <v>1403</v>
      </c>
      <c r="C50" t="str">
        <f t="shared" si="1"/>
        <v>6</v>
      </c>
      <c r="D50" t="str">
        <f t="shared" si="2"/>
        <v>2022</v>
      </c>
      <c r="E50" s="51" t="s">
        <v>1490</v>
      </c>
      <c r="J50">
        <v>-0.47</v>
      </c>
      <c r="K50">
        <v>2.5000000000000001E-3</v>
      </c>
      <c r="L50">
        <v>150</v>
      </c>
      <c r="M50">
        <v>1510</v>
      </c>
      <c r="N50">
        <v>77</v>
      </c>
      <c r="O50">
        <v>0</v>
      </c>
      <c r="P50">
        <v>0</v>
      </c>
      <c r="Q50">
        <v>150</v>
      </c>
      <c r="R50">
        <v>150</v>
      </c>
    </row>
    <row r="51" spans="1:18" x14ac:dyDescent="0.2">
      <c r="A51" t="str">
        <f t="shared" si="0"/>
        <v>ICE.2022.7</v>
      </c>
      <c r="B51" t="s">
        <v>1403</v>
      </c>
      <c r="C51" t="str">
        <f t="shared" si="1"/>
        <v>7</v>
      </c>
      <c r="D51" t="str">
        <f t="shared" si="2"/>
        <v>2022</v>
      </c>
      <c r="E51" s="51" t="s">
        <v>1491</v>
      </c>
      <c r="J51">
        <v>-0.32</v>
      </c>
      <c r="K51">
        <v>2.5000000000000001E-3</v>
      </c>
      <c r="L51">
        <v>155</v>
      </c>
      <c r="M51">
        <v>1558</v>
      </c>
      <c r="N51">
        <v>78</v>
      </c>
      <c r="O51">
        <v>0</v>
      </c>
      <c r="P51">
        <v>0</v>
      </c>
      <c r="Q51">
        <v>155</v>
      </c>
      <c r="R51">
        <v>155</v>
      </c>
    </row>
    <row r="52" spans="1:18" x14ac:dyDescent="0.2">
      <c r="A52" t="str">
        <f t="shared" si="0"/>
        <v>ICE.2022.8</v>
      </c>
      <c r="B52" t="s">
        <v>1403</v>
      </c>
      <c r="C52" t="str">
        <f t="shared" si="1"/>
        <v>8</v>
      </c>
      <c r="D52" t="str">
        <f t="shared" si="2"/>
        <v>2022</v>
      </c>
      <c r="E52" s="51" t="s">
        <v>1492</v>
      </c>
      <c r="J52">
        <v>-0.30499999999999999</v>
      </c>
      <c r="K52">
        <v>2.5000000000000001E-3</v>
      </c>
      <c r="L52">
        <v>155</v>
      </c>
      <c r="M52">
        <v>1558</v>
      </c>
      <c r="N52">
        <v>78</v>
      </c>
      <c r="O52">
        <v>0</v>
      </c>
      <c r="P52">
        <v>0</v>
      </c>
      <c r="Q52">
        <v>155</v>
      </c>
      <c r="R52">
        <v>155</v>
      </c>
    </row>
    <row r="53" spans="1:18" x14ac:dyDescent="0.2">
      <c r="A53" t="str">
        <f t="shared" si="0"/>
        <v>ICE.2022.9</v>
      </c>
      <c r="B53" t="s">
        <v>1403</v>
      </c>
      <c r="C53" t="str">
        <f t="shared" si="1"/>
        <v>9</v>
      </c>
      <c r="D53" t="str">
        <f t="shared" si="2"/>
        <v>2022</v>
      </c>
      <c r="E53" s="51" t="s">
        <v>1493</v>
      </c>
      <c r="J53">
        <v>-0.41</v>
      </c>
      <c r="K53">
        <v>2.5000000000000001E-3</v>
      </c>
      <c r="L53">
        <v>150</v>
      </c>
      <c r="M53">
        <v>1510</v>
      </c>
      <c r="N53">
        <v>77</v>
      </c>
      <c r="O53">
        <v>0</v>
      </c>
      <c r="P53">
        <v>0</v>
      </c>
      <c r="Q53">
        <v>150</v>
      </c>
      <c r="R53">
        <v>150</v>
      </c>
    </row>
    <row r="54" spans="1:18" x14ac:dyDescent="0.2">
      <c r="A54" t="str">
        <f t="shared" si="0"/>
        <v>ICE.2022.10</v>
      </c>
      <c r="B54" t="s">
        <v>1403</v>
      </c>
      <c r="C54" t="str">
        <f t="shared" si="1"/>
        <v>10</v>
      </c>
      <c r="D54" t="str">
        <f t="shared" si="2"/>
        <v>2022</v>
      </c>
      <c r="E54" s="51" t="s">
        <v>1494</v>
      </c>
      <c r="J54">
        <v>-0.47499999999999998</v>
      </c>
      <c r="K54">
        <v>2.5000000000000001E-3</v>
      </c>
      <c r="L54">
        <v>155</v>
      </c>
      <c r="M54">
        <v>1558</v>
      </c>
      <c r="N54">
        <v>78</v>
      </c>
      <c r="O54">
        <v>0</v>
      </c>
      <c r="P54">
        <v>0</v>
      </c>
      <c r="Q54">
        <v>155</v>
      </c>
      <c r="R54">
        <v>155</v>
      </c>
    </row>
    <row r="55" spans="1:18" x14ac:dyDescent="0.2">
      <c r="A55" t="str">
        <f t="shared" si="0"/>
        <v>ICE.2022.11</v>
      </c>
      <c r="B55" t="s">
        <v>1403</v>
      </c>
      <c r="C55" t="str">
        <f t="shared" si="1"/>
        <v>11</v>
      </c>
      <c r="D55" t="str">
        <f t="shared" si="2"/>
        <v>2022</v>
      </c>
      <c r="E55" s="51" t="s">
        <v>1495</v>
      </c>
      <c r="J55">
        <v>-0.24249999999999999</v>
      </c>
      <c r="K55">
        <v>0</v>
      </c>
      <c r="L55">
        <v>0</v>
      </c>
      <c r="M55">
        <v>1523</v>
      </c>
      <c r="N55">
        <v>0</v>
      </c>
      <c r="O55">
        <v>0</v>
      </c>
      <c r="P55">
        <v>0</v>
      </c>
      <c r="Q55">
        <v>0</v>
      </c>
      <c r="R55">
        <v>0</v>
      </c>
    </row>
    <row r="56" spans="1:18" x14ac:dyDescent="0.2">
      <c r="A56" t="str">
        <f t="shared" si="0"/>
        <v>ICE.2022.12</v>
      </c>
      <c r="B56" t="s">
        <v>1403</v>
      </c>
      <c r="C56" t="str">
        <f t="shared" si="1"/>
        <v>12</v>
      </c>
      <c r="D56" t="str">
        <f t="shared" si="2"/>
        <v>2022</v>
      </c>
      <c r="E56" s="51" t="s">
        <v>1496</v>
      </c>
      <c r="J56">
        <v>-9.7500000000000003E-2</v>
      </c>
      <c r="K56">
        <v>0</v>
      </c>
      <c r="L56">
        <v>0</v>
      </c>
      <c r="M56">
        <v>1573</v>
      </c>
      <c r="N56">
        <v>0</v>
      </c>
      <c r="O56">
        <v>0</v>
      </c>
      <c r="P56">
        <v>0</v>
      </c>
      <c r="Q56">
        <v>0</v>
      </c>
      <c r="R56">
        <v>0</v>
      </c>
    </row>
    <row r="57" spans="1:18" x14ac:dyDescent="0.2">
      <c r="A57" t="str">
        <f t="shared" si="0"/>
        <v>ICE.2023.1</v>
      </c>
      <c r="B57" t="s">
        <v>1403</v>
      </c>
      <c r="C57" t="str">
        <f t="shared" si="1"/>
        <v>1</v>
      </c>
      <c r="D57" t="str">
        <f t="shared" si="2"/>
        <v>2023</v>
      </c>
      <c r="E57" s="51" t="s">
        <v>1511</v>
      </c>
      <c r="J57">
        <v>-0.16</v>
      </c>
      <c r="K57">
        <v>0</v>
      </c>
      <c r="L57">
        <v>0</v>
      </c>
      <c r="M57">
        <v>658</v>
      </c>
      <c r="N57">
        <v>0</v>
      </c>
      <c r="O57">
        <v>0</v>
      </c>
      <c r="P57">
        <v>0</v>
      </c>
      <c r="Q57">
        <v>0</v>
      </c>
      <c r="R57">
        <v>0</v>
      </c>
    </row>
    <row r="58" spans="1:18" x14ac:dyDescent="0.2">
      <c r="A58" t="str">
        <f t="shared" si="0"/>
        <v>ICE.2023.2</v>
      </c>
      <c r="B58" t="s">
        <v>1403</v>
      </c>
      <c r="C58" t="str">
        <f t="shared" si="1"/>
        <v>2</v>
      </c>
      <c r="D58" t="str">
        <f t="shared" si="2"/>
        <v>2023</v>
      </c>
      <c r="E58" s="51" t="s">
        <v>1512</v>
      </c>
      <c r="J58">
        <v>-0.1825</v>
      </c>
      <c r="K58">
        <v>0</v>
      </c>
      <c r="L58">
        <v>0</v>
      </c>
      <c r="M58">
        <v>598</v>
      </c>
      <c r="N58">
        <v>0</v>
      </c>
      <c r="O58">
        <v>0</v>
      </c>
      <c r="P58">
        <v>0</v>
      </c>
      <c r="Q58">
        <v>0</v>
      </c>
      <c r="R58">
        <v>0</v>
      </c>
    </row>
    <row r="59" spans="1:18" x14ac:dyDescent="0.2">
      <c r="A59" t="str">
        <f t="shared" si="0"/>
        <v>ICE.2023.3</v>
      </c>
      <c r="B59" t="s">
        <v>1403</v>
      </c>
      <c r="C59" t="str">
        <f t="shared" si="1"/>
        <v>3</v>
      </c>
      <c r="D59" t="str">
        <f t="shared" si="2"/>
        <v>2023</v>
      </c>
      <c r="E59" s="51" t="s">
        <v>1513</v>
      </c>
      <c r="J59">
        <v>-0.245</v>
      </c>
      <c r="K59">
        <v>0</v>
      </c>
      <c r="L59">
        <v>0</v>
      </c>
      <c r="M59">
        <v>658</v>
      </c>
      <c r="N59">
        <v>0</v>
      </c>
      <c r="O59">
        <v>0</v>
      </c>
      <c r="P59">
        <v>0</v>
      </c>
      <c r="Q59">
        <v>0</v>
      </c>
      <c r="R59">
        <v>0</v>
      </c>
    </row>
    <row r="60" spans="1:18" x14ac:dyDescent="0.2">
      <c r="A60" t="str">
        <f t="shared" si="0"/>
        <v>ICE.2023.4</v>
      </c>
      <c r="B60" t="s">
        <v>1403</v>
      </c>
      <c r="C60" t="str">
        <f t="shared" si="1"/>
        <v>4</v>
      </c>
      <c r="D60" t="str">
        <f t="shared" si="2"/>
        <v>2023</v>
      </c>
      <c r="E60" s="51" t="s">
        <v>1514</v>
      </c>
      <c r="J60">
        <v>-0.4375</v>
      </c>
      <c r="K60">
        <v>0</v>
      </c>
      <c r="L60">
        <v>0</v>
      </c>
      <c r="M60">
        <v>638</v>
      </c>
      <c r="N60">
        <v>0</v>
      </c>
      <c r="O60">
        <v>0</v>
      </c>
      <c r="P60">
        <v>0</v>
      </c>
      <c r="Q60">
        <v>0</v>
      </c>
      <c r="R60">
        <v>0</v>
      </c>
    </row>
    <row r="61" spans="1:18" x14ac:dyDescent="0.2">
      <c r="A61" t="str">
        <f t="shared" si="0"/>
        <v>ICE.2023.5</v>
      </c>
      <c r="B61" t="s">
        <v>1403</v>
      </c>
      <c r="C61" t="str">
        <f t="shared" si="1"/>
        <v>5</v>
      </c>
      <c r="D61" t="str">
        <f t="shared" si="2"/>
        <v>2023</v>
      </c>
      <c r="E61" s="51" t="s">
        <v>1515</v>
      </c>
      <c r="J61">
        <v>-0.43</v>
      </c>
      <c r="K61">
        <v>0</v>
      </c>
      <c r="L61">
        <v>0</v>
      </c>
      <c r="M61">
        <v>658</v>
      </c>
      <c r="N61">
        <v>0</v>
      </c>
      <c r="O61">
        <v>0</v>
      </c>
      <c r="P61">
        <v>0</v>
      </c>
      <c r="Q61">
        <v>0</v>
      </c>
      <c r="R61">
        <v>0</v>
      </c>
    </row>
    <row r="62" spans="1:18" x14ac:dyDescent="0.2">
      <c r="A62" t="str">
        <f t="shared" si="0"/>
        <v>ICE.2023.6</v>
      </c>
      <c r="B62" t="s">
        <v>1403</v>
      </c>
      <c r="C62" t="str">
        <f t="shared" si="1"/>
        <v>6</v>
      </c>
      <c r="D62" t="str">
        <f t="shared" si="2"/>
        <v>2023</v>
      </c>
      <c r="E62" s="51" t="s">
        <v>1516</v>
      </c>
      <c r="J62">
        <v>-0.42249999999999999</v>
      </c>
      <c r="K62">
        <v>0</v>
      </c>
      <c r="L62">
        <v>0</v>
      </c>
      <c r="M62">
        <v>638</v>
      </c>
      <c r="N62">
        <v>0</v>
      </c>
      <c r="O62">
        <v>0</v>
      </c>
      <c r="P62">
        <v>0</v>
      </c>
      <c r="Q62">
        <v>0</v>
      </c>
      <c r="R62">
        <v>0</v>
      </c>
    </row>
    <row r="63" spans="1:18" x14ac:dyDescent="0.2">
      <c r="A63" t="str">
        <f t="shared" si="0"/>
        <v>ICE.2023.7</v>
      </c>
      <c r="B63" t="s">
        <v>1403</v>
      </c>
      <c r="C63" t="str">
        <f t="shared" si="1"/>
        <v>7</v>
      </c>
      <c r="D63" t="str">
        <f t="shared" si="2"/>
        <v>2023</v>
      </c>
      <c r="E63" s="51" t="s">
        <v>1517</v>
      </c>
      <c r="J63">
        <v>-0.28749999999999998</v>
      </c>
      <c r="K63">
        <v>0</v>
      </c>
      <c r="L63">
        <v>0</v>
      </c>
      <c r="M63">
        <v>658</v>
      </c>
      <c r="N63">
        <v>0</v>
      </c>
      <c r="O63">
        <v>0</v>
      </c>
      <c r="P63">
        <v>0</v>
      </c>
      <c r="Q63">
        <v>0</v>
      </c>
      <c r="R63">
        <v>0</v>
      </c>
    </row>
    <row r="64" spans="1:18" x14ac:dyDescent="0.2">
      <c r="A64" t="str">
        <f t="shared" si="0"/>
        <v>ICE.2023.8</v>
      </c>
      <c r="B64" t="s">
        <v>1403</v>
      </c>
      <c r="C64" t="str">
        <f t="shared" si="1"/>
        <v>8</v>
      </c>
      <c r="D64" t="str">
        <f t="shared" si="2"/>
        <v>2023</v>
      </c>
      <c r="E64" s="51" t="s">
        <v>1518</v>
      </c>
      <c r="J64">
        <v>-0.27250000000000002</v>
      </c>
      <c r="K64">
        <v>0</v>
      </c>
      <c r="L64">
        <v>0</v>
      </c>
      <c r="M64">
        <v>658</v>
      </c>
      <c r="N64">
        <v>0</v>
      </c>
      <c r="O64">
        <v>0</v>
      </c>
      <c r="P64">
        <v>0</v>
      </c>
      <c r="Q64">
        <v>0</v>
      </c>
      <c r="R64">
        <v>0</v>
      </c>
    </row>
    <row r="65" spans="1:18" x14ac:dyDescent="0.2">
      <c r="A65" t="str">
        <f t="shared" si="0"/>
        <v>ICE.2023.9</v>
      </c>
      <c r="B65" t="s">
        <v>1403</v>
      </c>
      <c r="C65" t="str">
        <f t="shared" si="1"/>
        <v>9</v>
      </c>
      <c r="D65" t="str">
        <f t="shared" si="2"/>
        <v>2023</v>
      </c>
      <c r="E65" s="51" t="s">
        <v>1519</v>
      </c>
      <c r="J65">
        <v>-0.37</v>
      </c>
      <c r="K65">
        <v>0</v>
      </c>
      <c r="L65">
        <v>0</v>
      </c>
      <c r="M65">
        <v>638</v>
      </c>
      <c r="N65">
        <v>0</v>
      </c>
      <c r="O65">
        <v>0</v>
      </c>
      <c r="P65">
        <v>0</v>
      </c>
      <c r="Q65">
        <v>0</v>
      </c>
      <c r="R65">
        <v>0</v>
      </c>
    </row>
    <row r="66" spans="1:18" x14ac:dyDescent="0.2">
      <c r="A66" t="str">
        <f t="shared" si="0"/>
        <v>ICE.2023.10</v>
      </c>
      <c r="B66" t="s">
        <v>1403</v>
      </c>
      <c r="C66" t="str">
        <f t="shared" si="1"/>
        <v>10</v>
      </c>
      <c r="D66" t="str">
        <f t="shared" si="2"/>
        <v>2023</v>
      </c>
      <c r="E66" s="51" t="s">
        <v>1520</v>
      </c>
      <c r="J66">
        <v>-0.42749999999999999</v>
      </c>
      <c r="K66">
        <v>0</v>
      </c>
      <c r="L66">
        <v>0</v>
      </c>
      <c r="M66">
        <v>658</v>
      </c>
      <c r="N66">
        <v>0</v>
      </c>
      <c r="O66">
        <v>0</v>
      </c>
      <c r="P66">
        <v>0</v>
      </c>
      <c r="Q66">
        <v>0</v>
      </c>
      <c r="R66">
        <v>0</v>
      </c>
    </row>
    <row r="67" spans="1:18" x14ac:dyDescent="0.2">
      <c r="A67" t="str">
        <f t="shared" ref="A67:A130" si="3">B67&amp;"."&amp;D67&amp;"."&amp;C67</f>
        <v>ICE.2023.11</v>
      </c>
      <c r="B67" t="s">
        <v>1403</v>
      </c>
      <c r="C67" t="str">
        <f t="shared" ref="C67:C130" si="4">TEXT(DATEVALUE("1"&amp;E67),"M")</f>
        <v>11</v>
      </c>
      <c r="D67" t="str">
        <f t="shared" ref="D67:D130" si="5">TEXT(DATEVALUE("1"&amp;E67),"YYYY")</f>
        <v>2023</v>
      </c>
      <c r="E67" s="51" t="s">
        <v>1521</v>
      </c>
      <c r="J67">
        <v>-0.22</v>
      </c>
      <c r="K67">
        <v>0</v>
      </c>
      <c r="L67">
        <v>0</v>
      </c>
      <c r="M67">
        <v>638</v>
      </c>
      <c r="N67">
        <v>0</v>
      </c>
      <c r="O67">
        <v>0</v>
      </c>
      <c r="P67">
        <v>0</v>
      </c>
      <c r="Q67">
        <v>0</v>
      </c>
      <c r="R67">
        <v>0</v>
      </c>
    </row>
    <row r="68" spans="1:18" x14ac:dyDescent="0.2">
      <c r="A68" t="str">
        <f t="shared" si="3"/>
        <v>ICE.2023.12</v>
      </c>
      <c r="B68" t="s">
        <v>1403</v>
      </c>
      <c r="C68" t="str">
        <f t="shared" si="4"/>
        <v>12</v>
      </c>
      <c r="D68" t="str">
        <f t="shared" si="5"/>
        <v>2023</v>
      </c>
      <c r="E68" s="51" t="s">
        <v>1522</v>
      </c>
      <c r="J68">
        <v>-8.7499999999999994E-2</v>
      </c>
      <c r="K68">
        <v>0</v>
      </c>
      <c r="L68">
        <v>0</v>
      </c>
      <c r="M68">
        <v>658</v>
      </c>
      <c r="N68">
        <v>0</v>
      </c>
      <c r="O68">
        <v>0</v>
      </c>
      <c r="P68">
        <v>0</v>
      </c>
      <c r="Q68">
        <v>0</v>
      </c>
      <c r="R68">
        <v>0</v>
      </c>
    </row>
    <row r="69" spans="1:18" x14ac:dyDescent="0.2">
      <c r="A69" t="str">
        <f t="shared" si="3"/>
        <v>ICE.2024.1</v>
      </c>
      <c r="B69" t="s">
        <v>1403</v>
      </c>
      <c r="C69" t="str">
        <f t="shared" si="4"/>
        <v>1</v>
      </c>
      <c r="D69" t="str">
        <f t="shared" si="5"/>
        <v>2024</v>
      </c>
      <c r="E69" s="51" t="s">
        <v>1523</v>
      </c>
      <c r="J69">
        <v>-0.14499999999999999</v>
      </c>
      <c r="K69">
        <v>0</v>
      </c>
      <c r="L69">
        <v>0</v>
      </c>
      <c r="M69">
        <v>689</v>
      </c>
      <c r="N69">
        <v>0</v>
      </c>
      <c r="O69">
        <v>0</v>
      </c>
      <c r="P69">
        <v>0</v>
      </c>
      <c r="Q69">
        <v>0</v>
      </c>
      <c r="R69">
        <v>0</v>
      </c>
    </row>
    <row r="70" spans="1:18" x14ac:dyDescent="0.2">
      <c r="A70" t="str">
        <f t="shared" si="3"/>
        <v>ICE.2024.2</v>
      </c>
      <c r="B70" t="s">
        <v>1403</v>
      </c>
      <c r="C70" t="str">
        <f t="shared" si="4"/>
        <v>2</v>
      </c>
      <c r="D70" t="str">
        <f t="shared" si="5"/>
        <v>2024</v>
      </c>
      <c r="E70" s="51" t="s">
        <v>1524</v>
      </c>
      <c r="J70">
        <v>-0.16500000000000001</v>
      </c>
      <c r="K70">
        <v>0</v>
      </c>
      <c r="L70">
        <v>0</v>
      </c>
      <c r="M70">
        <v>647</v>
      </c>
      <c r="N70">
        <v>0</v>
      </c>
      <c r="O70">
        <v>0</v>
      </c>
      <c r="P70">
        <v>0</v>
      </c>
      <c r="Q70">
        <v>0</v>
      </c>
      <c r="R70">
        <v>0</v>
      </c>
    </row>
    <row r="71" spans="1:18" x14ac:dyDescent="0.2">
      <c r="A71" t="str">
        <f t="shared" si="3"/>
        <v>ICE.2024.3</v>
      </c>
      <c r="B71" t="s">
        <v>1403</v>
      </c>
      <c r="C71" t="str">
        <f t="shared" si="4"/>
        <v>3</v>
      </c>
      <c r="D71" t="str">
        <f t="shared" si="5"/>
        <v>2024</v>
      </c>
      <c r="E71" s="51" t="s">
        <v>1525</v>
      </c>
      <c r="J71">
        <v>-0.2225</v>
      </c>
      <c r="K71">
        <v>0</v>
      </c>
      <c r="L71">
        <v>0</v>
      </c>
      <c r="M71">
        <v>689</v>
      </c>
      <c r="N71">
        <v>0</v>
      </c>
      <c r="O71">
        <v>0</v>
      </c>
      <c r="P71">
        <v>0</v>
      </c>
      <c r="Q71">
        <v>0</v>
      </c>
      <c r="R71">
        <v>0</v>
      </c>
    </row>
    <row r="72" spans="1:18" x14ac:dyDescent="0.2">
      <c r="A72" t="str">
        <f t="shared" si="3"/>
        <v>ICE.2024.4</v>
      </c>
      <c r="B72" t="s">
        <v>1403</v>
      </c>
      <c r="C72" t="str">
        <f t="shared" si="4"/>
        <v>4</v>
      </c>
      <c r="D72" t="str">
        <f t="shared" si="5"/>
        <v>2024</v>
      </c>
      <c r="E72" s="51" t="s">
        <v>1526</v>
      </c>
      <c r="J72">
        <v>-0.42249999999999999</v>
      </c>
      <c r="K72">
        <v>0</v>
      </c>
      <c r="L72">
        <v>0</v>
      </c>
      <c r="M72">
        <v>668</v>
      </c>
      <c r="N72">
        <v>0</v>
      </c>
      <c r="O72">
        <v>0</v>
      </c>
      <c r="P72">
        <v>0</v>
      </c>
      <c r="Q72">
        <v>0</v>
      </c>
      <c r="R72">
        <v>0</v>
      </c>
    </row>
    <row r="73" spans="1:18" x14ac:dyDescent="0.2">
      <c r="A73" t="str">
        <f t="shared" si="3"/>
        <v>ICE.2024.5</v>
      </c>
      <c r="B73" t="s">
        <v>1403</v>
      </c>
      <c r="C73" t="str">
        <f t="shared" si="4"/>
        <v>5</v>
      </c>
      <c r="D73" t="str">
        <f t="shared" si="5"/>
        <v>2024</v>
      </c>
      <c r="E73" s="51" t="s">
        <v>1527</v>
      </c>
      <c r="J73">
        <v>-0.41249999999999998</v>
      </c>
      <c r="K73">
        <v>0</v>
      </c>
      <c r="L73">
        <v>0</v>
      </c>
      <c r="M73">
        <v>689</v>
      </c>
      <c r="N73">
        <v>0</v>
      </c>
      <c r="O73">
        <v>0</v>
      </c>
      <c r="P73">
        <v>0</v>
      </c>
      <c r="Q73">
        <v>0</v>
      </c>
      <c r="R73">
        <v>0</v>
      </c>
    </row>
    <row r="74" spans="1:18" x14ac:dyDescent="0.2">
      <c r="A74" t="str">
        <f t="shared" si="3"/>
        <v>ICE.2024.6</v>
      </c>
      <c r="B74" t="s">
        <v>1403</v>
      </c>
      <c r="C74" t="str">
        <f t="shared" si="4"/>
        <v>6</v>
      </c>
      <c r="D74" t="str">
        <f t="shared" si="5"/>
        <v>2024</v>
      </c>
      <c r="E74" s="51" t="s">
        <v>1528</v>
      </c>
      <c r="J74">
        <v>-0.40749999999999997</v>
      </c>
      <c r="K74">
        <v>0</v>
      </c>
      <c r="L74">
        <v>0</v>
      </c>
      <c r="M74">
        <v>668</v>
      </c>
      <c r="N74">
        <v>0</v>
      </c>
      <c r="O74">
        <v>0</v>
      </c>
      <c r="P74">
        <v>0</v>
      </c>
      <c r="Q74">
        <v>0</v>
      </c>
      <c r="R74">
        <v>0</v>
      </c>
    </row>
    <row r="75" spans="1:18" x14ac:dyDescent="0.2">
      <c r="A75" t="str">
        <f t="shared" si="3"/>
        <v>ICE.2024.7</v>
      </c>
      <c r="B75" t="s">
        <v>1403</v>
      </c>
      <c r="C75" t="str">
        <f t="shared" si="4"/>
        <v>7</v>
      </c>
      <c r="D75" t="str">
        <f t="shared" si="5"/>
        <v>2024</v>
      </c>
      <c r="E75" s="51" t="s">
        <v>1529</v>
      </c>
      <c r="J75">
        <v>-0.27500000000000002</v>
      </c>
      <c r="K75">
        <v>0</v>
      </c>
      <c r="L75">
        <v>0</v>
      </c>
      <c r="M75">
        <v>657</v>
      </c>
      <c r="N75">
        <v>0</v>
      </c>
      <c r="O75">
        <v>0</v>
      </c>
      <c r="P75">
        <v>0</v>
      </c>
      <c r="Q75">
        <v>0</v>
      </c>
      <c r="R75">
        <v>0</v>
      </c>
    </row>
    <row r="76" spans="1:18" x14ac:dyDescent="0.2">
      <c r="A76" t="str">
        <f t="shared" si="3"/>
        <v>ICE.2024.8</v>
      </c>
      <c r="B76" t="s">
        <v>1403</v>
      </c>
      <c r="C76" t="str">
        <f t="shared" si="4"/>
        <v>8</v>
      </c>
      <c r="D76" t="str">
        <f t="shared" si="5"/>
        <v>2024</v>
      </c>
      <c r="E76" s="51" t="s">
        <v>1530</v>
      </c>
      <c r="J76">
        <v>-0.26250000000000001</v>
      </c>
      <c r="K76">
        <v>0</v>
      </c>
      <c r="L76">
        <v>0</v>
      </c>
      <c r="M76">
        <v>657</v>
      </c>
      <c r="N76">
        <v>0</v>
      </c>
      <c r="O76">
        <v>0</v>
      </c>
      <c r="P76">
        <v>0</v>
      </c>
      <c r="Q76">
        <v>0</v>
      </c>
      <c r="R76">
        <v>0</v>
      </c>
    </row>
    <row r="77" spans="1:18" x14ac:dyDescent="0.2">
      <c r="A77" t="str">
        <f t="shared" si="3"/>
        <v>ICE.2024.9</v>
      </c>
      <c r="B77" t="s">
        <v>1403</v>
      </c>
      <c r="C77" t="str">
        <f t="shared" si="4"/>
        <v>9</v>
      </c>
      <c r="D77" t="str">
        <f t="shared" si="5"/>
        <v>2024</v>
      </c>
      <c r="E77" s="51" t="s">
        <v>1531</v>
      </c>
      <c r="J77">
        <v>-0.35499999999999998</v>
      </c>
      <c r="K77">
        <v>0</v>
      </c>
      <c r="L77">
        <v>0</v>
      </c>
      <c r="M77">
        <v>636</v>
      </c>
      <c r="N77">
        <v>0</v>
      </c>
      <c r="O77">
        <v>0</v>
      </c>
      <c r="P77">
        <v>0</v>
      </c>
      <c r="Q77">
        <v>0</v>
      </c>
      <c r="R77">
        <v>0</v>
      </c>
    </row>
    <row r="78" spans="1:18" x14ac:dyDescent="0.2">
      <c r="A78" t="str">
        <f t="shared" si="3"/>
        <v>ICE.2024.10</v>
      </c>
      <c r="B78" t="s">
        <v>1403</v>
      </c>
      <c r="C78" t="str">
        <f t="shared" si="4"/>
        <v>10</v>
      </c>
      <c r="D78" t="str">
        <f t="shared" si="5"/>
        <v>2024</v>
      </c>
      <c r="E78" s="51" t="s">
        <v>1532</v>
      </c>
      <c r="J78">
        <v>-0.41</v>
      </c>
      <c r="K78">
        <v>0</v>
      </c>
      <c r="L78">
        <v>0</v>
      </c>
      <c r="M78">
        <v>657</v>
      </c>
      <c r="N78">
        <v>0</v>
      </c>
      <c r="O78">
        <v>0</v>
      </c>
      <c r="P78">
        <v>0</v>
      </c>
      <c r="Q78">
        <v>0</v>
      </c>
      <c r="R78">
        <v>0</v>
      </c>
    </row>
    <row r="79" spans="1:18" x14ac:dyDescent="0.2">
      <c r="A79" t="str">
        <f t="shared" si="3"/>
        <v>ICE.2024.11</v>
      </c>
      <c r="B79" t="s">
        <v>1403</v>
      </c>
      <c r="C79" t="str">
        <f t="shared" si="4"/>
        <v>11</v>
      </c>
      <c r="D79" t="str">
        <f t="shared" si="5"/>
        <v>2024</v>
      </c>
      <c r="E79" s="51" t="s">
        <v>1533</v>
      </c>
      <c r="J79">
        <v>-0.20250000000000001</v>
      </c>
      <c r="K79">
        <v>0</v>
      </c>
      <c r="L79">
        <v>0</v>
      </c>
      <c r="M79">
        <v>636</v>
      </c>
      <c r="N79">
        <v>0</v>
      </c>
      <c r="O79">
        <v>0</v>
      </c>
      <c r="P79">
        <v>0</v>
      </c>
      <c r="Q79">
        <v>0</v>
      </c>
      <c r="R79">
        <v>0</v>
      </c>
    </row>
    <row r="80" spans="1:18" x14ac:dyDescent="0.2">
      <c r="A80" t="str">
        <f t="shared" si="3"/>
        <v>ICE.2024.12</v>
      </c>
      <c r="B80" t="s">
        <v>1403</v>
      </c>
      <c r="C80" t="str">
        <f t="shared" si="4"/>
        <v>12</v>
      </c>
      <c r="D80" t="str">
        <f t="shared" si="5"/>
        <v>2024</v>
      </c>
      <c r="E80" s="51" t="s">
        <v>1534</v>
      </c>
      <c r="J80">
        <v>-0.08</v>
      </c>
      <c r="K80">
        <v>0</v>
      </c>
      <c r="L80">
        <v>0</v>
      </c>
      <c r="M80">
        <v>657</v>
      </c>
      <c r="N80">
        <v>0</v>
      </c>
      <c r="O80">
        <v>0</v>
      </c>
      <c r="P80">
        <v>0</v>
      </c>
      <c r="Q80">
        <v>0</v>
      </c>
      <c r="R80">
        <v>0</v>
      </c>
    </row>
    <row r="81" spans="1:18" x14ac:dyDescent="0.2">
      <c r="A81" t="str">
        <f t="shared" si="3"/>
        <v>ICE.2025.1</v>
      </c>
      <c r="B81" t="s">
        <v>1403</v>
      </c>
      <c r="C81" t="str">
        <f t="shared" si="4"/>
        <v>1</v>
      </c>
      <c r="D81" t="str">
        <f t="shared" si="5"/>
        <v>2025</v>
      </c>
      <c r="E81" s="51" t="s">
        <v>1538</v>
      </c>
      <c r="J81">
        <v>-0.13250000000000001</v>
      </c>
      <c r="K81">
        <v>0</v>
      </c>
      <c r="L81">
        <v>0</v>
      </c>
      <c r="M81">
        <v>157</v>
      </c>
      <c r="N81">
        <v>0</v>
      </c>
      <c r="O81">
        <v>0</v>
      </c>
      <c r="P81">
        <v>0</v>
      </c>
      <c r="Q81">
        <v>0</v>
      </c>
      <c r="R81">
        <v>0</v>
      </c>
    </row>
    <row r="82" spans="1:18" x14ac:dyDescent="0.2">
      <c r="A82" t="str">
        <f t="shared" si="3"/>
        <v>ICE.2025.2</v>
      </c>
      <c r="B82" t="s">
        <v>1403</v>
      </c>
      <c r="C82" t="str">
        <f t="shared" si="4"/>
        <v>2</v>
      </c>
      <c r="D82" t="str">
        <f t="shared" si="5"/>
        <v>2025</v>
      </c>
      <c r="E82" s="51" t="s">
        <v>1539</v>
      </c>
      <c r="J82">
        <v>-0.15</v>
      </c>
      <c r="K82">
        <v>0</v>
      </c>
      <c r="L82">
        <v>0</v>
      </c>
      <c r="M82">
        <v>142</v>
      </c>
      <c r="N82">
        <v>0</v>
      </c>
      <c r="O82">
        <v>0</v>
      </c>
      <c r="P82">
        <v>0</v>
      </c>
      <c r="Q82">
        <v>0</v>
      </c>
      <c r="R82">
        <v>0</v>
      </c>
    </row>
    <row r="83" spans="1:18" x14ac:dyDescent="0.2">
      <c r="A83" t="str">
        <f t="shared" si="3"/>
        <v>ICE.2025.3</v>
      </c>
      <c r="B83" t="s">
        <v>1403</v>
      </c>
      <c r="C83" t="str">
        <f t="shared" si="4"/>
        <v>3</v>
      </c>
      <c r="D83" t="str">
        <f t="shared" si="5"/>
        <v>2025</v>
      </c>
      <c r="E83" s="51" t="s">
        <v>1540</v>
      </c>
      <c r="J83">
        <v>-0.20499999999999999</v>
      </c>
      <c r="K83">
        <v>0</v>
      </c>
      <c r="L83">
        <v>0</v>
      </c>
      <c r="M83">
        <v>157</v>
      </c>
      <c r="N83">
        <v>0</v>
      </c>
      <c r="O83">
        <v>0</v>
      </c>
      <c r="P83">
        <v>0</v>
      </c>
      <c r="Q83">
        <v>0</v>
      </c>
      <c r="R83">
        <v>0</v>
      </c>
    </row>
    <row r="84" spans="1:18" x14ac:dyDescent="0.2">
      <c r="A84" t="str">
        <f t="shared" si="3"/>
        <v>ICE.2025.4</v>
      </c>
      <c r="B84" t="s">
        <v>1403</v>
      </c>
      <c r="C84" t="str">
        <f t="shared" si="4"/>
        <v>4</v>
      </c>
      <c r="D84" t="str">
        <f t="shared" si="5"/>
        <v>2025</v>
      </c>
      <c r="E84" s="51" t="s">
        <v>1541</v>
      </c>
      <c r="J84">
        <v>-0.40749999999999997</v>
      </c>
      <c r="K84">
        <v>0</v>
      </c>
      <c r="L84">
        <v>0</v>
      </c>
      <c r="M84">
        <v>152</v>
      </c>
      <c r="N84">
        <v>0</v>
      </c>
      <c r="O84">
        <v>0</v>
      </c>
      <c r="P84">
        <v>0</v>
      </c>
      <c r="Q84">
        <v>0</v>
      </c>
      <c r="R84">
        <v>0</v>
      </c>
    </row>
    <row r="85" spans="1:18" x14ac:dyDescent="0.2">
      <c r="A85" t="str">
        <f t="shared" si="3"/>
        <v>ICE.2025.5</v>
      </c>
      <c r="B85" t="s">
        <v>1403</v>
      </c>
      <c r="C85" t="str">
        <f t="shared" si="4"/>
        <v>5</v>
      </c>
      <c r="D85" t="str">
        <f t="shared" si="5"/>
        <v>2025</v>
      </c>
      <c r="E85" s="51" t="s">
        <v>1542</v>
      </c>
      <c r="J85">
        <v>-0.4</v>
      </c>
      <c r="K85">
        <v>0</v>
      </c>
      <c r="L85">
        <v>0</v>
      </c>
      <c r="M85">
        <v>157</v>
      </c>
      <c r="N85">
        <v>0</v>
      </c>
      <c r="O85">
        <v>0</v>
      </c>
      <c r="P85">
        <v>0</v>
      </c>
      <c r="Q85">
        <v>0</v>
      </c>
      <c r="R85">
        <v>0</v>
      </c>
    </row>
    <row r="86" spans="1:18" x14ac:dyDescent="0.2">
      <c r="A86" t="str">
        <f t="shared" si="3"/>
        <v>ICE.2025.6</v>
      </c>
      <c r="B86" t="s">
        <v>1403</v>
      </c>
      <c r="C86" t="str">
        <f t="shared" si="4"/>
        <v>6</v>
      </c>
      <c r="D86" t="str">
        <f t="shared" si="5"/>
        <v>2025</v>
      </c>
      <c r="E86" s="51" t="s">
        <v>1543</v>
      </c>
      <c r="J86">
        <v>-0.39500000000000002</v>
      </c>
      <c r="K86">
        <v>0</v>
      </c>
      <c r="L86">
        <v>0</v>
      </c>
      <c r="M86">
        <v>152</v>
      </c>
      <c r="N86">
        <v>0</v>
      </c>
      <c r="O86">
        <v>0</v>
      </c>
      <c r="P86">
        <v>0</v>
      </c>
      <c r="Q86">
        <v>0</v>
      </c>
      <c r="R86">
        <v>0</v>
      </c>
    </row>
    <row r="87" spans="1:18" x14ac:dyDescent="0.2">
      <c r="A87" t="str">
        <f t="shared" si="3"/>
        <v>ICE.2025.7</v>
      </c>
      <c r="B87" t="s">
        <v>1403</v>
      </c>
      <c r="C87" t="str">
        <f t="shared" si="4"/>
        <v>7</v>
      </c>
      <c r="D87" t="str">
        <f t="shared" si="5"/>
        <v>2025</v>
      </c>
      <c r="E87" s="51" t="s">
        <v>1544</v>
      </c>
      <c r="J87">
        <v>-0.26750000000000002</v>
      </c>
      <c r="K87">
        <v>0</v>
      </c>
      <c r="L87">
        <v>0</v>
      </c>
      <c r="M87">
        <v>157</v>
      </c>
      <c r="N87">
        <v>0</v>
      </c>
      <c r="O87">
        <v>0</v>
      </c>
      <c r="P87">
        <v>0</v>
      </c>
      <c r="Q87">
        <v>0</v>
      </c>
      <c r="R87">
        <v>0</v>
      </c>
    </row>
    <row r="88" spans="1:18" x14ac:dyDescent="0.2">
      <c r="A88" t="str">
        <f t="shared" si="3"/>
        <v>ICE.2025.8</v>
      </c>
      <c r="B88" t="s">
        <v>1403</v>
      </c>
      <c r="C88" t="str">
        <f t="shared" si="4"/>
        <v>8</v>
      </c>
      <c r="D88" t="str">
        <f t="shared" si="5"/>
        <v>2025</v>
      </c>
      <c r="E88" s="51" t="s">
        <v>1545</v>
      </c>
      <c r="J88">
        <v>-0.2525</v>
      </c>
      <c r="K88">
        <v>0</v>
      </c>
      <c r="L88">
        <v>0</v>
      </c>
      <c r="M88">
        <v>157</v>
      </c>
      <c r="N88">
        <v>0</v>
      </c>
      <c r="O88">
        <v>0</v>
      </c>
      <c r="P88">
        <v>0</v>
      </c>
      <c r="Q88">
        <v>0</v>
      </c>
      <c r="R88">
        <v>0</v>
      </c>
    </row>
    <row r="89" spans="1:18" x14ac:dyDescent="0.2">
      <c r="A89" t="str">
        <f t="shared" si="3"/>
        <v>ICE.2025.9</v>
      </c>
      <c r="B89" t="s">
        <v>1403</v>
      </c>
      <c r="C89" t="str">
        <f t="shared" si="4"/>
        <v>9</v>
      </c>
      <c r="D89" t="str">
        <f t="shared" si="5"/>
        <v>2025</v>
      </c>
      <c r="E89" s="51" t="s">
        <v>1546</v>
      </c>
      <c r="J89">
        <v>-0.34499999999999997</v>
      </c>
      <c r="K89">
        <v>0</v>
      </c>
      <c r="L89">
        <v>0</v>
      </c>
      <c r="M89">
        <v>152</v>
      </c>
      <c r="N89">
        <v>0</v>
      </c>
      <c r="O89">
        <v>0</v>
      </c>
      <c r="P89">
        <v>0</v>
      </c>
      <c r="Q89">
        <v>0</v>
      </c>
      <c r="R89">
        <v>0</v>
      </c>
    </row>
    <row r="90" spans="1:18" x14ac:dyDescent="0.2">
      <c r="A90" t="str">
        <f t="shared" si="3"/>
        <v>ICE.2025.10</v>
      </c>
      <c r="B90" t="s">
        <v>1403</v>
      </c>
      <c r="C90" t="str">
        <f t="shared" si="4"/>
        <v>10</v>
      </c>
      <c r="D90" t="str">
        <f t="shared" si="5"/>
        <v>2025</v>
      </c>
      <c r="E90" s="51" t="s">
        <v>1547</v>
      </c>
      <c r="J90">
        <v>-0.39750000000000002</v>
      </c>
      <c r="K90">
        <v>0</v>
      </c>
      <c r="L90">
        <v>0</v>
      </c>
      <c r="M90">
        <v>157</v>
      </c>
      <c r="N90">
        <v>0</v>
      </c>
      <c r="O90">
        <v>0</v>
      </c>
      <c r="P90">
        <v>0</v>
      </c>
      <c r="Q90">
        <v>0</v>
      </c>
      <c r="R90">
        <v>0</v>
      </c>
    </row>
    <row r="91" spans="1:18" x14ac:dyDescent="0.2">
      <c r="A91" t="str">
        <f t="shared" si="3"/>
        <v>ICE.2025.11</v>
      </c>
      <c r="B91" t="s">
        <v>1403</v>
      </c>
      <c r="C91" t="str">
        <f t="shared" si="4"/>
        <v>11</v>
      </c>
      <c r="D91" t="str">
        <f t="shared" si="5"/>
        <v>2025</v>
      </c>
      <c r="E91" s="51" t="s">
        <v>1548</v>
      </c>
      <c r="J91">
        <v>-0.2</v>
      </c>
      <c r="K91">
        <v>0</v>
      </c>
      <c r="L91">
        <v>0</v>
      </c>
      <c r="M91">
        <v>152</v>
      </c>
      <c r="N91">
        <v>0</v>
      </c>
      <c r="O91">
        <v>0</v>
      </c>
      <c r="P91">
        <v>0</v>
      </c>
      <c r="Q91">
        <v>0</v>
      </c>
      <c r="R91">
        <v>0</v>
      </c>
    </row>
    <row r="92" spans="1:18" x14ac:dyDescent="0.2">
      <c r="A92" t="str">
        <f t="shared" si="3"/>
        <v>ICE.2025.12</v>
      </c>
      <c r="B92" t="s">
        <v>1403</v>
      </c>
      <c r="C92" t="str">
        <f t="shared" si="4"/>
        <v>12</v>
      </c>
      <c r="D92" t="str">
        <f t="shared" si="5"/>
        <v>2025</v>
      </c>
      <c r="E92" s="51" t="s">
        <v>1549</v>
      </c>
      <c r="J92">
        <v>-0.08</v>
      </c>
      <c r="K92">
        <v>0</v>
      </c>
      <c r="L92">
        <v>0</v>
      </c>
      <c r="M92">
        <v>157</v>
      </c>
      <c r="N92">
        <v>0</v>
      </c>
      <c r="O92">
        <v>0</v>
      </c>
      <c r="P92">
        <v>0</v>
      </c>
      <c r="Q92">
        <v>0</v>
      </c>
      <c r="R92">
        <v>0</v>
      </c>
    </row>
    <row r="93" spans="1:18" x14ac:dyDescent="0.2">
      <c r="A93" t="str">
        <f t="shared" si="3"/>
        <v>ICE.2026.1</v>
      </c>
      <c r="B93" t="s">
        <v>1403</v>
      </c>
      <c r="C93" t="str">
        <f t="shared" si="4"/>
        <v>1</v>
      </c>
      <c r="D93" t="str">
        <f t="shared" si="5"/>
        <v>2026</v>
      </c>
      <c r="E93" s="51" t="s">
        <v>1550</v>
      </c>
      <c r="J93">
        <v>-0.13250000000000001</v>
      </c>
      <c r="K93">
        <v>0</v>
      </c>
      <c r="L93">
        <v>0</v>
      </c>
      <c r="M93">
        <v>2</v>
      </c>
      <c r="N93">
        <v>0</v>
      </c>
      <c r="O93">
        <v>0</v>
      </c>
      <c r="P93">
        <v>0</v>
      </c>
      <c r="Q93">
        <v>0</v>
      </c>
      <c r="R93">
        <v>0</v>
      </c>
    </row>
    <row r="94" spans="1:18" x14ac:dyDescent="0.2">
      <c r="A94" t="str">
        <f t="shared" si="3"/>
        <v>ICE.2026.2</v>
      </c>
      <c r="B94" t="s">
        <v>1403</v>
      </c>
      <c r="C94" t="str">
        <f t="shared" si="4"/>
        <v>2</v>
      </c>
      <c r="D94" t="str">
        <f t="shared" si="5"/>
        <v>2026</v>
      </c>
      <c r="E94" s="51" t="s">
        <v>1551</v>
      </c>
      <c r="J94">
        <v>-0.15</v>
      </c>
      <c r="K94">
        <v>0</v>
      </c>
      <c r="L94">
        <v>0</v>
      </c>
      <c r="M94">
        <v>2</v>
      </c>
      <c r="N94">
        <v>0</v>
      </c>
      <c r="O94">
        <v>0</v>
      </c>
      <c r="P94">
        <v>0</v>
      </c>
      <c r="Q94">
        <v>0</v>
      </c>
      <c r="R94">
        <v>0</v>
      </c>
    </row>
    <row r="95" spans="1:18" x14ac:dyDescent="0.2">
      <c r="A95" t="str">
        <f t="shared" si="3"/>
        <v>ICE.2026.3</v>
      </c>
      <c r="B95" t="s">
        <v>1403</v>
      </c>
      <c r="C95" t="str">
        <f t="shared" si="4"/>
        <v>3</v>
      </c>
      <c r="D95" t="str">
        <f t="shared" si="5"/>
        <v>2026</v>
      </c>
      <c r="E95" s="51" t="s">
        <v>1552</v>
      </c>
      <c r="J95">
        <v>-0.20250000000000001</v>
      </c>
      <c r="K95">
        <v>0</v>
      </c>
      <c r="L95">
        <v>0</v>
      </c>
      <c r="M95">
        <v>2</v>
      </c>
      <c r="N95">
        <v>0</v>
      </c>
      <c r="O95">
        <v>0</v>
      </c>
      <c r="P95">
        <v>0</v>
      </c>
      <c r="Q95">
        <v>0</v>
      </c>
      <c r="R95">
        <v>0</v>
      </c>
    </row>
    <row r="96" spans="1:18" x14ac:dyDescent="0.2">
      <c r="A96" t="str">
        <f t="shared" si="3"/>
        <v>ICE.2026.4</v>
      </c>
      <c r="B96" t="s">
        <v>1403</v>
      </c>
      <c r="C96" t="str">
        <f t="shared" si="4"/>
        <v>4</v>
      </c>
      <c r="D96" t="str">
        <f t="shared" si="5"/>
        <v>2026</v>
      </c>
      <c r="E96" s="51" t="s">
        <v>1553</v>
      </c>
      <c r="J96">
        <v>-0.41499999999999998</v>
      </c>
      <c r="K96">
        <v>0</v>
      </c>
      <c r="L96">
        <v>0</v>
      </c>
      <c r="M96">
        <v>2</v>
      </c>
      <c r="N96">
        <v>0</v>
      </c>
      <c r="O96">
        <v>0</v>
      </c>
      <c r="P96">
        <v>0</v>
      </c>
      <c r="Q96">
        <v>0</v>
      </c>
      <c r="R96">
        <v>0</v>
      </c>
    </row>
    <row r="97" spans="1:18" x14ac:dyDescent="0.2">
      <c r="A97" t="str">
        <f t="shared" si="3"/>
        <v>ICE.2026.5</v>
      </c>
      <c r="B97" t="s">
        <v>1403</v>
      </c>
      <c r="C97" t="str">
        <f t="shared" si="4"/>
        <v>5</v>
      </c>
      <c r="D97" t="str">
        <f t="shared" si="5"/>
        <v>2026</v>
      </c>
      <c r="E97" s="51" t="s">
        <v>1554</v>
      </c>
      <c r="J97">
        <v>-0.40500000000000003</v>
      </c>
      <c r="K97">
        <v>0</v>
      </c>
      <c r="L97">
        <v>0</v>
      </c>
      <c r="M97">
        <v>2</v>
      </c>
      <c r="N97">
        <v>0</v>
      </c>
      <c r="O97">
        <v>0</v>
      </c>
      <c r="P97">
        <v>0</v>
      </c>
      <c r="Q97">
        <v>0</v>
      </c>
      <c r="R97">
        <v>0</v>
      </c>
    </row>
    <row r="98" spans="1:18" x14ac:dyDescent="0.2">
      <c r="A98" t="str">
        <f t="shared" si="3"/>
        <v>ICE.2026.6</v>
      </c>
      <c r="B98" t="s">
        <v>1403</v>
      </c>
      <c r="C98" t="str">
        <f t="shared" si="4"/>
        <v>6</v>
      </c>
      <c r="D98" t="str">
        <f t="shared" si="5"/>
        <v>2026</v>
      </c>
      <c r="E98" s="51" t="s">
        <v>1555</v>
      </c>
      <c r="J98">
        <v>-0.4</v>
      </c>
      <c r="K98">
        <v>0</v>
      </c>
      <c r="L98">
        <v>0</v>
      </c>
      <c r="M98">
        <v>2</v>
      </c>
      <c r="N98">
        <v>0</v>
      </c>
      <c r="O98">
        <v>0</v>
      </c>
      <c r="P98">
        <v>0</v>
      </c>
      <c r="Q98">
        <v>0</v>
      </c>
      <c r="R98">
        <v>0</v>
      </c>
    </row>
    <row r="99" spans="1:18" x14ac:dyDescent="0.2">
      <c r="A99" t="str">
        <f t="shared" si="3"/>
        <v>ICE.2026.7</v>
      </c>
      <c r="B99" t="s">
        <v>1403</v>
      </c>
      <c r="C99" t="str">
        <f t="shared" si="4"/>
        <v>7</v>
      </c>
      <c r="D99" t="str">
        <f t="shared" si="5"/>
        <v>2026</v>
      </c>
      <c r="E99" s="51" t="s">
        <v>1556</v>
      </c>
      <c r="J99">
        <v>-0.27</v>
      </c>
      <c r="K99">
        <v>0</v>
      </c>
      <c r="L99">
        <v>0</v>
      </c>
      <c r="M99">
        <v>2</v>
      </c>
      <c r="N99">
        <v>0</v>
      </c>
      <c r="O99">
        <v>0</v>
      </c>
      <c r="P99">
        <v>0</v>
      </c>
      <c r="Q99">
        <v>0</v>
      </c>
      <c r="R99">
        <v>0</v>
      </c>
    </row>
    <row r="100" spans="1:18" x14ac:dyDescent="0.2">
      <c r="A100" t="str">
        <f t="shared" si="3"/>
        <v>ICE.2026.8</v>
      </c>
      <c r="B100" t="s">
        <v>1403</v>
      </c>
      <c r="C100" t="str">
        <f t="shared" si="4"/>
        <v>8</v>
      </c>
      <c r="D100" t="str">
        <f t="shared" si="5"/>
        <v>2026</v>
      </c>
      <c r="E100" s="51" t="s">
        <v>1557</v>
      </c>
      <c r="J100">
        <v>-0.25750000000000001</v>
      </c>
      <c r="K100">
        <v>0</v>
      </c>
      <c r="L100">
        <v>0</v>
      </c>
      <c r="M100">
        <v>2</v>
      </c>
      <c r="N100">
        <v>0</v>
      </c>
      <c r="O100">
        <v>0</v>
      </c>
      <c r="P100">
        <v>0</v>
      </c>
      <c r="Q100">
        <v>0</v>
      </c>
      <c r="R100">
        <v>0</v>
      </c>
    </row>
    <row r="101" spans="1:18" x14ac:dyDescent="0.2">
      <c r="A101" t="str">
        <f t="shared" si="3"/>
        <v>ICE.2026.9</v>
      </c>
      <c r="B101" t="s">
        <v>1403</v>
      </c>
      <c r="C101" t="str">
        <f t="shared" si="4"/>
        <v>9</v>
      </c>
      <c r="D101" t="str">
        <f t="shared" si="5"/>
        <v>2026</v>
      </c>
      <c r="E101" s="51" t="s">
        <v>1558</v>
      </c>
      <c r="J101">
        <v>-0.34749999999999998</v>
      </c>
      <c r="K101">
        <v>0</v>
      </c>
      <c r="L101">
        <v>0</v>
      </c>
      <c r="M101">
        <v>2</v>
      </c>
      <c r="N101">
        <v>0</v>
      </c>
      <c r="O101">
        <v>0</v>
      </c>
      <c r="P101">
        <v>0</v>
      </c>
      <c r="Q101">
        <v>0</v>
      </c>
      <c r="R101">
        <v>0</v>
      </c>
    </row>
    <row r="102" spans="1:18" x14ac:dyDescent="0.2">
      <c r="A102" t="str">
        <f t="shared" si="3"/>
        <v>ICE.2026.10</v>
      </c>
      <c r="B102" t="s">
        <v>1403</v>
      </c>
      <c r="C102" t="str">
        <f t="shared" si="4"/>
        <v>10</v>
      </c>
      <c r="D102" t="str">
        <f t="shared" si="5"/>
        <v>2026</v>
      </c>
      <c r="E102" s="51" t="s">
        <v>1559</v>
      </c>
      <c r="J102">
        <v>-0.40250000000000002</v>
      </c>
      <c r="K102">
        <v>0</v>
      </c>
      <c r="L102">
        <v>0</v>
      </c>
      <c r="M102">
        <v>2</v>
      </c>
      <c r="N102">
        <v>0</v>
      </c>
      <c r="O102">
        <v>0</v>
      </c>
      <c r="P102">
        <v>0</v>
      </c>
      <c r="Q102">
        <v>0</v>
      </c>
      <c r="R102">
        <v>0</v>
      </c>
    </row>
    <row r="103" spans="1:18" x14ac:dyDescent="0.2">
      <c r="A103" t="str">
        <f t="shared" si="3"/>
        <v>ICE.2026.11</v>
      </c>
      <c r="B103" t="s">
        <v>1403</v>
      </c>
      <c r="C103" t="str">
        <f t="shared" si="4"/>
        <v>11</v>
      </c>
      <c r="D103" t="str">
        <f t="shared" si="5"/>
        <v>2026</v>
      </c>
      <c r="E103" s="51" t="s">
        <v>1560</v>
      </c>
      <c r="J103">
        <v>-0.2175</v>
      </c>
      <c r="K103">
        <v>0</v>
      </c>
      <c r="L103">
        <v>0</v>
      </c>
      <c r="M103">
        <v>2</v>
      </c>
      <c r="N103">
        <v>0</v>
      </c>
      <c r="O103">
        <v>0</v>
      </c>
      <c r="P103">
        <v>0</v>
      </c>
      <c r="Q103">
        <v>0</v>
      </c>
      <c r="R103">
        <v>0</v>
      </c>
    </row>
    <row r="104" spans="1:18" x14ac:dyDescent="0.2">
      <c r="A104" t="str">
        <f t="shared" si="3"/>
        <v>ICE.2026.12</v>
      </c>
      <c r="B104" t="s">
        <v>1403</v>
      </c>
      <c r="C104" t="str">
        <f t="shared" si="4"/>
        <v>12</v>
      </c>
      <c r="D104" t="str">
        <f t="shared" si="5"/>
        <v>2026</v>
      </c>
      <c r="E104" s="51" t="s">
        <v>1561</v>
      </c>
      <c r="J104">
        <v>-8.7499999999999994E-2</v>
      </c>
      <c r="K104">
        <v>0</v>
      </c>
      <c r="L104">
        <v>0</v>
      </c>
      <c r="M104">
        <v>2</v>
      </c>
      <c r="N104">
        <v>0</v>
      </c>
      <c r="O104">
        <v>0</v>
      </c>
      <c r="P104">
        <v>0</v>
      </c>
      <c r="Q104">
        <v>0</v>
      </c>
      <c r="R104">
        <v>0</v>
      </c>
    </row>
    <row r="105" spans="1:18" x14ac:dyDescent="0.2">
      <c r="A105" t="str">
        <f t="shared" si="3"/>
        <v>ICE.2027.1</v>
      </c>
      <c r="B105" t="s">
        <v>1403</v>
      </c>
      <c r="C105" t="str">
        <f t="shared" si="4"/>
        <v>1</v>
      </c>
      <c r="D105" t="str">
        <f t="shared" si="5"/>
        <v>2027</v>
      </c>
      <c r="E105" s="51" t="s">
        <v>1562</v>
      </c>
      <c r="J105">
        <v>-0.14499999999999999</v>
      </c>
      <c r="K105">
        <v>0</v>
      </c>
      <c r="L105">
        <v>0</v>
      </c>
      <c r="M105">
        <v>2</v>
      </c>
      <c r="N105">
        <v>0</v>
      </c>
      <c r="O105">
        <v>0</v>
      </c>
      <c r="P105">
        <v>0</v>
      </c>
      <c r="Q105">
        <v>0</v>
      </c>
      <c r="R105">
        <v>0</v>
      </c>
    </row>
    <row r="106" spans="1:18" x14ac:dyDescent="0.2">
      <c r="A106" t="str">
        <f t="shared" si="3"/>
        <v>ICE.2027.2</v>
      </c>
      <c r="B106" t="s">
        <v>1403</v>
      </c>
      <c r="C106" t="str">
        <f t="shared" si="4"/>
        <v>2</v>
      </c>
      <c r="D106" t="str">
        <f t="shared" si="5"/>
        <v>2027</v>
      </c>
      <c r="E106" s="51" t="s">
        <v>1563</v>
      </c>
      <c r="J106">
        <v>-0.16250000000000001</v>
      </c>
      <c r="K106">
        <v>0</v>
      </c>
      <c r="L106">
        <v>0</v>
      </c>
      <c r="M106">
        <v>2</v>
      </c>
      <c r="N106">
        <v>0</v>
      </c>
      <c r="O106">
        <v>0</v>
      </c>
      <c r="P106">
        <v>0</v>
      </c>
      <c r="Q106">
        <v>0</v>
      </c>
      <c r="R106">
        <v>0</v>
      </c>
    </row>
    <row r="107" spans="1:18" x14ac:dyDescent="0.2">
      <c r="A107" t="str">
        <f t="shared" si="3"/>
        <v>ICE.2027.3</v>
      </c>
      <c r="B107" t="s">
        <v>1403</v>
      </c>
      <c r="C107" t="str">
        <f t="shared" si="4"/>
        <v>3</v>
      </c>
      <c r="D107" t="str">
        <f t="shared" si="5"/>
        <v>2027</v>
      </c>
      <c r="E107" s="51" t="s">
        <v>1564</v>
      </c>
      <c r="J107">
        <v>-0.2225</v>
      </c>
      <c r="K107">
        <v>0</v>
      </c>
      <c r="L107">
        <v>0</v>
      </c>
      <c r="M107">
        <v>2</v>
      </c>
      <c r="N107">
        <v>0</v>
      </c>
      <c r="O107">
        <v>0</v>
      </c>
      <c r="P107">
        <v>0</v>
      </c>
      <c r="Q107">
        <v>0</v>
      </c>
      <c r="R107">
        <v>0</v>
      </c>
    </row>
    <row r="108" spans="1:18" x14ac:dyDescent="0.2">
      <c r="A108" t="str">
        <f t="shared" si="3"/>
        <v>ICE.2027.4</v>
      </c>
      <c r="B108" t="s">
        <v>1403</v>
      </c>
      <c r="C108" t="str">
        <f t="shared" si="4"/>
        <v>4</v>
      </c>
      <c r="D108" t="str">
        <f t="shared" si="5"/>
        <v>2027</v>
      </c>
      <c r="E108" s="51" t="s">
        <v>1565</v>
      </c>
      <c r="J108">
        <v>-0.41499999999999998</v>
      </c>
      <c r="K108">
        <v>0</v>
      </c>
      <c r="L108">
        <v>0</v>
      </c>
      <c r="M108">
        <v>2</v>
      </c>
      <c r="N108">
        <v>0</v>
      </c>
      <c r="O108">
        <v>0</v>
      </c>
      <c r="P108">
        <v>0</v>
      </c>
      <c r="Q108">
        <v>0</v>
      </c>
      <c r="R108">
        <v>0</v>
      </c>
    </row>
    <row r="109" spans="1:18" x14ac:dyDescent="0.2">
      <c r="A109" t="str">
        <f t="shared" si="3"/>
        <v>ICE.2027.5</v>
      </c>
      <c r="B109" t="s">
        <v>1403</v>
      </c>
      <c r="C109" t="str">
        <f t="shared" si="4"/>
        <v>5</v>
      </c>
      <c r="D109" t="str">
        <f t="shared" si="5"/>
        <v>2027</v>
      </c>
      <c r="E109" s="51" t="s">
        <v>1566</v>
      </c>
      <c r="J109">
        <v>-0.40500000000000003</v>
      </c>
      <c r="K109">
        <v>0</v>
      </c>
      <c r="L109">
        <v>0</v>
      </c>
      <c r="M109">
        <v>2</v>
      </c>
      <c r="N109">
        <v>0</v>
      </c>
      <c r="O109">
        <v>0</v>
      </c>
      <c r="P109">
        <v>0</v>
      </c>
      <c r="Q109">
        <v>0</v>
      </c>
      <c r="R109">
        <v>0</v>
      </c>
    </row>
    <row r="110" spans="1:18" x14ac:dyDescent="0.2">
      <c r="A110" t="str">
        <f t="shared" si="3"/>
        <v>ICE.2027.6</v>
      </c>
      <c r="B110" t="s">
        <v>1403</v>
      </c>
      <c r="C110" t="str">
        <f t="shared" si="4"/>
        <v>6</v>
      </c>
      <c r="D110" t="str">
        <f t="shared" si="5"/>
        <v>2027</v>
      </c>
      <c r="E110" s="51" t="s">
        <v>1567</v>
      </c>
      <c r="J110">
        <v>-0.4</v>
      </c>
      <c r="K110">
        <v>0</v>
      </c>
      <c r="L110">
        <v>0</v>
      </c>
      <c r="M110">
        <v>2</v>
      </c>
      <c r="N110">
        <v>0</v>
      </c>
      <c r="O110">
        <v>0</v>
      </c>
      <c r="P110">
        <v>0</v>
      </c>
      <c r="Q110">
        <v>0</v>
      </c>
      <c r="R110">
        <v>0</v>
      </c>
    </row>
    <row r="111" spans="1:18" x14ac:dyDescent="0.2">
      <c r="A111" t="str">
        <f t="shared" si="3"/>
        <v>ICE.2027.7</v>
      </c>
      <c r="B111" t="s">
        <v>1403</v>
      </c>
      <c r="C111" t="str">
        <f t="shared" si="4"/>
        <v>7</v>
      </c>
      <c r="D111" t="str">
        <f t="shared" si="5"/>
        <v>2027</v>
      </c>
      <c r="E111" s="51" t="s">
        <v>1568</v>
      </c>
      <c r="J111">
        <v>-0.27</v>
      </c>
      <c r="K111">
        <v>0</v>
      </c>
      <c r="L111">
        <v>0</v>
      </c>
      <c r="M111">
        <v>2</v>
      </c>
      <c r="N111">
        <v>0</v>
      </c>
      <c r="O111">
        <v>0</v>
      </c>
      <c r="P111">
        <v>0</v>
      </c>
      <c r="Q111">
        <v>0</v>
      </c>
      <c r="R111">
        <v>0</v>
      </c>
    </row>
    <row r="112" spans="1:18" x14ac:dyDescent="0.2">
      <c r="A112" t="str">
        <f t="shared" si="3"/>
        <v>ICE.2027.8</v>
      </c>
      <c r="B112" t="s">
        <v>1403</v>
      </c>
      <c r="C112" t="str">
        <f t="shared" si="4"/>
        <v>8</v>
      </c>
      <c r="D112" t="str">
        <f t="shared" si="5"/>
        <v>2027</v>
      </c>
      <c r="E112" s="51" t="s">
        <v>1569</v>
      </c>
      <c r="J112">
        <v>-0.25750000000000001</v>
      </c>
      <c r="K112">
        <v>0</v>
      </c>
      <c r="L112">
        <v>0</v>
      </c>
      <c r="M112">
        <v>2</v>
      </c>
      <c r="N112">
        <v>0</v>
      </c>
      <c r="O112">
        <v>0</v>
      </c>
      <c r="P112">
        <v>0</v>
      </c>
      <c r="Q112">
        <v>0</v>
      </c>
      <c r="R112">
        <v>0</v>
      </c>
    </row>
    <row r="113" spans="1:18" x14ac:dyDescent="0.2">
      <c r="A113" t="str">
        <f t="shared" si="3"/>
        <v>ICE.2027.9</v>
      </c>
      <c r="B113" t="s">
        <v>1403</v>
      </c>
      <c r="C113" t="str">
        <f t="shared" si="4"/>
        <v>9</v>
      </c>
      <c r="D113" t="str">
        <f t="shared" si="5"/>
        <v>2027</v>
      </c>
      <c r="E113" s="51" t="s">
        <v>1570</v>
      </c>
      <c r="J113">
        <v>-0.34749999999999998</v>
      </c>
      <c r="K113">
        <v>0</v>
      </c>
      <c r="L113">
        <v>0</v>
      </c>
      <c r="M113">
        <v>2</v>
      </c>
      <c r="N113">
        <v>0</v>
      </c>
      <c r="O113">
        <v>0</v>
      </c>
      <c r="P113">
        <v>0</v>
      </c>
      <c r="Q113">
        <v>0</v>
      </c>
      <c r="R113">
        <v>0</v>
      </c>
    </row>
    <row r="114" spans="1:18" x14ac:dyDescent="0.2">
      <c r="A114" t="str">
        <f t="shared" si="3"/>
        <v>ICE.2027.10</v>
      </c>
      <c r="B114" t="s">
        <v>1403</v>
      </c>
      <c r="C114" t="str">
        <f t="shared" si="4"/>
        <v>10</v>
      </c>
      <c r="D114" t="str">
        <f t="shared" si="5"/>
        <v>2027</v>
      </c>
      <c r="E114" s="51" t="s">
        <v>1571</v>
      </c>
      <c r="J114">
        <v>-0.40250000000000002</v>
      </c>
      <c r="K114">
        <v>0</v>
      </c>
      <c r="L114">
        <v>0</v>
      </c>
      <c r="M114">
        <v>2</v>
      </c>
      <c r="N114">
        <v>0</v>
      </c>
      <c r="O114">
        <v>0</v>
      </c>
      <c r="P114">
        <v>0</v>
      </c>
      <c r="Q114">
        <v>0</v>
      </c>
      <c r="R114">
        <v>0</v>
      </c>
    </row>
    <row r="115" spans="1:18" x14ac:dyDescent="0.2">
      <c r="A115" t="str">
        <f t="shared" si="3"/>
        <v>ICE.2027.11</v>
      </c>
      <c r="B115" t="s">
        <v>1403</v>
      </c>
      <c r="C115" t="str">
        <f t="shared" si="4"/>
        <v>11</v>
      </c>
      <c r="D115" t="str">
        <f t="shared" si="5"/>
        <v>2027</v>
      </c>
      <c r="E115" s="51" t="s">
        <v>1572</v>
      </c>
      <c r="J115">
        <v>-0.2175</v>
      </c>
      <c r="K115">
        <v>0</v>
      </c>
      <c r="L115">
        <v>0</v>
      </c>
      <c r="M115">
        <v>2</v>
      </c>
      <c r="N115">
        <v>0</v>
      </c>
      <c r="O115">
        <v>0</v>
      </c>
      <c r="P115">
        <v>0</v>
      </c>
      <c r="Q115">
        <v>0</v>
      </c>
      <c r="R115">
        <v>0</v>
      </c>
    </row>
    <row r="116" spans="1:18" x14ac:dyDescent="0.2">
      <c r="A116" t="str">
        <f t="shared" si="3"/>
        <v>ICE.2027.12</v>
      </c>
      <c r="B116" t="s">
        <v>1403</v>
      </c>
      <c r="C116" t="str">
        <f t="shared" si="4"/>
        <v>12</v>
      </c>
      <c r="D116" t="str">
        <f t="shared" si="5"/>
        <v>2027</v>
      </c>
      <c r="E116" s="51" t="s">
        <v>1573</v>
      </c>
      <c r="J116">
        <v>-8.7499999999999994E-2</v>
      </c>
      <c r="K116">
        <v>0</v>
      </c>
      <c r="L116">
        <v>0</v>
      </c>
      <c r="M116">
        <v>2</v>
      </c>
      <c r="N116">
        <v>0</v>
      </c>
      <c r="O116">
        <v>0</v>
      </c>
      <c r="P116">
        <v>0</v>
      </c>
      <c r="Q116">
        <v>0</v>
      </c>
      <c r="R116">
        <v>0</v>
      </c>
    </row>
    <row r="117" spans="1:18" x14ac:dyDescent="0.2">
      <c r="A117" t="str">
        <f t="shared" si="3"/>
        <v>ICE.2028.1</v>
      </c>
      <c r="B117" t="s">
        <v>1403</v>
      </c>
      <c r="C117" t="str">
        <f t="shared" si="4"/>
        <v>1</v>
      </c>
      <c r="D117" t="str">
        <f t="shared" si="5"/>
        <v>2028</v>
      </c>
      <c r="E117" s="51" t="s">
        <v>1574</v>
      </c>
      <c r="J117">
        <v>-0.14499999999999999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</row>
    <row r="118" spans="1:18" x14ac:dyDescent="0.2">
      <c r="A118" t="str">
        <f t="shared" si="3"/>
        <v>ICE.2028.2</v>
      </c>
      <c r="B118" t="s">
        <v>1403</v>
      </c>
      <c r="C118" t="str">
        <f t="shared" si="4"/>
        <v>2</v>
      </c>
      <c r="D118" t="str">
        <f t="shared" si="5"/>
        <v>2028</v>
      </c>
      <c r="E118" s="51" t="s">
        <v>1575</v>
      </c>
      <c r="J118">
        <v>-0.16250000000000001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</row>
    <row r="119" spans="1:18" x14ac:dyDescent="0.2">
      <c r="A119" t="str">
        <f t="shared" si="3"/>
        <v>ICE.2028.3</v>
      </c>
      <c r="B119" t="s">
        <v>1403</v>
      </c>
      <c r="C119" t="str">
        <f t="shared" si="4"/>
        <v>3</v>
      </c>
      <c r="D119" t="str">
        <f t="shared" si="5"/>
        <v>2028</v>
      </c>
      <c r="E119" s="51" t="s">
        <v>1576</v>
      </c>
      <c r="J119">
        <v>-0.2225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</row>
    <row r="120" spans="1:18" x14ac:dyDescent="0.2">
      <c r="A120" t="str">
        <f t="shared" si="3"/>
        <v>ICE.2028.4</v>
      </c>
      <c r="B120" t="s">
        <v>1403</v>
      </c>
      <c r="C120" t="str">
        <f t="shared" si="4"/>
        <v>4</v>
      </c>
      <c r="D120" t="str">
        <f t="shared" si="5"/>
        <v>2028</v>
      </c>
      <c r="E120" s="51" t="s">
        <v>1577</v>
      </c>
      <c r="J120">
        <v>-0.41249999999999998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</row>
    <row r="121" spans="1:18" x14ac:dyDescent="0.2">
      <c r="A121" t="str">
        <f t="shared" si="3"/>
        <v>ICE.2028.5</v>
      </c>
      <c r="B121" t="s">
        <v>1403</v>
      </c>
      <c r="C121" t="str">
        <f t="shared" si="4"/>
        <v>5</v>
      </c>
      <c r="D121" t="str">
        <f t="shared" si="5"/>
        <v>2028</v>
      </c>
      <c r="E121" s="51" t="s">
        <v>1578</v>
      </c>
      <c r="J121">
        <v>-0.40500000000000003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</row>
    <row r="122" spans="1:18" x14ac:dyDescent="0.2">
      <c r="A122" t="str">
        <f t="shared" si="3"/>
        <v>ICE.2028.6</v>
      </c>
      <c r="B122" t="s">
        <v>1403</v>
      </c>
      <c r="C122" t="str">
        <f t="shared" si="4"/>
        <v>6</v>
      </c>
      <c r="D122" t="str">
        <f t="shared" si="5"/>
        <v>2028</v>
      </c>
      <c r="E122" s="51" t="s">
        <v>1579</v>
      </c>
      <c r="J122">
        <v>-0.39750000000000002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</row>
    <row r="123" spans="1:18" x14ac:dyDescent="0.2">
      <c r="A123" t="str">
        <f t="shared" si="3"/>
        <v>ICE.2028.7</v>
      </c>
      <c r="B123" t="s">
        <v>1403</v>
      </c>
      <c r="C123" t="str">
        <f t="shared" si="4"/>
        <v>7</v>
      </c>
      <c r="D123" t="str">
        <f t="shared" si="5"/>
        <v>2028</v>
      </c>
      <c r="E123" s="51" t="s">
        <v>1580</v>
      </c>
      <c r="J123">
        <v>-0.27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</row>
    <row r="124" spans="1:18" x14ac:dyDescent="0.2">
      <c r="A124" t="str">
        <f t="shared" si="3"/>
        <v>ICE.2028.8</v>
      </c>
      <c r="B124" t="s">
        <v>1403</v>
      </c>
      <c r="C124" t="str">
        <f t="shared" si="4"/>
        <v>8</v>
      </c>
      <c r="D124" t="str">
        <f t="shared" si="5"/>
        <v>2028</v>
      </c>
      <c r="E124" s="51" t="s">
        <v>1581</v>
      </c>
      <c r="J124">
        <v>-0.255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</row>
    <row r="125" spans="1:18" x14ac:dyDescent="0.2">
      <c r="A125" t="str">
        <f t="shared" si="3"/>
        <v>ICE.2028.9</v>
      </c>
      <c r="B125" t="s">
        <v>1403</v>
      </c>
      <c r="C125" t="str">
        <f t="shared" si="4"/>
        <v>9</v>
      </c>
      <c r="D125" t="str">
        <f t="shared" si="5"/>
        <v>2028</v>
      </c>
      <c r="E125" s="51" t="s">
        <v>1582</v>
      </c>
      <c r="J125">
        <v>-0.34749999999999998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</row>
    <row r="126" spans="1:18" x14ac:dyDescent="0.2">
      <c r="A126" t="str">
        <f t="shared" si="3"/>
        <v>ICE.2028.10</v>
      </c>
      <c r="B126" t="s">
        <v>1403</v>
      </c>
      <c r="C126" t="str">
        <f t="shared" si="4"/>
        <v>10</v>
      </c>
      <c r="D126" t="str">
        <f t="shared" si="5"/>
        <v>2028</v>
      </c>
      <c r="E126" s="51" t="s">
        <v>1583</v>
      </c>
      <c r="J126">
        <v>-0.40250000000000002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</row>
    <row r="127" spans="1:18" x14ac:dyDescent="0.2">
      <c r="A127" t="str">
        <f t="shared" si="3"/>
        <v>ICE.2028.11</v>
      </c>
      <c r="B127" t="s">
        <v>1403</v>
      </c>
      <c r="C127" t="str">
        <f t="shared" si="4"/>
        <v>11</v>
      </c>
      <c r="D127" t="str">
        <f t="shared" si="5"/>
        <v>2028</v>
      </c>
      <c r="E127" s="51" t="s">
        <v>1584</v>
      </c>
      <c r="J127">
        <v>-0.22750000000000001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</row>
    <row r="128" spans="1:18" x14ac:dyDescent="0.2">
      <c r="A128" t="str">
        <f t="shared" si="3"/>
        <v>ICE.2028.12</v>
      </c>
      <c r="B128" t="s">
        <v>1403</v>
      </c>
      <c r="C128" t="str">
        <f t="shared" si="4"/>
        <v>12</v>
      </c>
      <c r="D128" t="str">
        <f t="shared" si="5"/>
        <v>2028</v>
      </c>
      <c r="E128" s="51" t="s">
        <v>1585</v>
      </c>
      <c r="J128">
        <v>-9.7500000000000003E-2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</row>
    <row r="129" spans="1:18" x14ac:dyDescent="0.2">
      <c r="A129" t="str">
        <f t="shared" si="3"/>
        <v>ICE.2029.1</v>
      </c>
      <c r="B129" t="s">
        <v>1403</v>
      </c>
      <c r="C129" t="str">
        <f t="shared" si="4"/>
        <v>1</v>
      </c>
      <c r="D129" t="str">
        <f t="shared" si="5"/>
        <v>2029</v>
      </c>
      <c r="E129" s="51" t="s">
        <v>1586</v>
      </c>
      <c r="J129">
        <v>-0.155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</row>
    <row r="130" spans="1:18" x14ac:dyDescent="0.2">
      <c r="A130" t="str">
        <f t="shared" si="3"/>
        <v>ICE.2029.2</v>
      </c>
      <c r="B130" t="s">
        <v>1403</v>
      </c>
      <c r="C130" t="str">
        <f t="shared" si="4"/>
        <v>2</v>
      </c>
      <c r="D130" t="str">
        <f t="shared" si="5"/>
        <v>2029</v>
      </c>
      <c r="E130" s="51" t="s">
        <v>1587</v>
      </c>
      <c r="J130">
        <v>-0.17249999999999999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</row>
    <row r="131" spans="1:18" x14ac:dyDescent="0.2">
      <c r="A131" t="str">
        <f t="shared" ref="A131:A140" si="6">B131&amp;"."&amp;D131&amp;"."&amp;C131</f>
        <v>ICE.2029.3</v>
      </c>
      <c r="B131" t="s">
        <v>1403</v>
      </c>
      <c r="C131" t="str">
        <f t="shared" ref="C131:C140" si="7">TEXT(DATEVALUE("1"&amp;E131),"M")</f>
        <v>3</v>
      </c>
      <c r="D131" t="str">
        <f t="shared" ref="D131:D140" si="8">TEXT(DATEVALUE("1"&amp;E131),"YYYY")</f>
        <v>2029</v>
      </c>
      <c r="E131" s="51" t="s">
        <v>1588</v>
      </c>
      <c r="J131">
        <v>-0.23250000000000001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</row>
    <row r="132" spans="1:18" x14ac:dyDescent="0.2">
      <c r="A132" t="str">
        <f t="shared" si="6"/>
        <v>ICE.2029.4</v>
      </c>
      <c r="B132" t="s">
        <v>1403</v>
      </c>
      <c r="C132" t="str">
        <f t="shared" si="7"/>
        <v>4</v>
      </c>
      <c r="D132" t="str">
        <f t="shared" si="8"/>
        <v>2029</v>
      </c>
      <c r="E132" s="51" t="s">
        <v>1589</v>
      </c>
      <c r="J132">
        <v>-0.42749999999999999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</row>
    <row r="133" spans="1:18" x14ac:dyDescent="0.2">
      <c r="A133" t="str">
        <f t="shared" si="6"/>
        <v>ICE.2029.5</v>
      </c>
      <c r="B133" t="s">
        <v>1403</v>
      </c>
      <c r="C133" t="str">
        <f t="shared" si="7"/>
        <v>5</v>
      </c>
      <c r="D133" t="str">
        <f t="shared" si="8"/>
        <v>2029</v>
      </c>
      <c r="E133" s="51" t="s">
        <v>1590</v>
      </c>
      <c r="J133">
        <v>-0.42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</row>
    <row r="134" spans="1:18" x14ac:dyDescent="0.2">
      <c r="A134" t="str">
        <f t="shared" si="6"/>
        <v>ICE.2029.6</v>
      </c>
      <c r="B134" t="s">
        <v>1403</v>
      </c>
      <c r="C134" t="str">
        <f t="shared" si="7"/>
        <v>6</v>
      </c>
      <c r="D134" t="str">
        <f t="shared" si="8"/>
        <v>2029</v>
      </c>
      <c r="E134" s="51" t="s">
        <v>1591</v>
      </c>
      <c r="J134">
        <v>-0.41249999999999998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</row>
    <row r="135" spans="1:18" x14ac:dyDescent="0.2">
      <c r="A135" t="str">
        <f t="shared" si="6"/>
        <v>ICE.2029.7</v>
      </c>
      <c r="B135" t="s">
        <v>1403</v>
      </c>
      <c r="C135" t="str">
        <f t="shared" si="7"/>
        <v>7</v>
      </c>
      <c r="D135" t="str">
        <f t="shared" si="8"/>
        <v>2029</v>
      </c>
      <c r="E135" s="51" t="s">
        <v>1592</v>
      </c>
      <c r="J135">
        <v>-0.28499999999999998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</row>
    <row r="136" spans="1:18" x14ac:dyDescent="0.2">
      <c r="A136" t="str">
        <f t="shared" si="6"/>
        <v>ICE.2029.8</v>
      </c>
      <c r="B136" t="s">
        <v>1403</v>
      </c>
      <c r="C136" t="str">
        <f t="shared" si="7"/>
        <v>8</v>
      </c>
      <c r="D136" t="str">
        <f t="shared" si="8"/>
        <v>2029</v>
      </c>
      <c r="E136" s="51" t="s">
        <v>1593</v>
      </c>
      <c r="J136">
        <v>-0.27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</row>
    <row r="137" spans="1:18" x14ac:dyDescent="0.2">
      <c r="A137" t="str">
        <f t="shared" si="6"/>
        <v>ICE.2029.9</v>
      </c>
      <c r="B137" t="s">
        <v>1403</v>
      </c>
      <c r="C137" t="str">
        <f t="shared" si="7"/>
        <v>9</v>
      </c>
      <c r="D137" t="str">
        <f t="shared" si="8"/>
        <v>2029</v>
      </c>
      <c r="E137" s="51" t="s">
        <v>1594</v>
      </c>
      <c r="J137">
        <v>-0.36249999999999999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</row>
    <row r="138" spans="1:18" x14ac:dyDescent="0.2">
      <c r="A138" t="str">
        <f t="shared" si="6"/>
        <v>ICE.2029.10</v>
      </c>
      <c r="B138" t="s">
        <v>1403</v>
      </c>
      <c r="C138" t="str">
        <f t="shared" si="7"/>
        <v>10</v>
      </c>
      <c r="D138" t="str">
        <f t="shared" si="8"/>
        <v>2029</v>
      </c>
      <c r="E138" s="51" t="s">
        <v>1595</v>
      </c>
      <c r="J138">
        <v>-0.41749999999999998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</row>
    <row r="139" spans="1:18" x14ac:dyDescent="0.2">
      <c r="A139" t="str">
        <f t="shared" si="6"/>
        <v>ICE.2029.11</v>
      </c>
      <c r="B139" t="s">
        <v>1403</v>
      </c>
      <c r="C139" t="str">
        <f t="shared" si="7"/>
        <v>11</v>
      </c>
      <c r="D139" t="str">
        <f t="shared" si="8"/>
        <v>2029</v>
      </c>
      <c r="E139" s="51" t="s">
        <v>1596</v>
      </c>
      <c r="J139">
        <v>-0.2175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</row>
    <row r="140" spans="1:18" x14ac:dyDescent="0.2">
      <c r="A140" t="str">
        <f t="shared" si="6"/>
        <v>ICE.2029.12</v>
      </c>
      <c r="B140" t="s">
        <v>1403</v>
      </c>
      <c r="C140" t="str">
        <f t="shared" si="7"/>
        <v>12</v>
      </c>
      <c r="D140" t="str">
        <f t="shared" si="8"/>
        <v>2029</v>
      </c>
      <c r="E140" s="51" t="s">
        <v>1597</v>
      </c>
      <c r="J140">
        <v>-8.7499999999999994E-2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LPrevious"/>
  <dimension ref="A1:F110"/>
  <sheetViews>
    <sheetView workbookViewId="0"/>
  </sheetViews>
  <sheetFormatPr defaultRowHeight="12.75" x14ac:dyDescent="0.2"/>
  <cols>
    <col min="1" max="1" width="81.140625" bestFit="1" customWidth="1"/>
  </cols>
  <sheetData>
    <row r="1" spans="1:6" s="1" customFormat="1" x14ac:dyDescent="0.2">
      <c r="A1" s="1" t="s">
        <v>1020</v>
      </c>
      <c r="C1" s="1" t="s">
        <v>1444</v>
      </c>
      <c r="D1" s="1" t="s">
        <v>1445</v>
      </c>
      <c r="E1" s="1" t="s">
        <v>976</v>
      </c>
      <c r="F1" s="45">
        <v>41221</v>
      </c>
    </row>
    <row r="2" spans="1:6" x14ac:dyDescent="0.2">
      <c r="A2" t="s">
        <v>791</v>
      </c>
      <c r="B2" t="s">
        <v>1446</v>
      </c>
      <c r="C2">
        <v>0</v>
      </c>
      <c r="D2">
        <v>0</v>
      </c>
      <c r="E2">
        <v>1488</v>
      </c>
    </row>
    <row r="3" spans="1:6" x14ac:dyDescent="0.2">
      <c r="A3" t="s">
        <v>792</v>
      </c>
      <c r="B3" t="s">
        <v>1446</v>
      </c>
      <c r="C3">
        <v>0</v>
      </c>
      <c r="D3">
        <v>0</v>
      </c>
      <c r="E3">
        <v>496</v>
      </c>
    </row>
    <row r="4" spans="1:6" x14ac:dyDescent="0.2">
      <c r="A4" t="s">
        <v>793</v>
      </c>
      <c r="B4" t="s">
        <v>1446</v>
      </c>
      <c r="C4">
        <v>0</v>
      </c>
      <c r="D4">
        <v>0</v>
      </c>
      <c r="E4">
        <v>448</v>
      </c>
    </row>
    <row r="5" spans="1:6" x14ac:dyDescent="0.2">
      <c r="A5" t="s">
        <v>794</v>
      </c>
      <c r="B5" t="s">
        <v>1446</v>
      </c>
      <c r="C5">
        <v>0</v>
      </c>
      <c r="D5">
        <v>0</v>
      </c>
      <c r="E5">
        <v>496</v>
      </c>
    </row>
    <row r="6" spans="1:6" x14ac:dyDescent="0.2">
      <c r="A6" t="s">
        <v>795</v>
      </c>
      <c r="B6" t="s">
        <v>1446</v>
      </c>
      <c r="C6">
        <v>0</v>
      </c>
      <c r="D6">
        <v>0</v>
      </c>
      <c r="E6">
        <v>120</v>
      </c>
    </row>
    <row r="7" spans="1:6" x14ac:dyDescent="0.2">
      <c r="A7" t="s">
        <v>796</v>
      </c>
      <c r="B7" t="s">
        <v>1446</v>
      </c>
      <c r="C7">
        <v>0</v>
      </c>
      <c r="D7">
        <v>0</v>
      </c>
      <c r="E7">
        <v>124</v>
      </c>
    </row>
    <row r="8" spans="1:6" x14ac:dyDescent="0.2">
      <c r="A8" t="s">
        <v>797</v>
      </c>
      <c r="B8" t="s">
        <v>1446</v>
      </c>
      <c r="C8">
        <v>0</v>
      </c>
      <c r="D8">
        <v>0</v>
      </c>
      <c r="E8">
        <v>120</v>
      </c>
    </row>
    <row r="9" spans="1:6" x14ac:dyDescent="0.2">
      <c r="A9" t="s">
        <v>798</v>
      </c>
      <c r="B9" t="s">
        <v>1446</v>
      </c>
      <c r="C9">
        <v>0</v>
      </c>
      <c r="D9">
        <v>0</v>
      </c>
      <c r="E9">
        <v>124</v>
      </c>
    </row>
    <row r="10" spans="1:6" x14ac:dyDescent="0.2">
      <c r="A10" t="s">
        <v>799</v>
      </c>
      <c r="B10" t="s">
        <v>1446</v>
      </c>
      <c r="C10">
        <v>0</v>
      </c>
      <c r="D10">
        <v>0</v>
      </c>
      <c r="E10">
        <v>124</v>
      </c>
    </row>
    <row r="11" spans="1:6" x14ac:dyDescent="0.2">
      <c r="A11" t="s">
        <v>800</v>
      </c>
      <c r="B11" t="s">
        <v>1446</v>
      </c>
      <c r="C11">
        <v>0</v>
      </c>
      <c r="D11">
        <v>0</v>
      </c>
      <c r="E11">
        <v>120</v>
      </c>
    </row>
    <row r="12" spans="1:6" x14ac:dyDescent="0.2">
      <c r="A12" t="s">
        <v>801</v>
      </c>
      <c r="B12" t="s">
        <v>1446</v>
      </c>
      <c r="C12">
        <v>0</v>
      </c>
      <c r="D12">
        <v>0</v>
      </c>
      <c r="E12">
        <v>124</v>
      </c>
    </row>
    <row r="13" spans="1:6" x14ac:dyDescent="0.2">
      <c r="A13" t="s">
        <v>802</v>
      </c>
      <c r="B13" t="s">
        <v>1446</v>
      </c>
      <c r="C13">
        <v>0</v>
      </c>
      <c r="D13">
        <v>0</v>
      </c>
      <c r="E13">
        <v>0</v>
      </c>
    </row>
    <row r="14" spans="1:6" x14ac:dyDescent="0.2">
      <c r="A14" t="s">
        <v>803</v>
      </c>
      <c r="B14" t="s">
        <v>1446</v>
      </c>
      <c r="C14">
        <v>0</v>
      </c>
      <c r="D14">
        <v>0</v>
      </c>
      <c r="E14">
        <v>0</v>
      </c>
    </row>
    <row r="15" spans="1:6" x14ac:dyDescent="0.2">
      <c r="A15" t="s">
        <v>804</v>
      </c>
      <c r="B15" t="s">
        <v>1446</v>
      </c>
      <c r="C15">
        <v>0</v>
      </c>
      <c r="D15">
        <v>0</v>
      </c>
      <c r="E15">
        <v>124</v>
      </c>
    </row>
    <row r="16" spans="1:6" x14ac:dyDescent="0.2">
      <c r="A16" t="s">
        <v>805</v>
      </c>
      <c r="B16" t="s">
        <v>1446</v>
      </c>
      <c r="C16">
        <v>0</v>
      </c>
      <c r="D16">
        <v>0</v>
      </c>
      <c r="E16">
        <v>112</v>
      </c>
    </row>
    <row r="17" spans="1:5" x14ac:dyDescent="0.2">
      <c r="A17" t="s">
        <v>806</v>
      </c>
      <c r="B17" t="s">
        <v>1446</v>
      </c>
      <c r="C17">
        <v>0</v>
      </c>
      <c r="D17">
        <v>0</v>
      </c>
      <c r="E17">
        <v>124</v>
      </c>
    </row>
    <row r="18" spans="1:5" x14ac:dyDescent="0.2">
      <c r="A18" t="s">
        <v>807</v>
      </c>
      <c r="B18" t="s">
        <v>1446</v>
      </c>
      <c r="C18">
        <v>0</v>
      </c>
      <c r="D18">
        <v>0</v>
      </c>
      <c r="E18">
        <v>120</v>
      </c>
    </row>
    <row r="19" spans="1:5" x14ac:dyDescent="0.2">
      <c r="A19" t="s">
        <v>808</v>
      </c>
      <c r="B19" t="s">
        <v>1446</v>
      </c>
      <c r="C19">
        <v>0</v>
      </c>
      <c r="D19">
        <v>0</v>
      </c>
      <c r="E19">
        <v>124</v>
      </c>
    </row>
    <row r="20" spans="1:5" x14ac:dyDescent="0.2">
      <c r="A20" t="s">
        <v>809</v>
      </c>
      <c r="B20" t="s">
        <v>1446</v>
      </c>
      <c r="C20">
        <v>0</v>
      </c>
      <c r="D20">
        <v>0</v>
      </c>
      <c r="E20">
        <v>120</v>
      </c>
    </row>
    <row r="21" spans="1:5" x14ac:dyDescent="0.2">
      <c r="A21" t="s">
        <v>291</v>
      </c>
      <c r="B21" t="s">
        <v>1446</v>
      </c>
      <c r="C21">
        <v>0</v>
      </c>
      <c r="D21">
        <v>0</v>
      </c>
      <c r="E21">
        <v>124</v>
      </c>
    </row>
    <row r="22" spans="1:5" x14ac:dyDescent="0.2">
      <c r="A22" t="s">
        <v>292</v>
      </c>
      <c r="B22" t="s">
        <v>1446</v>
      </c>
      <c r="C22">
        <v>0</v>
      </c>
      <c r="D22">
        <v>0</v>
      </c>
      <c r="E22">
        <v>124</v>
      </c>
    </row>
    <row r="23" spans="1:5" x14ac:dyDescent="0.2">
      <c r="A23" t="s">
        <v>293</v>
      </c>
      <c r="B23" t="s">
        <v>1446</v>
      </c>
      <c r="C23">
        <v>0</v>
      </c>
      <c r="D23">
        <v>0</v>
      </c>
      <c r="E23">
        <v>120</v>
      </c>
    </row>
    <row r="24" spans="1:5" x14ac:dyDescent="0.2">
      <c r="A24" t="s">
        <v>294</v>
      </c>
      <c r="B24" t="s">
        <v>1446</v>
      </c>
      <c r="C24">
        <v>0</v>
      </c>
      <c r="D24">
        <v>0</v>
      </c>
      <c r="E24">
        <v>124</v>
      </c>
    </row>
    <row r="25" spans="1:5" x14ac:dyDescent="0.2">
      <c r="A25" t="s">
        <v>295</v>
      </c>
      <c r="B25" t="s">
        <v>1446</v>
      </c>
      <c r="C25">
        <v>0</v>
      </c>
      <c r="D25">
        <v>0</v>
      </c>
      <c r="E25">
        <v>120</v>
      </c>
    </row>
    <row r="26" spans="1:5" x14ac:dyDescent="0.2">
      <c r="A26" t="s">
        <v>296</v>
      </c>
      <c r="B26" t="s">
        <v>1446</v>
      </c>
      <c r="C26">
        <v>0</v>
      </c>
      <c r="D26">
        <v>0</v>
      </c>
      <c r="E26">
        <v>124</v>
      </c>
    </row>
    <row r="27" spans="1:5" x14ac:dyDescent="0.2">
      <c r="A27" t="s">
        <v>297</v>
      </c>
      <c r="B27" t="s">
        <v>1446</v>
      </c>
      <c r="C27">
        <v>0</v>
      </c>
      <c r="D27">
        <v>0</v>
      </c>
      <c r="E27">
        <v>0</v>
      </c>
    </row>
    <row r="28" spans="1:5" x14ac:dyDescent="0.2">
      <c r="A28" t="s">
        <v>298</v>
      </c>
      <c r="B28" t="s">
        <v>1446</v>
      </c>
      <c r="C28">
        <v>0</v>
      </c>
      <c r="D28">
        <v>0</v>
      </c>
      <c r="E28">
        <v>0</v>
      </c>
    </row>
    <row r="29" spans="1:5" x14ac:dyDescent="0.2">
      <c r="A29" t="s">
        <v>299</v>
      </c>
      <c r="B29" t="s">
        <v>1446</v>
      </c>
      <c r="C29">
        <v>0</v>
      </c>
      <c r="D29">
        <v>0</v>
      </c>
      <c r="E29">
        <v>0</v>
      </c>
    </row>
    <row r="30" spans="1:5" x14ac:dyDescent="0.2">
      <c r="A30" t="s">
        <v>300</v>
      </c>
      <c r="B30" t="s">
        <v>1446</v>
      </c>
      <c r="C30">
        <v>0</v>
      </c>
      <c r="D30">
        <v>0</v>
      </c>
      <c r="E30">
        <v>0</v>
      </c>
    </row>
    <row r="31" spans="1:5" x14ac:dyDescent="0.2">
      <c r="A31" t="s">
        <v>301</v>
      </c>
      <c r="B31" t="s">
        <v>1446</v>
      </c>
      <c r="C31">
        <v>0</v>
      </c>
      <c r="D31">
        <v>0</v>
      </c>
      <c r="E31">
        <v>0</v>
      </c>
    </row>
    <row r="32" spans="1:5" x14ac:dyDescent="0.2">
      <c r="A32" t="s">
        <v>302</v>
      </c>
      <c r="B32" t="s">
        <v>1446</v>
      </c>
      <c r="C32">
        <v>0</v>
      </c>
      <c r="D32">
        <v>0</v>
      </c>
      <c r="E32">
        <v>0</v>
      </c>
    </row>
    <row r="33" spans="1:5" x14ac:dyDescent="0.2">
      <c r="A33" t="s">
        <v>303</v>
      </c>
      <c r="B33" t="s">
        <v>1446</v>
      </c>
      <c r="C33">
        <v>0</v>
      </c>
      <c r="D33">
        <v>0</v>
      </c>
      <c r="E33">
        <v>0</v>
      </c>
    </row>
    <row r="34" spans="1:5" x14ac:dyDescent="0.2">
      <c r="A34" t="s">
        <v>304</v>
      </c>
      <c r="B34" t="s">
        <v>1446</v>
      </c>
      <c r="C34">
        <v>0</v>
      </c>
      <c r="D34">
        <v>0</v>
      </c>
      <c r="E34">
        <v>0</v>
      </c>
    </row>
    <row r="35" spans="1:5" x14ac:dyDescent="0.2">
      <c r="A35" t="s">
        <v>305</v>
      </c>
      <c r="B35" t="s">
        <v>1446</v>
      </c>
      <c r="C35">
        <v>0</v>
      </c>
      <c r="D35">
        <v>0</v>
      </c>
      <c r="E35">
        <v>0</v>
      </c>
    </row>
    <row r="36" spans="1:5" x14ac:dyDescent="0.2">
      <c r="A36" t="s">
        <v>306</v>
      </c>
      <c r="B36" t="s">
        <v>1446</v>
      </c>
      <c r="C36">
        <v>0</v>
      </c>
      <c r="D36">
        <v>0</v>
      </c>
      <c r="E36">
        <v>0</v>
      </c>
    </row>
    <row r="37" spans="1:5" x14ac:dyDescent="0.2">
      <c r="A37" t="s">
        <v>307</v>
      </c>
      <c r="B37" t="s">
        <v>1446</v>
      </c>
      <c r="C37">
        <v>0</v>
      </c>
      <c r="D37">
        <v>0</v>
      </c>
      <c r="E37">
        <v>0</v>
      </c>
    </row>
    <row r="38" spans="1:5" x14ac:dyDescent="0.2">
      <c r="A38" t="s">
        <v>308</v>
      </c>
      <c r="B38" t="s">
        <v>1446</v>
      </c>
      <c r="C38">
        <v>0</v>
      </c>
      <c r="D38">
        <v>0</v>
      </c>
      <c r="E38">
        <v>0</v>
      </c>
    </row>
    <row r="39" spans="1:5" x14ac:dyDescent="0.2">
      <c r="A39" t="s">
        <v>309</v>
      </c>
      <c r="B39" t="s">
        <v>1446</v>
      </c>
      <c r="C39">
        <v>0</v>
      </c>
      <c r="D39">
        <v>0</v>
      </c>
      <c r="E39">
        <v>0</v>
      </c>
    </row>
    <row r="40" spans="1:5" x14ac:dyDescent="0.2">
      <c r="A40" t="s">
        <v>310</v>
      </c>
      <c r="B40" t="s">
        <v>1446</v>
      </c>
      <c r="C40">
        <v>0</v>
      </c>
      <c r="D40">
        <v>0</v>
      </c>
      <c r="E40">
        <v>0</v>
      </c>
    </row>
    <row r="41" spans="1:5" x14ac:dyDescent="0.2">
      <c r="A41" t="s">
        <v>311</v>
      </c>
      <c r="B41" t="s">
        <v>1446</v>
      </c>
      <c r="C41">
        <v>0</v>
      </c>
      <c r="D41">
        <v>0</v>
      </c>
      <c r="E41">
        <v>0</v>
      </c>
    </row>
    <row r="42" spans="1:5" x14ac:dyDescent="0.2">
      <c r="A42" t="s">
        <v>312</v>
      </c>
      <c r="B42" t="s">
        <v>1446</v>
      </c>
      <c r="C42">
        <v>0</v>
      </c>
      <c r="D42">
        <v>0</v>
      </c>
      <c r="E42">
        <v>0</v>
      </c>
    </row>
    <row r="43" spans="1:5" x14ac:dyDescent="0.2">
      <c r="A43" t="s">
        <v>313</v>
      </c>
      <c r="B43" t="s">
        <v>1446</v>
      </c>
      <c r="C43">
        <v>0</v>
      </c>
      <c r="D43">
        <v>0</v>
      </c>
      <c r="E43">
        <v>0</v>
      </c>
    </row>
    <row r="44" spans="1:5" x14ac:dyDescent="0.2">
      <c r="A44" t="s">
        <v>314</v>
      </c>
      <c r="B44" t="s">
        <v>1446</v>
      </c>
      <c r="C44">
        <v>0</v>
      </c>
      <c r="D44">
        <v>0</v>
      </c>
      <c r="E44">
        <v>0</v>
      </c>
    </row>
    <row r="45" spans="1:5" x14ac:dyDescent="0.2">
      <c r="A45" t="s">
        <v>315</v>
      </c>
      <c r="B45" t="s">
        <v>1446</v>
      </c>
      <c r="C45">
        <v>0</v>
      </c>
      <c r="D45">
        <v>0</v>
      </c>
      <c r="E45">
        <v>0</v>
      </c>
    </row>
    <row r="46" spans="1:5" x14ac:dyDescent="0.2">
      <c r="A46" t="s">
        <v>316</v>
      </c>
      <c r="B46" t="s">
        <v>1446</v>
      </c>
      <c r="C46">
        <v>0</v>
      </c>
      <c r="D46">
        <v>0</v>
      </c>
      <c r="E46">
        <v>0</v>
      </c>
    </row>
    <row r="47" spans="1:5" x14ac:dyDescent="0.2">
      <c r="A47" t="s">
        <v>605</v>
      </c>
      <c r="B47" t="s">
        <v>1446</v>
      </c>
      <c r="C47">
        <v>0</v>
      </c>
      <c r="D47">
        <v>0</v>
      </c>
      <c r="E47">
        <v>0</v>
      </c>
    </row>
    <row r="48" spans="1:5" x14ac:dyDescent="0.2">
      <c r="A48" t="s">
        <v>606</v>
      </c>
      <c r="B48" t="s">
        <v>1446</v>
      </c>
      <c r="C48">
        <v>0</v>
      </c>
      <c r="D48">
        <v>0</v>
      </c>
      <c r="E48">
        <v>0</v>
      </c>
    </row>
    <row r="49" spans="1:5" x14ac:dyDescent="0.2">
      <c r="A49" t="s">
        <v>607</v>
      </c>
      <c r="B49" t="s">
        <v>1446</v>
      </c>
      <c r="C49">
        <v>0</v>
      </c>
      <c r="D49">
        <v>0</v>
      </c>
      <c r="E49">
        <v>0</v>
      </c>
    </row>
    <row r="50" spans="1:5" x14ac:dyDescent="0.2">
      <c r="A50" t="s">
        <v>608</v>
      </c>
      <c r="B50" t="s">
        <v>1446</v>
      </c>
      <c r="C50">
        <v>0</v>
      </c>
      <c r="D50">
        <v>0</v>
      </c>
      <c r="E50">
        <v>0</v>
      </c>
    </row>
    <row r="51" spans="1:5" x14ac:dyDescent="0.2">
      <c r="A51" t="s">
        <v>609</v>
      </c>
      <c r="B51" t="s">
        <v>1446</v>
      </c>
      <c r="C51">
        <v>0</v>
      </c>
      <c r="D51">
        <v>0</v>
      </c>
      <c r="E51">
        <v>0</v>
      </c>
    </row>
    <row r="52" spans="1:5" x14ac:dyDescent="0.2">
      <c r="A52" t="s">
        <v>610</v>
      </c>
      <c r="B52" t="s">
        <v>1446</v>
      </c>
      <c r="C52">
        <v>0</v>
      </c>
      <c r="D52">
        <v>0</v>
      </c>
      <c r="E52">
        <v>0</v>
      </c>
    </row>
    <row r="53" spans="1:5" x14ac:dyDescent="0.2">
      <c r="A53" t="s">
        <v>611</v>
      </c>
      <c r="B53" t="s">
        <v>1446</v>
      </c>
      <c r="C53">
        <v>0</v>
      </c>
      <c r="D53">
        <v>0</v>
      </c>
      <c r="E53">
        <v>0</v>
      </c>
    </row>
    <row r="54" spans="1:5" x14ac:dyDescent="0.2">
      <c r="A54" t="s">
        <v>612</v>
      </c>
      <c r="B54" t="s">
        <v>1446</v>
      </c>
      <c r="C54">
        <v>0</v>
      </c>
      <c r="D54">
        <v>0</v>
      </c>
      <c r="E54">
        <v>0</v>
      </c>
    </row>
    <row r="55" spans="1:5" x14ac:dyDescent="0.2">
      <c r="A55" t="s">
        <v>613</v>
      </c>
      <c r="B55" t="s">
        <v>1446</v>
      </c>
      <c r="C55">
        <v>0</v>
      </c>
      <c r="D55">
        <v>0</v>
      </c>
      <c r="E55">
        <v>0</v>
      </c>
    </row>
    <row r="56" spans="1:5" x14ac:dyDescent="0.2">
      <c r="A56" t="s">
        <v>614</v>
      </c>
      <c r="B56" t="s">
        <v>1446</v>
      </c>
      <c r="C56">
        <v>0</v>
      </c>
      <c r="D56">
        <v>0</v>
      </c>
      <c r="E56">
        <v>0</v>
      </c>
    </row>
    <row r="57" spans="1:5" x14ac:dyDescent="0.2">
      <c r="A57" t="s">
        <v>615</v>
      </c>
      <c r="B57" t="s">
        <v>1446</v>
      </c>
      <c r="C57">
        <v>0</v>
      </c>
      <c r="D57">
        <v>0</v>
      </c>
      <c r="E57">
        <v>0</v>
      </c>
    </row>
    <row r="58" spans="1:5" x14ac:dyDescent="0.2">
      <c r="A58" t="s">
        <v>616</v>
      </c>
      <c r="B58" t="s">
        <v>1446</v>
      </c>
      <c r="C58">
        <v>0</v>
      </c>
      <c r="D58">
        <v>0</v>
      </c>
      <c r="E58">
        <v>0</v>
      </c>
    </row>
    <row r="59" spans="1:5" x14ac:dyDescent="0.2">
      <c r="A59" t="s">
        <v>617</v>
      </c>
      <c r="B59" t="s">
        <v>1446</v>
      </c>
      <c r="C59">
        <v>0</v>
      </c>
      <c r="D59">
        <v>0</v>
      </c>
      <c r="E59">
        <v>0</v>
      </c>
    </row>
    <row r="60" spans="1:5" x14ac:dyDescent="0.2">
      <c r="A60" t="s">
        <v>618</v>
      </c>
      <c r="B60" t="s">
        <v>1446</v>
      </c>
      <c r="C60">
        <v>0</v>
      </c>
      <c r="D60">
        <v>0</v>
      </c>
      <c r="E60">
        <v>0</v>
      </c>
    </row>
    <row r="61" spans="1:5" x14ac:dyDescent="0.2">
      <c r="A61" t="s">
        <v>619</v>
      </c>
      <c r="B61" t="s">
        <v>1446</v>
      </c>
      <c r="C61">
        <v>0</v>
      </c>
      <c r="D61">
        <v>0</v>
      </c>
      <c r="E61">
        <v>0</v>
      </c>
    </row>
    <row r="62" spans="1:5" x14ac:dyDescent="0.2">
      <c r="A62" t="s">
        <v>620</v>
      </c>
      <c r="B62" t="s">
        <v>1446</v>
      </c>
      <c r="C62">
        <v>0</v>
      </c>
      <c r="D62">
        <v>0</v>
      </c>
      <c r="E62">
        <v>0</v>
      </c>
    </row>
    <row r="63" spans="1:5" x14ac:dyDescent="0.2">
      <c r="A63" t="s">
        <v>621</v>
      </c>
      <c r="B63" t="s">
        <v>1446</v>
      </c>
      <c r="C63">
        <v>0</v>
      </c>
      <c r="D63">
        <v>0</v>
      </c>
      <c r="E63">
        <v>0</v>
      </c>
    </row>
    <row r="64" spans="1:5" x14ac:dyDescent="0.2">
      <c r="A64" t="s">
        <v>622</v>
      </c>
      <c r="B64" t="s">
        <v>1446</v>
      </c>
      <c r="C64">
        <v>0</v>
      </c>
      <c r="D64">
        <v>0</v>
      </c>
      <c r="E64">
        <v>0</v>
      </c>
    </row>
    <row r="65" spans="1:5" x14ac:dyDescent="0.2">
      <c r="A65" t="s">
        <v>623</v>
      </c>
      <c r="B65" t="s">
        <v>1446</v>
      </c>
      <c r="C65">
        <v>0</v>
      </c>
      <c r="D65">
        <v>0</v>
      </c>
      <c r="E65">
        <v>0</v>
      </c>
    </row>
    <row r="66" spans="1:5" x14ac:dyDescent="0.2">
      <c r="A66" t="s">
        <v>624</v>
      </c>
      <c r="B66" t="s">
        <v>1446</v>
      </c>
      <c r="C66">
        <v>0</v>
      </c>
      <c r="D66">
        <v>0</v>
      </c>
      <c r="E66">
        <v>0</v>
      </c>
    </row>
    <row r="67" spans="1:5" x14ac:dyDescent="0.2">
      <c r="A67" t="s">
        <v>625</v>
      </c>
      <c r="B67" t="s">
        <v>1446</v>
      </c>
      <c r="C67">
        <v>0</v>
      </c>
      <c r="D67">
        <v>0</v>
      </c>
      <c r="E67">
        <v>0</v>
      </c>
    </row>
    <row r="68" spans="1:5" x14ac:dyDescent="0.2">
      <c r="A68" t="s">
        <v>626</v>
      </c>
      <c r="B68" t="s">
        <v>1446</v>
      </c>
      <c r="C68">
        <v>0</v>
      </c>
      <c r="D68">
        <v>0</v>
      </c>
      <c r="E68">
        <v>0</v>
      </c>
    </row>
    <row r="69" spans="1:5" x14ac:dyDescent="0.2">
      <c r="A69" t="s">
        <v>627</v>
      </c>
      <c r="B69" t="s">
        <v>1446</v>
      </c>
      <c r="C69">
        <v>0</v>
      </c>
      <c r="D69">
        <v>0</v>
      </c>
      <c r="E69">
        <v>0</v>
      </c>
    </row>
    <row r="70" spans="1:5" x14ac:dyDescent="0.2">
      <c r="A70" t="s">
        <v>628</v>
      </c>
      <c r="B70" t="s">
        <v>1446</v>
      </c>
      <c r="C70">
        <v>0</v>
      </c>
      <c r="D70">
        <v>0</v>
      </c>
      <c r="E70">
        <v>0</v>
      </c>
    </row>
    <row r="71" spans="1:5" x14ac:dyDescent="0.2">
      <c r="A71" t="s">
        <v>629</v>
      </c>
      <c r="B71" t="s">
        <v>1446</v>
      </c>
      <c r="C71">
        <v>0</v>
      </c>
      <c r="D71">
        <v>0</v>
      </c>
      <c r="E71">
        <v>0</v>
      </c>
    </row>
    <row r="72" spans="1:5" x14ac:dyDescent="0.2">
      <c r="A72" t="s">
        <v>630</v>
      </c>
      <c r="B72" t="s">
        <v>1446</v>
      </c>
      <c r="C72">
        <v>0</v>
      </c>
      <c r="D72">
        <v>0</v>
      </c>
      <c r="E72">
        <v>0</v>
      </c>
    </row>
    <row r="73" spans="1:5" x14ac:dyDescent="0.2">
      <c r="A73" t="s">
        <v>631</v>
      </c>
      <c r="B73" t="s">
        <v>1446</v>
      </c>
      <c r="C73">
        <v>0</v>
      </c>
      <c r="D73">
        <v>0</v>
      </c>
      <c r="E73">
        <v>0</v>
      </c>
    </row>
    <row r="74" spans="1:5" x14ac:dyDescent="0.2">
      <c r="A74" t="s">
        <v>632</v>
      </c>
      <c r="B74" t="s">
        <v>1446</v>
      </c>
      <c r="C74">
        <v>0</v>
      </c>
      <c r="D74">
        <v>0</v>
      </c>
      <c r="E74">
        <v>0</v>
      </c>
    </row>
    <row r="75" spans="1:5" x14ac:dyDescent="0.2">
      <c r="A75" t="s">
        <v>633</v>
      </c>
      <c r="B75" t="s">
        <v>1446</v>
      </c>
      <c r="C75">
        <v>0</v>
      </c>
      <c r="D75">
        <v>0</v>
      </c>
      <c r="E75">
        <v>0</v>
      </c>
    </row>
    <row r="76" spans="1:5" x14ac:dyDescent="0.2">
      <c r="A76" t="s">
        <v>634</v>
      </c>
      <c r="B76" t="s">
        <v>1446</v>
      </c>
      <c r="C76">
        <v>0</v>
      </c>
      <c r="D76">
        <v>0</v>
      </c>
      <c r="E76">
        <v>0</v>
      </c>
    </row>
    <row r="77" spans="1:5" x14ac:dyDescent="0.2">
      <c r="A77" t="s">
        <v>635</v>
      </c>
      <c r="B77" t="s">
        <v>1446</v>
      </c>
      <c r="C77">
        <v>0</v>
      </c>
      <c r="D77">
        <v>0</v>
      </c>
      <c r="E77">
        <v>0</v>
      </c>
    </row>
    <row r="78" spans="1:5" x14ac:dyDescent="0.2">
      <c r="A78" t="s">
        <v>636</v>
      </c>
      <c r="B78" t="s">
        <v>1446</v>
      </c>
      <c r="C78">
        <v>0</v>
      </c>
      <c r="D78">
        <v>0</v>
      </c>
      <c r="E78">
        <v>0</v>
      </c>
    </row>
    <row r="79" spans="1:5" x14ac:dyDescent="0.2">
      <c r="A79" t="s">
        <v>637</v>
      </c>
      <c r="B79" t="s">
        <v>1446</v>
      </c>
      <c r="C79">
        <v>0</v>
      </c>
      <c r="D79">
        <v>0</v>
      </c>
      <c r="E79">
        <v>0</v>
      </c>
    </row>
    <row r="80" spans="1:5" x14ac:dyDescent="0.2">
      <c r="A80" t="s">
        <v>638</v>
      </c>
      <c r="B80" t="s">
        <v>1446</v>
      </c>
      <c r="C80">
        <v>0</v>
      </c>
      <c r="D80">
        <v>0</v>
      </c>
      <c r="E80">
        <v>0</v>
      </c>
    </row>
    <row r="81" spans="1:5" x14ac:dyDescent="0.2">
      <c r="A81" t="s">
        <v>639</v>
      </c>
      <c r="B81" t="s">
        <v>1446</v>
      </c>
      <c r="C81">
        <v>0</v>
      </c>
      <c r="D81">
        <v>0</v>
      </c>
      <c r="E81">
        <v>0</v>
      </c>
    </row>
    <row r="82" spans="1:5" x14ac:dyDescent="0.2">
      <c r="A82" t="s">
        <v>640</v>
      </c>
      <c r="B82" t="s">
        <v>1446</v>
      </c>
      <c r="C82">
        <v>0</v>
      </c>
      <c r="D82">
        <v>0</v>
      </c>
      <c r="E82">
        <v>0</v>
      </c>
    </row>
    <row r="83" spans="1:5" x14ac:dyDescent="0.2">
      <c r="A83" t="s">
        <v>641</v>
      </c>
      <c r="B83" t="s">
        <v>1446</v>
      </c>
      <c r="C83">
        <v>0</v>
      </c>
      <c r="D83">
        <v>0</v>
      </c>
      <c r="E83">
        <v>0</v>
      </c>
    </row>
    <row r="84" spans="1:5" x14ac:dyDescent="0.2">
      <c r="A84" t="s">
        <v>642</v>
      </c>
      <c r="B84" t="s">
        <v>1446</v>
      </c>
      <c r="C84">
        <v>0</v>
      </c>
      <c r="D84">
        <v>0</v>
      </c>
      <c r="E84">
        <v>0</v>
      </c>
    </row>
    <row r="85" spans="1:5" x14ac:dyDescent="0.2">
      <c r="A85" t="s">
        <v>643</v>
      </c>
      <c r="B85" t="s">
        <v>1446</v>
      </c>
      <c r="C85">
        <v>0</v>
      </c>
      <c r="D85">
        <v>0</v>
      </c>
      <c r="E85">
        <v>0</v>
      </c>
    </row>
    <row r="86" spans="1:5" x14ac:dyDescent="0.2">
      <c r="A86" t="s">
        <v>644</v>
      </c>
      <c r="B86" t="s">
        <v>1446</v>
      </c>
      <c r="C86">
        <v>0</v>
      </c>
      <c r="D86">
        <v>0</v>
      </c>
      <c r="E86">
        <v>0</v>
      </c>
    </row>
    <row r="87" spans="1:5" x14ac:dyDescent="0.2">
      <c r="A87" t="s">
        <v>645</v>
      </c>
      <c r="B87" t="s">
        <v>1446</v>
      </c>
      <c r="C87">
        <v>0</v>
      </c>
      <c r="D87">
        <v>0</v>
      </c>
      <c r="E87">
        <v>0</v>
      </c>
    </row>
    <row r="88" spans="1:5" x14ac:dyDescent="0.2">
      <c r="A88" t="s">
        <v>646</v>
      </c>
      <c r="B88" t="s">
        <v>1446</v>
      </c>
      <c r="C88">
        <v>0</v>
      </c>
      <c r="D88">
        <v>0</v>
      </c>
      <c r="E88">
        <v>0</v>
      </c>
    </row>
    <row r="89" spans="1:5" x14ac:dyDescent="0.2">
      <c r="A89" t="s">
        <v>647</v>
      </c>
      <c r="B89" t="s">
        <v>1446</v>
      </c>
      <c r="C89">
        <v>0</v>
      </c>
      <c r="D89">
        <v>0</v>
      </c>
      <c r="E89">
        <v>0</v>
      </c>
    </row>
    <row r="90" spans="1:5" x14ac:dyDescent="0.2">
      <c r="A90" t="s">
        <v>648</v>
      </c>
      <c r="B90" t="s">
        <v>1446</v>
      </c>
      <c r="C90">
        <v>0</v>
      </c>
      <c r="D90">
        <v>0</v>
      </c>
      <c r="E90">
        <v>0</v>
      </c>
    </row>
    <row r="91" spans="1:5" x14ac:dyDescent="0.2">
      <c r="A91" t="s">
        <v>649</v>
      </c>
      <c r="B91" t="s">
        <v>1446</v>
      </c>
      <c r="C91">
        <v>0</v>
      </c>
      <c r="D91">
        <v>0</v>
      </c>
      <c r="E91">
        <v>0</v>
      </c>
    </row>
    <row r="92" spans="1:5" x14ac:dyDescent="0.2">
      <c r="A92" t="s">
        <v>650</v>
      </c>
      <c r="B92" t="s">
        <v>1446</v>
      </c>
      <c r="C92">
        <v>0</v>
      </c>
      <c r="D92">
        <v>0</v>
      </c>
      <c r="E92">
        <v>0</v>
      </c>
    </row>
    <row r="93" spans="1:5" x14ac:dyDescent="0.2">
      <c r="A93" t="s">
        <v>651</v>
      </c>
      <c r="B93" t="s">
        <v>1446</v>
      </c>
      <c r="C93">
        <v>0</v>
      </c>
      <c r="D93">
        <v>0</v>
      </c>
      <c r="E93">
        <v>0</v>
      </c>
    </row>
    <row r="94" spans="1:5" x14ac:dyDescent="0.2">
      <c r="A94" t="s">
        <v>652</v>
      </c>
      <c r="B94" t="s">
        <v>1446</v>
      </c>
      <c r="C94">
        <v>0</v>
      </c>
      <c r="D94">
        <v>0</v>
      </c>
      <c r="E94">
        <v>0</v>
      </c>
    </row>
    <row r="95" spans="1:5" x14ac:dyDescent="0.2">
      <c r="A95" t="s">
        <v>653</v>
      </c>
      <c r="B95" t="s">
        <v>1446</v>
      </c>
      <c r="C95">
        <v>0</v>
      </c>
      <c r="D95">
        <v>0</v>
      </c>
      <c r="E95">
        <v>0</v>
      </c>
    </row>
    <row r="96" spans="1:5" x14ac:dyDescent="0.2">
      <c r="A96" t="s">
        <v>654</v>
      </c>
      <c r="B96" t="s">
        <v>1446</v>
      </c>
      <c r="C96">
        <v>0</v>
      </c>
      <c r="D96">
        <v>0</v>
      </c>
      <c r="E96">
        <v>0</v>
      </c>
    </row>
    <row r="97" spans="1:5" x14ac:dyDescent="0.2">
      <c r="A97" t="s">
        <v>655</v>
      </c>
      <c r="B97" t="s">
        <v>1446</v>
      </c>
      <c r="C97">
        <v>0</v>
      </c>
      <c r="D97">
        <v>0</v>
      </c>
      <c r="E97">
        <v>0</v>
      </c>
    </row>
    <row r="98" spans="1:5" x14ac:dyDescent="0.2">
      <c r="A98" t="s">
        <v>656</v>
      </c>
      <c r="B98" t="s">
        <v>1446</v>
      </c>
      <c r="C98">
        <v>0</v>
      </c>
      <c r="D98">
        <v>0</v>
      </c>
      <c r="E98">
        <v>0</v>
      </c>
    </row>
    <row r="99" spans="1:5" x14ac:dyDescent="0.2">
      <c r="A99" t="s">
        <v>657</v>
      </c>
      <c r="B99" t="s">
        <v>1446</v>
      </c>
      <c r="C99">
        <v>0</v>
      </c>
      <c r="D99">
        <v>0</v>
      </c>
      <c r="E99">
        <v>0</v>
      </c>
    </row>
    <row r="100" spans="1:5" x14ac:dyDescent="0.2">
      <c r="A100" t="s">
        <v>658</v>
      </c>
      <c r="B100" t="s">
        <v>1446</v>
      </c>
      <c r="C100">
        <v>0</v>
      </c>
      <c r="D100">
        <v>0</v>
      </c>
      <c r="E100">
        <v>0</v>
      </c>
    </row>
    <row r="101" spans="1:5" x14ac:dyDescent="0.2">
      <c r="A101" t="s">
        <v>659</v>
      </c>
      <c r="B101" t="s">
        <v>1446</v>
      </c>
      <c r="C101">
        <v>0</v>
      </c>
      <c r="D101">
        <v>0</v>
      </c>
      <c r="E101">
        <v>0</v>
      </c>
    </row>
    <row r="102" spans="1:5" x14ac:dyDescent="0.2">
      <c r="A102" t="s">
        <v>660</v>
      </c>
      <c r="B102" t="s">
        <v>1446</v>
      </c>
      <c r="C102">
        <v>0</v>
      </c>
      <c r="D102">
        <v>0</v>
      </c>
      <c r="E102">
        <v>0</v>
      </c>
    </row>
    <row r="103" spans="1:5" x14ac:dyDescent="0.2">
      <c r="A103" t="s">
        <v>661</v>
      </c>
      <c r="B103" t="s">
        <v>1446</v>
      </c>
      <c r="C103">
        <v>0</v>
      </c>
      <c r="D103">
        <v>0</v>
      </c>
      <c r="E103">
        <v>0</v>
      </c>
    </row>
    <row r="104" spans="1:5" x14ac:dyDescent="0.2">
      <c r="A104" t="s">
        <v>662</v>
      </c>
      <c r="B104" t="s">
        <v>1446</v>
      </c>
      <c r="C104">
        <v>0</v>
      </c>
      <c r="D104">
        <v>0</v>
      </c>
      <c r="E104">
        <v>0</v>
      </c>
    </row>
    <row r="105" spans="1:5" x14ac:dyDescent="0.2">
      <c r="A105" t="s">
        <v>663</v>
      </c>
      <c r="B105" t="s">
        <v>1446</v>
      </c>
      <c r="C105">
        <v>0</v>
      </c>
      <c r="D105">
        <v>0</v>
      </c>
      <c r="E105">
        <v>0</v>
      </c>
    </row>
    <row r="106" spans="1:5" x14ac:dyDescent="0.2">
      <c r="A106" t="s">
        <v>664</v>
      </c>
      <c r="B106" t="s">
        <v>1446</v>
      </c>
      <c r="C106">
        <v>0</v>
      </c>
      <c r="D106">
        <v>0</v>
      </c>
      <c r="E106">
        <v>0</v>
      </c>
    </row>
    <row r="107" spans="1:5" x14ac:dyDescent="0.2">
      <c r="A107" t="s">
        <v>665</v>
      </c>
      <c r="B107" t="s">
        <v>1446</v>
      </c>
      <c r="C107">
        <v>0</v>
      </c>
      <c r="D107">
        <v>0</v>
      </c>
      <c r="E107">
        <v>0</v>
      </c>
    </row>
    <row r="108" spans="1:5" x14ac:dyDescent="0.2">
      <c r="A108" t="s">
        <v>666</v>
      </c>
      <c r="B108" t="s">
        <v>1446</v>
      </c>
      <c r="C108">
        <v>0</v>
      </c>
      <c r="D108">
        <v>0</v>
      </c>
      <c r="E108">
        <v>0</v>
      </c>
    </row>
    <row r="109" spans="1:5" x14ac:dyDescent="0.2">
      <c r="A109" t="s">
        <v>667</v>
      </c>
      <c r="B109" t="s">
        <v>1446</v>
      </c>
      <c r="C109">
        <v>0</v>
      </c>
      <c r="D109">
        <v>0</v>
      </c>
      <c r="E109">
        <v>0</v>
      </c>
    </row>
    <row r="110" spans="1:5" x14ac:dyDescent="0.2">
      <c r="A110" t="s">
        <v>668</v>
      </c>
      <c r="B110" t="s">
        <v>1446</v>
      </c>
      <c r="C110">
        <v>0</v>
      </c>
      <c r="D110">
        <v>0</v>
      </c>
      <c r="E110"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AH"/>
  <dimension ref="A1:T80"/>
  <sheetViews>
    <sheetView workbookViewId="0">
      <selection activeCell="L3" sqref="L3:L10"/>
    </sheetView>
  </sheetViews>
  <sheetFormatPr defaultRowHeight="12.75" x14ac:dyDescent="0.2"/>
  <cols>
    <col min="1" max="1" width="11.140625" bestFit="1" customWidth="1"/>
    <col min="2" max="2" width="8.5703125" bestFit="1" customWidth="1"/>
    <col min="3" max="3" width="5.7109375" bestFit="1" customWidth="1"/>
    <col min="4" max="4" width="5.140625" bestFit="1" customWidth="1"/>
    <col min="5" max="5" width="7.7109375" bestFit="1" customWidth="1"/>
    <col min="6" max="6" width="6.5703125" bestFit="1" customWidth="1"/>
    <col min="7" max="7" width="5.5703125" bestFit="1" customWidth="1"/>
    <col min="8" max="9" width="7.5703125" bestFit="1" customWidth="1"/>
    <col min="10" max="10" width="10.85546875" bestFit="1" customWidth="1"/>
    <col min="11" max="12" width="8" bestFit="1" customWidth="1"/>
    <col min="13" max="13" width="8.7109375" bestFit="1" customWidth="1"/>
    <col min="14" max="14" width="10.5703125" bestFit="1" customWidth="1"/>
    <col min="15" max="16" width="4.5703125" bestFit="1" customWidth="1"/>
    <col min="17" max="17" width="9.5703125" bestFit="1" customWidth="1"/>
    <col min="18" max="18" width="11.140625" bestFit="1" customWidth="1"/>
  </cols>
  <sheetData>
    <row r="1" spans="1:20" s="1" customFormat="1" x14ac:dyDescent="0.2">
      <c r="A1" s="1" t="s">
        <v>1404</v>
      </c>
      <c r="B1" s="1" t="s">
        <v>1402</v>
      </c>
      <c r="C1" s="1" t="s">
        <v>974</v>
      </c>
      <c r="D1" s="1" t="s">
        <v>980</v>
      </c>
      <c r="E1" s="50" t="s">
        <v>1364</v>
      </c>
      <c r="F1" s="45" t="s">
        <v>1365</v>
      </c>
      <c r="G1" s="1" t="s">
        <v>1366</v>
      </c>
      <c r="H1" s="1" t="s">
        <v>1367</v>
      </c>
      <c r="I1" s="1" t="s">
        <v>1368</v>
      </c>
      <c r="J1" s="1" t="s">
        <v>978</v>
      </c>
      <c r="K1" s="1" t="s">
        <v>1369</v>
      </c>
      <c r="L1" s="1" t="s">
        <v>975</v>
      </c>
      <c r="M1" s="1" t="s">
        <v>979</v>
      </c>
      <c r="N1" s="1" t="s">
        <v>969</v>
      </c>
      <c r="O1" s="1" t="s">
        <v>1444</v>
      </c>
      <c r="P1" s="1" t="s">
        <v>1445</v>
      </c>
      <c r="Q1" s="1" t="s">
        <v>976</v>
      </c>
      <c r="R1" s="1" t="s">
        <v>1510</v>
      </c>
      <c r="T1" s="45">
        <v>43236</v>
      </c>
    </row>
    <row r="2" spans="1:20" x14ac:dyDescent="0.2">
      <c r="A2" t="str">
        <f>B2&amp;"."&amp;D2&amp;"."&amp;C2</f>
        <v>ICE.2018.6</v>
      </c>
      <c r="B2" t="s">
        <v>1403</v>
      </c>
      <c r="C2" t="str">
        <f>TEXT(DATEVALUE("1"&amp;E2),"M")</f>
        <v>6</v>
      </c>
      <c r="D2" t="str">
        <f>TEXT(DATEVALUE("1"&amp;E2),"YYYY")</f>
        <v>2018</v>
      </c>
      <c r="E2" s="51" t="s">
        <v>1371</v>
      </c>
      <c r="F2">
        <v>-1.05</v>
      </c>
      <c r="G2">
        <v>-1.05</v>
      </c>
      <c r="H2">
        <v>-1.095</v>
      </c>
      <c r="I2">
        <v>-1.095</v>
      </c>
      <c r="J2">
        <v>-1.1074999999999999</v>
      </c>
      <c r="K2">
        <v>7.4999999999999997E-3</v>
      </c>
      <c r="L2">
        <v>180</v>
      </c>
      <c r="M2">
        <v>15040</v>
      </c>
      <c r="N2">
        <v>0</v>
      </c>
      <c r="O2">
        <v>0</v>
      </c>
      <c r="P2">
        <v>0</v>
      </c>
      <c r="Q2">
        <v>0</v>
      </c>
      <c r="R2">
        <v>0</v>
      </c>
    </row>
    <row r="3" spans="1:20" x14ac:dyDescent="0.2">
      <c r="A3" t="str">
        <f t="shared" ref="A3:A66" si="0">B3&amp;"."&amp;D3&amp;"."&amp;C3</f>
        <v>ICE.2018.7</v>
      </c>
      <c r="B3" t="s">
        <v>1403</v>
      </c>
      <c r="C3" t="str">
        <f t="shared" ref="C3:C66" si="1">TEXT(DATEVALUE("1"&amp;E3),"M")</f>
        <v>7</v>
      </c>
      <c r="D3" t="str">
        <f t="shared" ref="D3:D66" si="2">TEXT(DATEVALUE("1"&amp;E3),"YYYY")</f>
        <v>2018</v>
      </c>
      <c r="E3" s="51" t="s">
        <v>1372</v>
      </c>
      <c r="F3">
        <v>-1.0049999999999999</v>
      </c>
      <c r="G3">
        <v>-1</v>
      </c>
      <c r="H3">
        <v>-1.05</v>
      </c>
      <c r="I3">
        <v>-1.0425</v>
      </c>
      <c r="J3">
        <v>-1.0449999999999999</v>
      </c>
      <c r="K3">
        <v>0.02</v>
      </c>
      <c r="L3">
        <v>403</v>
      </c>
      <c r="M3">
        <v>17973</v>
      </c>
      <c r="N3">
        <v>129</v>
      </c>
      <c r="O3">
        <v>0</v>
      </c>
      <c r="P3">
        <v>0</v>
      </c>
      <c r="Q3">
        <v>0</v>
      </c>
      <c r="R3">
        <v>0</v>
      </c>
    </row>
    <row r="4" spans="1:20" x14ac:dyDescent="0.2">
      <c r="A4" t="str">
        <f t="shared" si="0"/>
        <v>ICE.2018.8</v>
      </c>
      <c r="B4" t="s">
        <v>1403</v>
      </c>
      <c r="C4" t="str">
        <f t="shared" si="1"/>
        <v>8</v>
      </c>
      <c r="D4" t="str">
        <f t="shared" si="2"/>
        <v>2018</v>
      </c>
      <c r="E4" s="51" t="s">
        <v>1373</v>
      </c>
      <c r="F4">
        <v>-1</v>
      </c>
      <c r="G4">
        <v>-1</v>
      </c>
      <c r="H4">
        <v>-1.04</v>
      </c>
      <c r="I4">
        <v>-1.03</v>
      </c>
      <c r="J4">
        <v>-1.0325</v>
      </c>
      <c r="K4">
        <v>2.75E-2</v>
      </c>
      <c r="L4">
        <v>1705</v>
      </c>
      <c r="M4">
        <v>18100</v>
      </c>
      <c r="N4">
        <v>877</v>
      </c>
      <c r="O4">
        <v>0</v>
      </c>
      <c r="P4">
        <v>0</v>
      </c>
      <c r="Q4">
        <v>186</v>
      </c>
      <c r="R4">
        <v>217</v>
      </c>
    </row>
    <row r="5" spans="1:20" x14ac:dyDescent="0.2">
      <c r="A5" t="str">
        <f t="shared" si="0"/>
        <v>ICE.2018.9</v>
      </c>
      <c r="B5" t="s">
        <v>1403</v>
      </c>
      <c r="C5" t="str">
        <f t="shared" si="1"/>
        <v>9</v>
      </c>
      <c r="D5" t="str">
        <f t="shared" si="2"/>
        <v>2018</v>
      </c>
      <c r="E5" s="51" t="s">
        <v>1374</v>
      </c>
      <c r="F5">
        <v>-1.1200000000000001</v>
      </c>
      <c r="G5">
        <v>-1.1200000000000001</v>
      </c>
      <c r="H5">
        <v>-1.17</v>
      </c>
      <c r="I5">
        <v>-1.17</v>
      </c>
      <c r="J5">
        <v>-1.1725000000000001</v>
      </c>
      <c r="K5">
        <v>1.7500000000000002E-2</v>
      </c>
      <c r="L5">
        <v>720</v>
      </c>
      <c r="M5">
        <v>17850</v>
      </c>
      <c r="N5">
        <v>120</v>
      </c>
      <c r="O5">
        <v>0</v>
      </c>
      <c r="P5">
        <v>0</v>
      </c>
      <c r="Q5">
        <v>0</v>
      </c>
      <c r="R5">
        <v>150</v>
      </c>
    </row>
    <row r="6" spans="1:20" x14ac:dyDescent="0.2">
      <c r="A6" t="str">
        <f t="shared" si="0"/>
        <v>ICE.2018.10</v>
      </c>
      <c r="B6" t="s">
        <v>1403</v>
      </c>
      <c r="C6" t="str">
        <f t="shared" si="1"/>
        <v>10</v>
      </c>
      <c r="D6" t="str">
        <f t="shared" si="2"/>
        <v>2018</v>
      </c>
      <c r="E6" s="51" t="s">
        <v>1375</v>
      </c>
      <c r="F6">
        <v>-1.22</v>
      </c>
      <c r="G6">
        <v>-1.22</v>
      </c>
      <c r="H6">
        <v>-1.2725</v>
      </c>
      <c r="I6">
        <v>-1.2675000000000001</v>
      </c>
      <c r="J6">
        <v>-1.2725</v>
      </c>
      <c r="K6">
        <v>2.5000000000000001E-2</v>
      </c>
      <c r="L6">
        <v>1395</v>
      </c>
      <c r="M6">
        <v>20115</v>
      </c>
      <c r="N6">
        <v>213</v>
      </c>
      <c r="O6">
        <v>0</v>
      </c>
      <c r="P6">
        <v>0</v>
      </c>
      <c r="Q6">
        <v>372</v>
      </c>
      <c r="R6">
        <v>62</v>
      </c>
    </row>
    <row r="7" spans="1:20" x14ac:dyDescent="0.2">
      <c r="A7" t="str">
        <f t="shared" si="0"/>
        <v>ICE.2018.11</v>
      </c>
      <c r="B7" t="s">
        <v>1403</v>
      </c>
      <c r="C7" t="str">
        <f t="shared" si="1"/>
        <v>11</v>
      </c>
      <c r="D7" t="str">
        <f t="shared" si="2"/>
        <v>2018</v>
      </c>
      <c r="E7" s="51" t="s">
        <v>1376</v>
      </c>
      <c r="J7">
        <v>-1.24</v>
      </c>
      <c r="K7">
        <v>0.05</v>
      </c>
      <c r="L7">
        <v>240</v>
      </c>
      <c r="M7">
        <v>12762</v>
      </c>
      <c r="N7">
        <v>0</v>
      </c>
      <c r="O7">
        <v>0</v>
      </c>
      <c r="P7">
        <v>0</v>
      </c>
      <c r="Q7">
        <v>180</v>
      </c>
      <c r="R7">
        <v>0</v>
      </c>
    </row>
    <row r="8" spans="1:20" x14ac:dyDescent="0.2">
      <c r="A8" t="str">
        <f t="shared" si="0"/>
        <v>ICE.2018.12</v>
      </c>
      <c r="B8" t="s">
        <v>1403</v>
      </c>
      <c r="C8" t="str">
        <f t="shared" si="1"/>
        <v>12</v>
      </c>
      <c r="D8" t="str">
        <f t="shared" si="2"/>
        <v>2018</v>
      </c>
      <c r="E8" s="51" t="s">
        <v>1377</v>
      </c>
      <c r="F8">
        <v>-1.1000000000000001</v>
      </c>
      <c r="G8">
        <v>-1.1000000000000001</v>
      </c>
      <c r="H8">
        <v>-1.1000000000000001</v>
      </c>
      <c r="I8">
        <v>-1.1000000000000001</v>
      </c>
      <c r="J8">
        <v>-1.0649999999999999</v>
      </c>
      <c r="K8">
        <v>7.4999999999999997E-2</v>
      </c>
      <c r="L8">
        <v>217</v>
      </c>
      <c r="M8">
        <v>11425</v>
      </c>
      <c r="N8">
        <v>-93</v>
      </c>
      <c r="O8">
        <v>0</v>
      </c>
      <c r="P8">
        <v>0</v>
      </c>
      <c r="Q8">
        <v>124</v>
      </c>
      <c r="R8">
        <v>0</v>
      </c>
    </row>
    <row r="9" spans="1:20" x14ac:dyDescent="0.2">
      <c r="A9" t="str">
        <f t="shared" si="0"/>
        <v>ICE.2019.1</v>
      </c>
      <c r="B9" t="s">
        <v>1403</v>
      </c>
      <c r="C9" t="str">
        <f t="shared" si="1"/>
        <v>1</v>
      </c>
      <c r="D9" t="str">
        <f t="shared" si="2"/>
        <v>2019</v>
      </c>
      <c r="E9" s="51" t="s">
        <v>1378</v>
      </c>
      <c r="F9">
        <v>-1.05</v>
      </c>
      <c r="G9">
        <v>-1.05</v>
      </c>
      <c r="H9">
        <v>-1.05</v>
      </c>
      <c r="I9">
        <v>-1.05</v>
      </c>
      <c r="J9">
        <v>-1.07</v>
      </c>
      <c r="K9">
        <v>0.01</v>
      </c>
      <c r="L9">
        <v>434</v>
      </c>
      <c r="M9">
        <v>12830</v>
      </c>
      <c r="N9">
        <v>-186</v>
      </c>
      <c r="O9">
        <v>0</v>
      </c>
      <c r="P9">
        <v>0</v>
      </c>
      <c r="Q9">
        <v>310</v>
      </c>
      <c r="R9">
        <v>186</v>
      </c>
    </row>
    <row r="10" spans="1:20" x14ac:dyDescent="0.2">
      <c r="A10" t="str">
        <f t="shared" si="0"/>
        <v>ICE.2019.2</v>
      </c>
      <c r="B10" t="s">
        <v>1403</v>
      </c>
      <c r="C10" t="str">
        <f t="shared" si="1"/>
        <v>2</v>
      </c>
      <c r="D10" t="str">
        <f t="shared" si="2"/>
        <v>2019</v>
      </c>
      <c r="E10" s="51" t="s">
        <v>1379</v>
      </c>
      <c r="J10">
        <v>-1.2175</v>
      </c>
      <c r="K10">
        <v>7.2499999999999995E-2</v>
      </c>
      <c r="L10">
        <v>168</v>
      </c>
      <c r="M10">
        <v>10954</v>
      </c>
      <c r="N10">
        <v>-84</v>
      </c>
      <c r="O10">
        <v>0</v>
      </c>
      <c r="P10">
        <v>0</v>
      </c>
      <c r="Q10">
        <v>112</v>
      </c>
      <c r="R10">
        <v>0</v>
      </c>
    </row>
    <row r="11" spans="1:20" x14ac:dyDescent="0.2">
      <c r="A11" t="str">
        <f t="shared" si="0"/>
        <v>ICE.2019.3</v>
      </c>
      <c r="B11" t="s">
        <v>1403</v>
      </c>
      <c r="C11" t="str">
        <f t="shared" si="1"/>
        <v>3</v>
      </c>
      <c r="D11" t="str">
        <f t="shared" si="2"/>
        <v>2019</v>
      </c>
      <c r="E11" s="51" t="s">
        <v>1380</v>
      </c>
      <c r="J11">
        <v>-1.45</v>
      </c>
      <c r="K11">
        <v>0.08</v>
      </c>
      <c r="L11">
        <v>186</v>
      </c>
      <c r="M11">
        <v>11822</v>
      </c>
      <c r="N11">
        <v>-124</v>
      </c>
      <c r="O11">
        <v>0</v>
      </c>
      <c r="P11">
        <v>0</v>
      </c>
      <c r="Q11">
        <v>124</v>
      </c>
      <c r="R11">
        <v>0</v>
      </c>
    </row>
    <row r="12" spans="1:20" x14ac:dyDescent="0.2">
      <c r="A12" t="str">
        <f t="shared" si="0"/>
        <v>ICE.2019.4</v>
      </c>
      <c r="B12" t="s">
        <v>1403</v>
      </c>
      <c r="C12" t="str">
        <f t="shared" si="1"/>
        <v>4</v>
      </c>
      <c r="D12" t="str">
        <f t="shared" si="2"/>
        <v>2019</v>
      </c>
      <c r="E12" s="51" t="s">
        <v>1381</v>
      </c>
      <c r="J12">
        <v>-1.47</v>
      </c>
      <c r="K12">
        <v>0.03</v>
      </c>
      <c r="L12">
        <v>150</v>
      </c>
      <c r="M12">
        <v>10332</v>
      </c>
      <c r="N12">
        <v>-30</v>
      </c>
      <c r="O12">
        <v>0</v>
      </c>
      <c r="P12">
        <v>0</v>
      </c>
      <c r="Q12">
        <v>0</v>
      </c>
      <c r="R12">
        <v>30</v>
      </c>
    </row>
    <row r="13" spans="1:20" x14ac:dyDescent="0.2">
      <c r="A13" t="str">
        <f t="shared" si="0"/>
        <v>ICE.2019.5</v>
      </c>
      <c r="B13" t="s">
        <v>1403</v>
      </c>
      <c r="C13" t="str">
        <f t="shared" si="1"/>
        <v>5</v>
      </c>
      <c r="D13" t="str">
        <f t="shared" si="2"/>
        <v>2019</v>
      </c>
      <c r="E13" s="51" t="s">
        <v>1382</v>
      </c>
      <c r="J13">
        <v>-1.4450000000000001</v>
      </c>
      <c r="K13">
        <v>0.03</v>
      </c>
      <c r="L13">
        <v>155</v>
      </c>
      <c r="M13">
        <v>10603</v>
      </c>
      <c r="N13">
        <v>-31</v>
      </c>
      <c r="O13">
        <v>0</v>
      </c>
      <c r="P13">
        <v>0</v>
      </c>
      <c r="Q13">
        <v>0</v>
      </c>
      <c r="R13">
        <v>31</v>
      </c>
    </row>
    <row r="14" spans="1:20" x14ac:dyDescent="0.2">
      <c r="A14" t="str">
        <f t="shared" si="0"/>
        <v>ICE.2019.6</v>
      </c>
      <c r="B14" t="s">
        <v>1403</v>
      </c>
      <c r="C14" t="str">
        <f t="shared" si="1"/>
        <v>6</v>
      </c>
      <c r="D14" t="str">
        <f t="shared" si="2"/>
        <v>2019</v>
      </c>
      <c r="E14" s="51" t="s">
        <v>1383</v>
      </c>
      <c r="J14">
        <v>-1.415</v>
      </c>
      <c r="K14">
        <v>0.03</v>
      </c>
      <c r="L14">
        <v>150</v>
      </c>
      <c r="M14">
        <v>10272</v>
      </c>
      <c r="N14">
        <v>-30</v>
      </c>
      <c r="O14">
        <v>0</v>
      </c>
      <c r="P14">
        <v>0</v>
      </c>
      <c r="Q14">
        <v>0</v>
      </c>
      <c r="R14">
        <v>30</v>
      </c>
    </row>
    <row r="15" spans="1:20" x14ac:dyDescent="0.2">
      <c r="A15" t="str">
        <f t="shared" si="0"/>
        <v>ICE.2019.7</v>
      </c>
      <c r="B15" t="s">
        <v>1403</v>
      </c>
      <c r="C15" t="str">
        <f t="shared" si="1"/>
        <v>7</v>
      </c>
      <c r="D15" t="str">
        <f t="shared" si="2"/>
        <v>2019</v>
      </c>
      <c r="E15" s="51" t="s">
        <v>1384</v>
      </c>
      <c r="J15">
        <v>-1.3374999999999999</v>
      </c>
      <c r="K15">
        <v>0.03</v>
      </c>
      <c r="L15">
        <v>155</v>
      </c>
      <c r="M15">
        <v>10530</v>
      </c>
      <c r="N15">
        <v>0</v>
      </c>
      <c r="O15">
        <v>0</v>
      </c>
      <c r="P15">
        <v>0</v>
      </c>
      <c r="Q15">
        <v>0</v>
      </c>
      <c r="R15">
        <v>31</v>
      </c>
    </row>
    <row r="16" spans="1:20" x14ac:dyDescent="0.2">
      <c r="A16" t="str">
        <f t="shared" si="0"/>
        <v>ICE.2019.8</v>
      </c>
      <c r="B16" t="s">
        <v>1403</v>
      </c>
      <c r="C16" t="str">
        <f t="shared" si="1"/>
        <v>8</v>
      </c>
      <c r="D16" t="str">
        <f t="shared" si="2"/>
        <v>2019</v>
      </c>
      <c r="E16" s="51" t="s">
        <v>1385</v>
      </c>
      <c r="J16">
        <v>-1.3049999999999999</v>
      </c>
      <c r="K16">
        <v>0.03</v>
      </c>
      <c r="L16">
        <v>155</v>
      </c>
      <c r="M16">
        <v>10479</v>
      </c>
      <c r="N16">
        <v>0</v>
      </c>
      <c r="O16">
        <v>0</v>
      </c>
      <c r="P16">
        <v>0</v>
      </c>
      <c r="Q16">
        <v>0</v>
      </c>
      <c r="R16">
        <v>31</v>
      </c>
    </row>
    <row r="17" spans="1:18" x14ac:dyDescent="0.2">
      <c r="A17" t="str">
        <f t="shared" si="0"/>
        <v>ICE.2019.9</v>
      </c>
      <c r="B17" t="s">
        <v>1403</v>
      </c>
      <c r="C17" t="str">
        <f t="shared" si="1"/>
        <v>9</v>
      </c>
      <c r="D17" t="str">
        <f t="shared" si="2"/>
        <v>2019</v>
      </c>
      <c r="E17" s="51" t="s">
        <v>1386</v>
      </c>
      <c r="J17">
        <v>-1.1599999999999999</v>
      </c>
      <c r="K17">
        <v>0.03</v>
      </c>
      <c r="L17">
        <v>150</v>
      </c>
      <c r="M17">
        <v>10172</v>
      </c>
      <c r="N17">
        <v>0</v>
      </c>
      <c r="O17">
        <v>0</v>
      </c>
      <c r="P17">
        <v>0</v>
      </c>
      <c r="Q17">
        <v>0</v>
      </c>
      <c r="R17">
        <v>30</v>
      </c>
    </row>
    <row r="18" spans="1:18" x14ac:dyDescent="0.2">
      <c r="A18" t="str">
        <f t="shared" si="0"/>
        <v>ICE.2019.10</v>
      </c>
      <c r="B18" t="s">
        <v>1403</v>
      </c>
      <c r="C18" t="str">
        <f t="shared" si="1"/>
        <v>10</v>
      </c>
      <c r="D18" t="str">
        <f t="shared" si="2"/>
        <v>2019</v>
      </c>
      <c r="E18" s="51" t="s">
        <v>1387</v>
      </c>
      <c r="J18">
        <v>-0.90500000000000003</v>
      </c>
      <c r="K18">
        <v>0.03</v>
      </c>
      <c r="L18">
        <v>155</v>
      </c>
      <c r="M18">
        <v>11280</v>
      </c>
      <c r="N18">
        <v>-31</v>
      </c>
      <c r="O18">
        <v>0</v>
      </c>
      <c r="P18">
        <v>0</v>
      </c>
      <c r="Q18">
        <v>0</v>
      </c>
      <c r="R18">
        <v>31</v>
      </c>
    </row>
    <row r="19" spans="1:18" x14ac:dyDescent="0.2">
      <c r="A19" t="str">
        <f t="shared" si="0"/>
        <v>ICE.2019.11</v>
      </c>
      <c r="B19" t="s">
        <v>1403</v>
      </c>
      <c r="C19" t="str">
        <f t="shared" si="1"/>
        <v>11</v>
      </c>
      <c r="D19" t="str">
        <f t="shared" si="2"/>
        <v>2019</v>
      </c>
      <c r="E19" s="51" t="s">
        <v>1388</v>
      </c>
      <c r="J19">
        <v>-0.99</v>
      </c>
      <c r="K19">
        <v>0.02</v>
      </c>
      <c r="L19">
        <v>0</v>
      </c>
      <c r="M19">
        <v>6224</v>
      </c>
      <c r="N19">
        <v>0</v>
      </c>
      <c r="O19">
        <v>0</v>
      </c>
      <c r="P19">
        <v>0</v>
      </c>
      <c r="Q19">
        <v>0</v>
      </c>
      <c r="R19">
        <v>0</v>
      </c>
    </row>
    <row r="20" spans="1:18" x14ac:dyDescent="0.2">
      <c r="A20" t="str">
        <f t="shared" si="0"/>
        <v>ICE.2019.12</v>
      </c>
      <c r="B20" t="s">
        <v>1403</v>
      </c>
      <c r="C20" t="str">
        <f t="shared" si="1"/>
        <v>12</v>
      </c>
      <c r="D20" t="str">
        <f t="shared" si="2"/>
        <v>2019</v>
      </c>
      <c r="E20" s="51" t="s">
        <v>1389</v>
      </c>
      <c r="J20">
        <v>-0.89749999999999996</v>
      </c>
      <c r="K20">
        <v>0.02</v>
      </c>
      <c r="L20">
        <v>0</v>
      </c>
      <c r="M20">
        <v>6398</v>
      </c>
      <c r="N20">
        <v>0</v>
      </c>
      <c r="O20">
        <v>0</v>
      </c>
      <c r="P20">
        <v>0</v>
      </c>
      <c r="Q20">
        <v>0</v>
      </c>
      <c r="R20">
        <v>0</v>
      </c>
    </row>
    <row r="21" spans="1:18" x14ac:dyDescent="0.2">
      <c r="A21" t="str">
        <f t="shared" si="0"/>
        <v>ICE.2020.1</v>
      </c>
      <c r="B21" t="s">
        <v>1403</v>
      </c>
      <c r="C21" t="str">
        <f t="shared" si="1"/>
        <v>1</v>
      </c>
      <c r="D21" t="str">
        <f t="shared" si="2"/>
        <v>2020</v>
      </c>
      <c r="E21" s="51" t="s">
        <v>1390</v>
      </c>
      <c r="J21">
        <v>-0.91</v>
      </c>
      <c r="K21">
        <v>2.2499999999999999E-2</v>
      </c>
      <c r="L21">
        <v>0</v>
      </c>
      <c r="M21">
        <v>5115</v>
      </c>
      <c r="N21">
        <v>0</v>
      </c>
      <c r="O21">
        <v>0</v>
      </c>
      <c r="P21">
        <v>0</v>
      </c>
      <c r="Q21">
        <v>0</v>
      </c>
      <c r="R21">
        <v>0</v>
      </c>
    </row>
    <row r="22" spans="1:18" x14ac:dyDescent="0.2">
      <c r="A22" t="str">
        <f t="shared" si="0"/>
        <v>ICE.2020.2</v>
      </c>
      <c r="B22" t="s">
        <v>1403</v>
      </c>
      <c r="C22" t="str">
        <f t="shared" si="1"/>
        <v>2</v>
      </c>
      <c r="D22" t="str">
        <f t="shared" si="2"/>
        <v>2020</v>
      </c>
      <c r="E22" s="51" t="s">
        <v>1391</v>
      </c>
      <c r="J22">
        <v>-0.88249999999999995</v>
      </c>
      <c r="K22">
        <v>0.02</v>
      </c>
      <c r="L22">
        <v>0</v>
      </c>
      <c r="M22">
        <v>4582</v>
      </c>
      <c r="N22">
        <v>0</v>
      </c>
      <c r="O22">
        <v>0</v>
      </c>
      <c r="P22">
        <v>0</v>
      </c>
      <c r="Q22">
        <v>0</v>
      </c>
      <c r="R22">
        <v>0</v>
      </c>
    </row>
    <row r="23" spans="1:18" x14ac:dyDescent="0.2">
      <c r="A23" t="str">
        <f t="shared" si="0"/>
        <v>ICE.2020.3</v>
      </c>
      <c r="B23" t="s">
        <v>1403</v>
      </c>
      <c r="C23" t="str">
        <f t="shared" si="1"/>
        <v>3</v>
      </c>
      <c r="D23" t="str">
        <f t="shared" si="2"/>
        <v>2020</v>
      </c>
      <c r="E23" s="51" t="s">
        <v>1392</v>
      </c>
      <c r="J23">
        <v>-0.94750000000000001</v>
      </c>
      <c r="K23">
        <v>0.02</v>
      </c>
      <c r="L23">
        <v>0</v>
      </c>
      <c r="M23">
        <v>4898</v>
      </c>
      <c r="N23">
        <v>0</v>
      </c>
      <c r="O23">
        <v>0</v>
      </c>
      <c r="P23">
        <v>0</v>
      </c>
      <c r="Q23">
        <v>0</v>
      </c>
      <c r="R23">
        <v>0</v>
      </c>
    </row>
    <row r="24" spans="1:18" x14ac:dyDescent="0.2">
      <c r="A24" t="str">
        <f t="shared" si="0"/>
        <v>ICE.2020.4</v>
      </c>
      <c r="B24" t="s">
        <v>1403</v>
      </c>
      <c r="C24" t="str">
        <f t="shared" si="1"/>
        <v>4</v>
      </c>
      <c r="D24" t="str">
        <f t="shared" si="2"/>
        <v>2020</v>
      </c>
      <c r="E24" s="51" t="s">
        <v>1393</v>
      </c>
      <c r="J24">
        <v>-0.97499999999999998</v>
      </c>
      <c r="K24">
        <v>0.02</v>
      </c>
      <c r="L24">
        <v>0</v>
      </c>
      <c r="M24">
        <v>2520</v>
      </c>
      <c r="N24">
        <v>0</v>
      </c>
      <c r="O24">
        <v>0</v>
      </c>
      <c r="P24">
        <v>0</v>
      </c>
      <c r="Q24">
        <v>0</v>
      </c>
      <c r="R24">
        <v>0</v>
      </c>
    </row>
    <row r="25" spans="1:18" x14ac:dyDescent="0.2">
      <c r="A25" t="str">
        <f t="shared" si="0"/>
        <v>ICE.2020.5</v>
      </c>
      <c r="B25" t="s">
        <v>1403</v>
      </c>
      <c r="C25" t="str">
        <f t="shared" si="1"/>
        <v>5</v>
      </c>
      <c r="D25" t="str">
        <f t="shared" si="2"/>
        <v>2020</v>
      </c>
      <c r="E25" s="51" t="s">
        <v>1394</v>
      </c>
      <c r="J25">
        <v>-0.97499999999999998</v>
      </c>
      <c r="K25">
        <v>0.02</v>
      </c>
      <c r="L25">
        <v>0</v>
      </c>
      <c r="M25">
        <v>2604</v>
      </c>
      <c r="N25">
        <v>0</v>
      </c>
      <c r="O25">
        <v>0</v>
      </c>
      <c r="P25">
        <v>0</v>
      </c>
      <c r="Q25">
        <v>0</v>
      </c>
      <c r="R25">
        <v>0</v>
      </c>
    </row>
    <row r="26" spans="1:18" x14ac:dyDescent="0.2">
      <c r="A26" t="str">
        <f t="shared" si="0"/>
        <v>ICE.2020.6</v>
      </c>
      <c r="B26" t="s">
        <v>1403</v>
      </c>
      <c r="C26" t="str">
        <f t="shared" si="1"/>
        <v>6</v>
      </c>
      <c r="D26" t="str">
        <f t="shared" si="2"/>
        <v>2020</v>
      </c>
      <c r="E26" s="51" t="s">
        <v>1395</v>
      </c>
      <c r="J26">
        <v>-0.96250000000000002</v>
      </c>
      <c r="K26">
        <v>0.02</v>
      </c>
      <c r="L26">
        <v>0</v>
      </c>
      <c r="M26">
        <v>2520</v>
      </c>
      <c r="N26">
        <v>0</v>
      </c>
      <c r="O26">
        <v>0</v>
      </c>
      <c r="P26">
        <v>0</v>
      </c>
      <c r="Q26">
        <v>0</v>
      </c>
      <c r="R26">
        <v>0</v>
      </c>
    </row>
    <row r="27" spans="1:18" x14ac:dyDescent="0.2">
      <c r="A27" t="str">
        <f t="shared" si="0"/>
        <v>ICE.2020.7</v>
      </c>
      <c r="B27" t="s">
        <v>1403</v>
      </c>
      <c r="C27" t="str">
        <f t="shared" si="1"/>
        <v>7</v>
      </c>
      <c r="D27" t="str">
        <f t="shared" si="2"/>
        <v>2020</v>
      </c>
      <c r="E27" s="51" t="s">
        <v>1396</v>
      </c>
      <c r="J27">
        <v>-0.92249999999999999</v>
      </c>
      <c r="K27">
        <v>0.02</v>
      </c>
      <c r="L27">
        <v>0</v>
      </c>
      <c r="M27">
        <v>2821</v>
      </c>
      <c r="N27">
        <v>0</v>
      </c>
      <c r="O27">
        <v>0</v>
      </c>
      <c r="P27">
        <v>0</v>
      </c>
      <c r="Q27">
        <v>0</v>
      </c>
      <c r="R27">
        <v>0</v>
      </c>
    </row>
    <row r="28" spans="1:18" x14ac:dyDescent="0.2">
      <c r="A28" t="str">
        <f t="shared" si="0"/>
        <v>ICE.2020.8</v>
      </c>
      <c r="B28" t="s">
        <v>1403</v>
      </c>
      <c r="C28" t="str">
        <f t="shared" si="1"/>
        <v>8</v>
      </c>
      <c r="D28" t="str">
        <f t="shared" si="2"/>
        <v>2020</v>
      </c>
      <c r="E28" s="51" t="s">
        <v>1397</v>
      </c>
      <c r="J28">
        <v>-0.88500000000000001</v>
      </c>
      <c r="K28">
        <v>0.02</v>
      </c>
      <c r="L28">
        <v>0</v>
      </c>
      <c r="M28">
        <v>2821</v>
      </c>
      <c r="N28">
        <v>0</v>
      </c>
      <c r="O28">
        <v>0</v>
      </c>
      <c r="P28">
        <v>0</v>
      </c>
      <c r="Q28">
        <v>0</v>
      </c>
      <c r="R28">
        <v>0</v>
      </c>
    </row>
    <row r="29" spans="1:18" x14ac:dyDescent="0.2">
      <c r="A29" t="str">
        <f t="shared" si="0"/>
        <v>ICE.2020.9</v>
      </c>
      <c r="B29" t="s">
        <v>1403</v>
      </c>
      <c r="C29" t="str">
        <f t="shared" si="1"/>
        <v>9</v>
      </c>
      <c r="D29" t="str">
        <f t="shared" si="2"/>
        <v>2020</v>
      </c>
      <c r="E29" s="51" t="s">
        <v>1398</v>
      </c>
      <c r="J29">
        <v>-0.90749999999999997</v>
      </c>
      <c r="K29">
        <v>0.02</v>
      </c>
      <c r="L29">
        <v>0</v>
      </c>
      <c r="M29">
        <v>2730</v>
      </c>
      <c r="N29">
        <v>0</v>
      </c>
      <c r="O29">
        <v>0</v>
      </c>
      <c r="P29">
        <v>0</v>
      </c>
      <c r="Q29">
        <v>0</v>
      </c>
      <c r="R29">
        <v>0</v>
      </c>
    </row>
    <row r="30" spans="1:18" x14ac:dyDescent="0.2">
      <c r="A30" t="str">
        <f t="shared" si="0"/>
        <v>ICE.2020.10</v>
      </c>
      <c r="B30" t="s">
        <v>1403</v>
      </c>
      <c r="C30" t="str">
        <f t="shared" si="1"/>
        <v>10</v>
      </c>
      <c r="D30" t="str">
        <f t="shared" si="2"/>
        <v>2020</v>
      </c>
      <c r="E30" s="51" t="s">
        <v>1399</v>
      </c>
      <c r="J30">
        <v>-0.92249999999999999</v>
      </c>
      <c r="K30">
        <v>0.02</v>
      </c>
      <c r="L30">
        <v>0</v>
      </c>
      <c r="M30">
        <v>2604</v>
      </c>
      <c r="N30">
        <v>0</v>
      </c>
      <c r="O30">
        <v>0</v>
      </c>
      <c r="P30">
        <v>0</v>
      </c>
      <c r="Q30">
        <v>0</v>
      </c>
      <c r="R30">
        <v>0</v>
      </c>
    </row>
    <row r="31" spans="1:18" x14ac:dyDescent="0.2">
      <c r="A31" t="str">
        <f t="shared" si="0"/>
        <v>ICE.2020.11</v>
      </c>
      <c r="B31" t="s">
        <v>1403</v>
      </c>
      <c r="C31" t="str">
        <f t="shared" si="1"/>
        <v>11</v>
      </c>
      <c r="D31" t="str">
        <f t="shared" si="2"/>
        <v>2020</v>
      </c>
      <c r="E31" s="51" t="s">
        <v>1400</v>
      </c>
      <c r="J31">
        <v>-0.66249999999999998</v>
      </c>
      <c r="K31">
        <v>0.02</v>
      </c>
      <c r="L31">
        <v>0</v>
      </c>
      <c r="M31">
        <v>1290</v>
      </c>
      <c r="N31">
        <v>0</v>
      </c>
      <c r="O31">
        <v>0</v>
      </c>
      <c r="P31">
        <v>0</v>
      </c>
      <c r="Q31">
        <v>0</v>
      </c>
      <c r="R31">
        <v>0</v>
      </c>
    </row>
    <row r="32" spans="1:18" x14ac:dyDescent="0.2">
      <c r="A32" t="str">
        <f t="shared" si="0"/>
        <v>ICE.2020.12</v>
      </c>
      <c r="B32" t="s">
        <v>1403</v>
      </c>
      <c r="C32" t="str">
        <f t="shared" si="1"/>
        <v>12</v>
      </c>
      <c r="D32" t="str">
        <f t="shared" si="2"/>
        <v>2020</v>
      </c>
      <c r="E32" s="51" t="s">
        <v>1401</v>
      </c>
      <c r="J32">
        <v>-0.59499999999999997</v>
      </c>
      <c r="K32">
        <v>0.02</v>
      </c>
      <c r="L32">
        <v>0</v>
      </c>
      <c r="M32">
        <v>1333</v>
      </c>
      <c r="N32">
        <v>0</v>
      </c>
      <c r="O32">
        <v>0</v>
      </c>
      <c r="P32">
        <v>0</v>
      </c>
      <c r="Q32">
        <v>0</v>
      </c>
      <c r="R32">
        <v>0</v>
      </c>
    </row>
    <row r="33" spans="1:18" x14ac:dyDescent="0.2">
      <c r="A33" t="str">
        <f t="shared" si="0"/>
        <v>ICE.2021.1</v>
      </c>
      <c r="B33" t="s">
        <v>1403</v>
      </c>
      <c r="C33" t="str">
        <f t="shared" si="1"/>
        <v>1</v>
      </c>
      <c r="D33" t="str">
        <f t="shared" si="2"/>
        <v>2021</v>
      </c>
      <c r="E33" s="51" t="s">
        <v>1405</v>
      </c>
      <c r="J33">
        <v>-0.62749999999999995</v>
      </c>
      <c r="K33">
        <v>0.02</v>
      </c>
      <c r="L33">
        <v>124</v>
      </c>
      <c r="M33">
        <v>1054</v>
      </c>
      <c r="N33">
        <v>124</v>
      </c>
      <c r="O33">
        <v>0</v>
      </c>
      <c r="P33">
        <v>0</v>
      </c>
      <c r="Q33">
        <v>124</v>
      </c>
      <c r="R33">
        <v>0</v>
      </c>
    </row>
    <row r="34" spans="1:18" x14ac:dyDescent="0.2">
      <c r="A34" t="str">
        <f t="shared" si="0"/>
        <v>ICE.2021.2</v>
      </c>
      <c r="B34" t="s">
        <v>1403</v>
      </c>
      <c r="C34" t="str">
        <f t="shared" si="1"/>
        <v>2</v>
      </c>
      <c r="D34" t="str">
        <f t="shared" si="2"/>
        <v>2021</v>
      </c>
      <c r="E34" s="51" t="s">
        <v>1406</v>
      </c>
      <c r="J34">
        <v>-0.63749999999999996</v>
      </c>
      <c r="K34">
        <v>0.02</v>
      </c>
      <c r="L34">
        <v>112</v>
      </c>
      <c r="M34">
        <v>952</v>
      </c>
      <c r="N34">
        <v>112</v>
      </c>
      <c r="O34">
        <v>0</v>
      </c>
      <c r="P34">
        <v>0</v>
      </c>
      <c r="Q34">
        <v>112</v>
      </c>
      <c r="R34">
        <v>0</v>
      </c>
    </row>
    <row r="35" spans="1:18" x14ac:dyDescent="0.2">
      <c r="A35" t="str">
        <f t="shared" si="0"/>
        <v>ICE.2021.3</v>
      </c>
      <c r="B35" t="s">
        <v>1403</v>
      </c>
      <c r="C35" t="str">
        <f t="shared" si="1"/>
        <v>3</v>
      </c>
      <c r="D35" t="str">
        <f t="shared" si="2"/>
        <v>2021</v>
      </c>
      <c r="E35" s="51" t="s">
        <v>1407</v>
      </c>
      <c r="J35">
        <v>-0.67</v>
      </c>
      <c r="K35">
        <v>0.02</v>
      </c>
      <c r="L35">
        <v>124</v>
      </c>
      <c r="M35">
        <v>1054</v>
      </c>
      <c r="N35">
        <v>124</v>
      </c>
      <c r="O35">
        <v>0</v>
      </c>
      <c r="P35">
        <v>0</v>
      </c>
      <c r="Q35">
        <v>124</v>
      </c>
      <c r="R35">
        <v>0</v>
      </c>
    </row>
    <row r="36" spans="1:18" x14ac:dyDescent="0.2">
      <c r="A36" t="str">
        <f t="shared" si="0"/>
        <v>ICE.2021.4</v>
      </c>
      <c r="B36" t="s">
        <v>1403</v>
      </c>
      <c r="C36" t="str">
        <f t="shared" si="1"/>
        <v>4</v>
      </c>
      <c r="D36" t="str">
        <f t="shared" si="2"/>
        <v>2021</v>
      </c>
      <c r="E36" s="51" t="s">
        <v>1408</v>
      </c>
      <c r="J36">
        <v>-0.67249999999999999</v>
      </c>
      <c r="K36">
        <v>0.02</v>
      </c>
      <c r="L36">
        <v>120</v>
      </c>
      <c r="M36">
        <v>1140</v>
      </c>
      <c r="N36">
        <v>120</v>
      </c>
      <c r="O36">
        <v>0</v>
      </c>
      <c r="P36">
        <v>0</v>
      </c>
      <c r="Q36">
        <v>120</v>
      </c>
      <c r="R36">
        <v>0</v>
      </c>
    </row>
    <row r="37" spans="1:18" x14ac:dyDescent="0.2">
      <c r="A37" t="str">
        <f t="shared" si="0"/>
        <v>ICE.2021.5</v>
      </c>
      <c r="B37" t="s">
        <v>1403</v>
      </c>
      <c r="C37" t="str">
        <f t="shared" si="1"/>
        <v>5</v>
      </c>
      <c r="D37" t="str">
        <f t="shared" si="2"/>
        <v>2021</v>
      </c>
      <c r="E37" s="51" t="s">
        <v>1409</v>
      </c>
      <c r="J37">
        <v>-0.68</v>
      </c>
      <c r="K37">
        <v>0.02</v>
      </c>
      <c r="L37">
        <v>124</v>
      </c>
      <c r="M37">
        <v>1178</v>
      </c>
      <c r="N37">
        <v>124</v>
      </c>
      <c r="O37">
        <v>0</v>
      </c>
      <c r="P37">
        <v>0</v>
      </c>
      <c r="Q37">
        <v>124</v>
      </c>
      <c r="R37">
        <v>0</v>
      </c>
    </row>
    <row r="38" spans="1:18" x14ac:dyDescent="0.2">
      <c r="A38" t="str">
        <f t="shared" si="0"/>
        <v>ICE.2021.6</v>
      </c>
      <c r="B38" t="s">
        <v>1403</v>
      </c>
      <c r="C38" t="str">
        <f t="shared" si="1"/>
        <v>6</v>
      </c>
      <c r="D38" t="str">
        <f t="shared" si="2"/>
        <v>2021</v>
      </c>
      <c r="E38" s="51" t="s">
        <v>1410</v>
      </c>
      <c r="J38">
        <v>-0.67</v>
      </c>
      <c r="K38">
        <v>0.02</v>
      </c>
      <c r="L38">
        <v>120</v>
      </c>
      <c r="M38">
        <v>1140</v>
      </c>
      <c r="N38">
        <v>120</v>
      </c>
      <c r="O38">
        <v>0</v>
      </c>
      <c r="P38">
        <v>0</v>
      </c>
      <c r="Q38">
        <v>120</v>
      </c>
      <c r="R38">
        <v>0</v>
      </c>
    </row>
    <row r="39" spans="1:18" x14ac:dyDescent="0.2">
      <c r="A39" t="str">
        <f t="shared" si="0"/>
        <v>ICE.2021.7</v>
      </c>
      <c r="B39" t="s">
        <v>1403</v>
      </c>
      <c r="C39" t="str">
        <f t="shared" si="1"/>
        <v>7</v>
      </c>
      <c r="D39" t="str">
        <f t="shared" si="2"/>
        <v>2021</v>
      </c>
      <c r="E39" s="51" t="s">
        <v>1411</v>
      </c>
      <c r="J39">
        <v>-0.62749999999999995</v>
      </c>
      <c r="K39">
        <v>0.02</v>
      </c>
      <c r="L39">
        <v>124</v>
      </c>
      <c r="M39">
        <v>1178</v>
      </c>
      <c r="N39">
        <v>124</v>
      </c>
      <c r="O39">
        <v>0</v>
      </c>
      <c r="P39">
        <v>0</v>
      </c>
      <c r="Q39">
        <v>124</v>
      </c>
      <c r="R39">
        <v>0</v>
      </c>
    </row>
    <row r="40" spans="1:18" x14ac:dyDescent="0.2">
      <c r="A40" t="str">
        <f t="shared" si="0"/>
        <v>ICE.2021.8</v>
      </c>
      <c r="B40" t="s">
        <v>1403</v>
      </c>
      <c r="C40" t="str">
        <f t="shared" si="1"/>
        <v>8</v>
      </c>
      <c r="D40" t="str">
        <f t="shared" si="2"/>
        <v>2021</v>
      </c>
      <c r="E40" s="51" t="s">
        <v>1412</v>
      </c>
      <c r="J40">
        <v>-0.59499999999999997</v>
      </c>
      <c r="K40">
        <v>0.02</v>
      </c>
      <c r="L40">
        <v>124</v>
      </c>
      <c r="M40">
        <v>1178</v>
      </c>
      <c r="N40">
        <v>124</v>
      </c>
      <c r="O40">
        <v>0</v>
      </c>
      <c r="P40">
        <v>0</v>
      </c>
      <c r="Q40">
        <v>124</v>
      </c>
      <c r="R40">
        <v>0</v>
      </c>
    </row>
    <row r="41" spans="1:18" x14ac:dyDescent="0.2">
      <c r="A41" t="str">
        <f t="shared" si="0"/>
        <v>ICE.2021.9</v>
      </c>
      <c r="B41" t="s">
        <v>1403</v>
      </c>
      <c r="C41" t="str">
        <f t="shared" si="1"/>
        <v>9</v>
      </c>
      <c r="D41" t="str">
        <f t="shared" si="2"/>
        <v>2021</v>
      </c>
      <c r="E41" s="51" t="s">
        <v>1413</v>
      </c>
      <c r="J41">
        <v>-0.61250000000000004</v>
      </c>
      <c r="K41">
        <v>0.02</v>
      </c>
      <c r="L41">
        <v>120</v>
      </c>
      <c r="M41">
        <v>1140</v>
      </c>
      <c r="N41">
        <v>120</v>
      </c>
      <c r="O41">
        <v>0</v>
      </c>
      <c r="P41">
        <v>0</v>
      </c>
      <c r="Q41">
        <v>120</v>
      </c>
      <c r="R41">
        <v>0</v>
      </c>
    </row>
    <row r="42" spans="1:18" x14ac:dyDescent="0.2">
      <c r="A42" t="str">
        <f t="shared" si="0"/>
        <v>ICE.2021.10</v>
      </c>
      <c r="B42" t="s">
        <v>1403</v>
      </c>
      <c r="C42" t="str">
        <f t="shared" si="1"/>
        <v>10</v>
      </c>
      <c r="D42" t="str">
        <f t="shared" si="2"/>
        <v>2021</v>
      </c>
      <c r="E42" s="51" t="s">
        <v>1414</v>
      </c>
      <c r="J42">
        <v>-0.63249999999999995</v>
      </c>
      <c r="K42">
        <v>0.02</v>
      </c>
      <c r="L42">
        <v>124</v>
      </c>
      <c r="M42">
        <v>1178</v>
      </c>
      <c r="N42">
        <v>124</v>
      </c>
      <c r="O42">
        <v>0</v>
      </c>
      <c r="P42">
        <v>0</v>
      </c>
      <c r="Q42">
        <v>124</v>
      </c>
      <c r="R42">
        <v>0</v>
      </c>
    </row>
    <row r="43" spans="1:18" x14ac:dyDescent="0.2">
      <c r="A43" t="str">
        <f t="shared" si="0"/>
        <v>ICE.2021.11</v>
      </c>
      <c r="B43" t="s">
        <v>1403</v>
      </c>
      <c r="C43" t="str">
        <f t="shared" si="1"/>
        <v>11</v>
      </c>
      <c r="D43" t="str">
        <f t="shared" si="2"/>
        <v>2021</v>
      </c>
      <c r="E43" s="51" t="s">
        <v>1415</v>
      </c>
      <c r="J43">
        <v>-0.59499999999999997</v>
      </c>
      <c r="K43">
        <v>0.01</v>
      </c>
      <c r="L43">
        <v>120</v>
      </c>
      <c r="M43">
        <v>720</v>
      </c>
      <c r="N43">
        <v>120</v>
      </c>
      <c r="O43">
        <v>0</v>
      </c>
      <c r="P43">
        <v>0</v>
      </c>
      <c r="Q43">
        <v>120</v>
      </c>
      <c r="R43">
        <v>0</v>
      </c>
    </row>
    <row r="44" spans="1:18" x14ac:dyDescent="0.2">
      <c r="A44" t="str">
        <f t="shared" si="0"/>
        <v>ICE.2021.12</v>
      </c>
      <c r="B44" t="s">
        <v>1403</v>
      </c>
      <c r="C44" t="str">
        <f t="shared" si="1"/>
        <v>12</v>
      </c>
      <c r="D44" t="str">
        <f t="shared" si="2"/>
        <v>2021</v>
      </c>
      <c r="E44" s="51" t="s">
        <v>1416</v>
      </c>
      <c r="J44">
        <v>-0.56499999999999995</v>
      </c>
      <c r="K44">
        <v>0.01</v>
      </c>
      <c r="L44">
        <v>124</v>
      </c>
      <c r="M44">
        <v>744</v>
      </c>
      <c r="N44">
        <v>124</v>
      </c>
      <c r="O44">
        <v>0</v>
      </c>
      <c r="P44">
        <v>0</v>
      </c>
      <c r="Q44">
        <v>124</v>
      </c>
      <c r="R44">
        <v>0</v>
      </c>
    </row>
    <row r="45" spans="1:18" x14ac:dyDescent="0.2">
      <c r="A45" t="str">
        <f t="shared" si="0"/>
        <v>ICE.2022.1</v>
      </c>
      <c r="B45" t="s">
        <v>1403</v>
      </c>
      <c r="C45" t="str">
        <f t="shared" si="1"/>
        <v>1</v>
      </c>
      <c r="D45" t="str">
        <f t="shared" si="2"/>
        <v>2022</v>
      </c>
      <c r="E45" s="51" t="s">
        <v>1485</v>
      </c>
      <c r="J45">
        <v>-0.59750000000000003</v>
      </c>
      <c r="K45">
        <v>0.01</v>
      </c>
      <c r="L45">
        <v>124</v>
      </c>
      <c r="M45">
        <v>403</v>
      </c>
      <c r="N45">
        <v>124</v>
      </c>
      <c r="O45">
        <v>0</v>
      </c>
      <c r="P45">
        <v>0</v>
      </c>
      <c r="Q45">
        <v>124</v>
      </c>
      <c r="R45">
        <v>0</v>
      </c>
    </row>
    <row r="46" spans="1:18" x14ac:dyDescent="0.2">
      <c r="A46" t="str">
        <f t="shared" si="0"/>
        <v>ICE.2022.2</v>
      </c>
      <c r="B46" t="s">
        <v>1403</v>
      </c>
      <c r="C46" t="str">
        <f t="shared" si="1"/>
        <v>2</v>
      </c>
      <c r="D46" t="str">
        <f t="shared" si="2"/>
        <v>2022</v>
      </c>
      <c r="E46" s="51" t="s">
        <v>1486</v>
      </c>
      <c r="J46">
        <v>-0.60750000000000004</v>
      </c>
      <c r="K46">
        <v>0.01</v>
      </c>
      <c r="L46">
        <v>112</v>
      </c>
      <c r="M46">
        <v>364</v>
      </c>
      <c r="N46">
        <v>112</v>
      </c>
      <c r="O46">
        <v>0</v>
      </c>
      <c r="P46">
        <v>0</v>
      </c>
      <c r="Q46">
        <v>112</v>
      </c>
      <c r="R46">
        <v>0</v>
      </c>
    </row>
    <row r="47" spans="1:18" x14ac:dyDescent="0.2">
      <c r="A47" t="str">
        <f t="shared" si="0"/>
        <v>ICE.2022.3</v>
      </c>
      <c r="B47" t="s">
        <v>1403</v>
      </c>
      <c r="C47" t="str">
        <f t="shared" si="1"/>
        <v>3</v>
      </c>
      <c r="D47" t="str">
        <f t="shared" si="2"/>
        <v>2022</v>
      </c>
      <c r="E47" s="51" t="s">
        <v>1487</v>
      </c>
      <c r="J47">
        <v>-0.63749999999999996</v>
      </c>
      <c r="K47">
        <v>0.01</v>
      </c>
      <c r="L47">
        <v>124</v>
      </c>
      <c r="M47">
        <v>403</v>
      </c>
      <c r="N47">
        <v>124</v>
      </c>
      <c r="O47">
        <v>0</v>
      </c>
      <c r="P47">
        <v>0</v>
      </c>
      <c r="Q47">
        <v>124</v>
      </c>
      <c r="R47">
        <v>0</v>
      </c>
    </row>
    <row r="48" spans="1:18" x14ac:dyDescent="0.2">
      <c r="A48" t="str">
        <f t="shared" si="0"/>
        <v>ICE.2022.4</v>
      </c>
      <c r="B48" t="s">
        <v>1403</v>
      </c>
      <c r="C48" t="str">
        <f t="shared" si="1"/>
        <v>4</v>
      </c>
      <c r="D48" t="str">
        <f t="shared" si="2"/>
        <v>2022</v>
      </c>
      <c r="E48" s="51" t="s">
        <v>1488</v>
      </c>
      <c r="J48">
        <v>-0.58250000000000002</v>
      </c>
      <c r="K48">
        <v>-5.0000000000000001E-3</v>
      </c>
      <c r="L48">
        <v>120</v>
      </c>
      <c r="M48">
        <v>780</v>
      </c>
      <c r="N48">
        <v>120</v>
      </c>
      <c r="O48">
        <v>0</v>
      </c>
      <c r="P48">
        <v>0</v>
      </c>
      <c r="Q48">
        <v>120</v>
      </c>
      <c r="R48">
        <v>0</v>
      </c>
    </row>
    <row r="49" spans="1:18" x14ac:dyDescent="0.2">
      <c r="A49" t="str">
        <f t="shared" si="0"/>
        <v>ICE.2022.5</v>
      </c>
      <c r="B49" t="s">
        <v>1403</v>
      </c>
      <c r="C49" t="str">
        <f t="shared" si="1"/>
        <v>5</v>
      </c>
      <c r="D49" t="str">
        <f t="shared" si="2"/>
        <v>2022</v>
      </c>
      <c r="E49" s="51" t="s">
        <v>1489</v>
      </c>
      <c r="J49">
        <v>-0.59</v>
      </c>
      <c r="K49">
        <v>-5.0000000000000001E-3</v>
      </c>
      <c r="L49">
        <v>124</v>
      </c>
      <c r="M49">
        <v>806</v>
      </c>
      <c r="N49">
        <v>124</v>
      </c>
      <c r="O49">
        <v>0</v>
      </c>
      <c r="P49">
        <v>0</v>
      </c>
      <c r="Q49">
        <v>124</v>
      </c>
      <c r="R49">
        <v>0</v>
      </c>
    </row>
    <row r="50" spans="1:18" x14ac:dyDescent="0.2">
      <c r="A50" t="str">
        <f t="shared" si="0"/>
        <v>ICE.2022.6</v>
      </c>
      <c r="B50" t="s">
        <v>1403</v>
      </c>
      <c r="C50" t="str">
        <f t="shared" si="1"/>
        <v>6</v>
      </c>
      <c r="D50" t="str">
        <f t="shared" si="2"/>
        <v>2022</v>
      </c>
      <c r="E50" s="51" t="s">
        <v>1490</v>
      </c>
      <c r="J50">
        <v>-0.57999999999999996</v>
      </c>
      <c r="K50">
        <v>-5.0000000000000001E-3</v>
      </c>
      <c r="L50">
        <v>120</v>
      </c>
      <c r="M50">
        <v>780</v>
      </c>
      <c r="N50">
        <v>120</v>
      </c>
      <c r="O50">
        <v>0</v>
      </c>
      <c r="P50">
        <v>0</v>
      </c>
      <c r="Q50">
        <v>120</v>
      </c>
      <c r="R50">
        <v>0</v>
      </c>
    </row>
    <row r="51" spans="1:18" x14ac:dyDescent="0.2">
      <c r="A51" t="str">
        <f t="shared" si="0"/>
        <v>ICE.2022.7</v>
      </c>
      <c r="B51" t="s">
        <v>1403</v>
      </c>
      <c r="C51" t="str">
        <f t="shared" si="1"/>
        <v>7</v>
      </c>
      <c r="D51" t="str">
        <f t="shared" si="2"/>
        <v>2022</v>
      </c>
      <c r="E51" s="51" t="s">
        <v>1491</v>
      </c>
      <c r="J51">
        <v>-0.54</v>
      </c>
      <c r="K51">
        <v>-5.0000000000000001E-3</v>
      </c>
      <c r="L51">
        <v>124</v>
      </c>
      <c r="M51">
        <v>806</v>
      </c>
      <c r="N51">
        <v>124</v>
      </c>
      <c r="O51">
        <v>0</v>
      </c>
      <c r="P51">
        <v>0</v>
      </c>
      <c r="Q51">
        <v>124</v>
      </c>
      <c r="R51">
        <v>0</v>
      </c>
    </row>
    <row r="52" spans="1:18" x14ac:dyDescent="0.2">
      <c r="A52" t="str">
        <f t="shared" si="0"/>
        <v>ICE.2022.8</v>
      </c>
      <c r="B52" t="s">
        <v>1403</v>
      </c>
      <c r="C52" t="str">
        <f t="shared" si="1"/>
        <v>8</v>
      </c>
      <c r="D52" t="str">
        <f t="shared" si="2"/>
        <v>2022</v>
      </c>
      <c r="E52" s="51" t="s">
        <v>1492</v>
      </c>
      <c r="J52">
        <v>-0.51249999999999996</v>
      </c>
      <c r="K52">
        <v>-5.0000000000000001E-3</v>
      </c>
      <c r="L52">
        <v>124</v>
      </c>
      <c r="M52">
        <v>806</v>
      </c>
      <c r="N52">
        <v>124</v>
      </c>
      <c r="O52">
        <v>0</v>
      </c>
      <c r="P52">
        <v>0</v>
      </c>
      <c r="Q52">
        <v>124</v>
      </c>
      <c r="R52">
        <v>0</v>
      </c>
    </row>
    <row r="53" spans="1:18" x14ac:dyDescent="0.2">
      <c r="A53" t="str">
        <f t="shared" si="0"/>
        <v>ICE.2022.9</v>
      </c>
      <c r="B53" t="s">
        <v>1403</v>
      </c>
      <c r="C53" t="str">
        <f t="shared" si="1"/>
        <v>9</v>
      </c>
      <c r="D53" t="str">
        <f t="shared" si="2"/>
        <v>2022</v>
      </c>
      <c r="E53" s="51" t="s">
        <v>1493</v>
      </c>
      <c r="J53">
        <v>-0.53</v>
      </c>
      <c r="K53">
        <v>-5.0000000000000001E-3</v>
      </c>
      <c r="L53">
        <v>120</v>
      </c>
      <c r="M53">
        <v>780</v>
      </c>
      <c r="N53">
        <v>120</v>
      </c>
      <c r="O53">
        <v>0</v>
      </c>
      <c r="P53">
        <v>0</v>
      </c>
      <c r="Q53">
        <v>120</v>
      </c>
      <c r="R53">
        <v>0</v>
      </c>
    </row>
    <row r="54" spans="1:18" x14ac:dyDescent="0.2">
      <c r="A54" t="str">
        <f t="shared" si="0"/>
        <v>ICE.2022.10</v>
      </c>
      <c r="B54" t="s">
        <v>1403</v>
      </c>
      <c r="C54" t="str">
        <f t="shared" si="1"/>
        <v>10</v>
      </c>
      <c r="D54" t="str">
        <f t="shared" si="2"/>
        <v>2022</v>
      </c>
      <c r="E54" s="51" t="s">
        <v>1494</v>
      </c>
      <c r="J54">
        <v>-0.54749999999999999</v>
      </c>
      <c r="K54">
        <v>-5.0000000000000001E-3</v>
      </c>
      <c r="L54">
        <v>124</v>
      </c>
      <c r="M54">
        <v>806</v>
      </c>
      <c r="N54">
        <v>124</v>
      </c>
      <c r="O54">
        <v>0</v>
      </c>
      <c r="P54">
        <v>0</v>
      </c>
      <c r="Q54">
        <v>124</v>
      </c>
      <c r="R54">
        <v>0</v>
      </c>
    </row>
    <row r="55" spans="1:18" x14ac:dyDescent="0.2">
      <c r="A55" t="str">
        <f t="shared" si="0"/>
        <v>ICE.2022.11</v>
      </c>
      <c r="B55" t="s">
        <v>1403</v>
      </c>
      <c r="C55" t="str">
        <f t="shared" si="1"/>
        <v>11</v>
      </c>
      <c r="D55" t="str">
        <f t="shared" si="2"/>
        <v>2022</v>
      </c>
      <c r="E55" s="51" t="s">
        <v>1495</v>
      </c>
      <c r="J55">
        <v>-0.58750000000000002</v>
      </c>
      <c r="K55">
        <v>0</v>
      </c>
      <c r="L55">
        <v>120</v>
      </c>
      <c r="M55">
        <v>390</v>
      </c>
      <c r="N55">
        <v>60</v>
      </c>
      <c r="O55">
        <v>0</v>
      </c>
      <c r="P55">
        <v>0</v>
      </c>
      <c r="Q55">
        <v>120</v>
      </c>
      <c r="R55">
        <v>0</v>
      </c>
    </row>
    <row r="56" spans="1:18" x14ac:dyDescent="0.2">
      <c r="A56" t="str">
        <f t="shared" si="0"/>
        <v>ICE.2022.12</v>
      </c>
      <c r="B56" t="s">
        <v>1403</v>
      </c>
      <c r="C56" t="str">
        <f t="shared" si="1"/>
        <v>12</v>
      </c>
      <c r="D56" t="str">
        <f t="shared" si="2"/>
        <v>2022</v>
      </c>
      <c r="E56" s="51" t="s">
        <v>1496</v>
      </c>
      <c r="J56">
        <v>-0.56000000000000005</v>
      </c>
      <c r="K56">
        <v>0</v>
      </c>
      <c r="L56">
        <v>124</v>
      </c>
      <c r="M56">
        <v>403</v>
      </c>
      <c r="N56">
        <v>62</v>
      </c>
      <c r="O56">
        <v>0</v>
      </c>
      <c r="P56">
        <v>0</v>
      </c>
      <c r="Q56">
        <v>124</v>
      </c>
      <c r="R56">
        <v>0</v>
      </c>
    </row>
    <row r="57" spans="1:18" x14ac:dyDescent="0.2">
      <c r="A57" t="str">
        <f t="shared" si="0"/>
        <v>ICE.2023.1</v>
      </c>
      <c r="B57" t="s">
        <v>1403</v>
      </c>
      <c r="C57" t="str">
        <f t="shared" si="1"/>
        <v>1</v>
      </c>
      <c r="D57" t="str">
        <f t="shared" si="2"/>
        <v>2023</v>
      </c>
      <c r="E57" s="51" t="s">
        <v>1511</v>
      </c>
      <c r="J57">
        <v>-0.59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</row>
    <row r="58" spans="1:18" x14ac:dyDescent="0.2">
      <c r="A58" t="str">
        <f t="shared" si="0"/>
        <v>ICE.2023.2</v>
      </c>
      <c r="B58" t="s">
        <v>1403</v>
      </c>
      <c r="C58" t="str">
        <f t="shared" si="1"/>
        <v>2</v>
      </c>
      <c r="D58" t="str">
        <f t="shared" si="2"/>
        <v>2023</v>
      </c>
      <c r="E58" s="51" t="s">
        <v>1512</v>
      </c>
      <c r="J58">
        <v>-0.6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</row>
    <row r="59" spans="1:18" x14ac:dyDescent="0.2">
      <c r="A59" t="str">
        <f t="shared" si="0"/>
        <v>ICE.2023.3</v>
      </c>
      <c r="B59" t="s">
        <v>1403</v>
      </c>
      <c r="C59" t="str">
        <f t="shared" si="1"/>
        <v>3</v>
      </c>
      <c r="D59" t="str">
        <f t="shared" si="2"/>
        <v>2023</v>
      </c>
      <c r="E59" s="51" t="s">
        <v>1513</v>
      </c>
      <c r="J59">
        <v>-0.63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</row>
    <row r="60" spans="1:18" x14ac:dyDescent="0.2">
      <c r="A60" t="str">
        <f t="shared" si="0"/>
        <v>ICE.2023.4</v>
      </c>
      <c r="B60" t="s">
        <v>1403</v>
      </c>
      <c r="C60" t="str">
        <f t="shared" si="1"/>
        <v>4</v>
      </c>
      <c r="D60" t="str">
        <f t="shared" si="2"/>
        <v>2023</v>
      </c>
      <c r="E60" s="51" t="s">
        <v>1514</v>
      </c>
      <c r="J60">
        <v>-0.53500000000000003</v>
      </c>
      <c r="K60">
        <v>0</v>
      </c>
      <c r="L60">
        <v>0</v>
      </c>
      <c r="M60">
        <v>240</v>
      </c>
      <c r="N60">
        <v>0</v>
      </c>
      <c r="O60">
        <v>0</v>
      </c>
      <c r="P60">
        <v>0</v>
      </c>
      <c r="Q60">
        <v>0</v>
      </c>
      <c r="R60">
        <v>0</v>
      </c>
    </row>
    <row r="61" spans="1:18" x14ac:dyDescent="0.2">
      <c r="A61" t="str">
        <f t="shared" si="0"/>
        <v>ICE.2023.5</v>
      </c>
      <c r="B61" t="s">
        <v>1403</v>
      </c>
      <c r="C61" t="str">
        <f t="shared" si="1"/>
        <v>5</v>
      </c>
      <c r="D61" t="str">
        <f t="shared" si="2"/>
        <v>2023</v>
      </c>
      <c r="E61" s="51" t="s">
        <v>1515</v>
      </c>
      <c r="J61">
        <v>-0.54249999999999998</v>
      </c>
      <c r="K61">
        <v>0</v>
      </c>
      <c r="L61">
        <v>0</v>
      </c>
      <c r="M61">
        <v>248</v>
      </c>
      <c r="N61">
        <v>0</v>
      </c>
      <c r="O61">
        <v>0</v>
      </c>
      <c r="P61">
        <v>0</v>
      </c>
      <c r="Q61">
        <v>0</v>
      </c>
      <c r="R61">
        <v>0</v>
      </c>
    </row>
    <row r="62" spans="1:18" x14ac:dyDescent="0.2">
      <c r="A62" t="str">
        <f t="shared" si="0"/>
        <v>ICE.2023.6</v>
      </c>
      <c r="B62" t="s">
        <v>1403</v>
      </c>
      <c r="C62" t="str">
        <f t="shared" si="1"/>
        <v>6</v>
      </c>
      <c r="D62" t="str">
        <f t="shared" si="2"/>
        <v>2023</v>
      </c>
      <c r="E62" s="51" t="s">
        <v>1516</v>
      </c>
      <c r="J62">
        <v>-0.53249999999999997</v>
      </c>
      <c r="K62">
        <v>0</v>
      </c>
      <c r="L62">
        <v>0</v>
      </c>
      <c r="M62">
        <v>240</v>
      </c>
      <c r="N62">
        <v>0</v>
      </c>
      <c r="O62">
        <v>0</v>
      </c>
      <c r="P62">
        <v>0</v>
      </c>
      <c r="Q62">
        <v>0</v>
      </c>
      <c r="R62">
        <v>0</v>
      </c>
    </row>
    <row r="63" spans="1:18" x14ac:dyDescent="0.2">
      <c r="A63" t="str">
        <f t="shared" si="0"/>
        <v>ICE.2023.7</v>
      </c>
      <c r="B63" t="s">
        <v>1403</v>
      </c>
      <c r="C63" t="str">
        <f t="shared" si="1"/>
        <v>7</v>
      </c>
      <c r="D63" t="str">
        <f t="shared" si="2"/>
        <v>2023</v>
      </c>
      <c r="E63" s="51" t="s">
        <v>1517</v>
      </c>
      <c r="J63">
        <v>-0.4975</v>
      </c>
      <c r="K63">
        <v>0</v>
      </c>
      <c r="L63">
        <v>0</v>
      </c>
      <c r="M63">
        <v>248</v>
      </c>
      <c r="N63">
        <v>0</v>
      </c>
      <c r="O63">
        <v>0</v>
      </c>
      <c r="P63">
        <v>0</v>
      </c>
      <c r="Q63">
        <v>0</v>
      </c>
      <c r="R63">
        <v>0</v>
      </c>
    </row>
    <row r="64" spans="1:18" x14ac:dyDescent="0.2">
      <c r="A64" t="str">
        <f t="shared" si="0"/>
        <v>ICE.2023.8</v>
      </c>
      <c r="B64" t="s">
        <v>1403</v>
      </c>
      <c r="C64" t="str">
        <f t="shared" si="1"/>
        <v>8</v>
      </c>
      <c r="D64" t="str">
        <f t="shared" si="2"/>
        <v>2023</v>
      </c>
      <c r="E64" s="51" t="s">
        <v>1518</v>
      </c>
      <c r="J64">
        <v>-0.47</v>
      </c>
      <c r="K64">
        <v>0</v>
      </c>
      <c r="L64">
        <v>0</v>
      </c>
      <c r="M64">
        <v>248</v>
      </c>
      <c r="N64">
        <v>0</v>
      </c>
      <c r="O64">
        <v>0</v>
      </c>
      <c r="P64">
        <v>0</v>
      </c>
      <c r="Q64">
        <v>0</v>
      </c>
      <c r="R64">
        <v>0</v>
      </c>
    </row>
    <row r="65" spans="1:18" x14ac:dyDescent="0.2">
      <c r="A65" t="str">
        <f t="shared" si="0"/>
        <v>ICE.2023.9</v>
      </c>
      <c r="B65" t="s">
        <v>1403</v>
      </c>
      <c r="C65" t="str">
        <f t="shared" si="1"/>
        <v>9</v>
      </c>
      <c r="D65" t="str">
        <f t="shared" si="2"/>
        <v>2023</v>
      </c>
      <c r="E65" s="51" t="s">
        <v>1519</v>
      </c>
      <c r="J65">
        <v>-0.48499999999999999</v>
      </c>
      <c r="K65">
        <v>0</v>
      </c>
      <c r="L65">
        <v>0</v>
      </c>
      <c r="M65">
        <v>240</v>
      </c>
      <c r="N65">
        <v>0</v>
      </c>
      <c r="O65">
        <v>0</v>
      </c>
      <c r="P65">
        <v>0</v>
      </c>
      <c r="Q65">
        <v>0</v>
      </c>
      <c r="R65">
        <v>0</v>
      </c>
    </row>
    <row r="66" spans="1:18" x14ac:dyDescent="0.2">
      <c r="A66" t="str">
        <f t="shared" si="0"/>
        <v>ICE.2023.10</v>
      </c>
      <c r="B66" t="s">
        <v>1403</v>
      </c>
      <c r="C66" t="str">
        <f t="shared" si="1"/>
        <v>10</v>
      </c>
      <c r="D66" t="str">
        <f t="shared" si="2"/>
        <v>2023</v>
      </c>
      <c r="E66" s="51" t="s">
        <v>1520</v>
      </c>
      <c r="J66">
        <v>-0.50249999999999995</v>
      </c>
      <c r="K66">
        <v>0</v>
      </c>
      <c r="L66">
        <v>0</v>
      </c>
      <c r="M66">
        <v>248</v>
      </c>
      <c r="N66">
        <v>0</v>
      </c>
      <c r="O66">
        <v>0</v>
      </c>
      <c r="P66">
        <v>0</v>
      </c>
      <c r="Q66">
        <v>0</v>
      </c>
      <c r="R66">
        <v>0</v>
      </c>
    </row>
    <row r="67" spans="1:18" x14ac:dyDescent="0.2">
      <c r="A67" t="str">
        <f t="shared" ref="A67:A80" si="3">B67&amp;"."&amp;D67&amp;"."&amp;C67</f>
        <v>ICE.2023.11</v>
      </c>
      <c r="B67" t="s">
        <v>1403</v>
      </c>
      <c r="C67" t="str">
        <f t="shared" ref="C67:C80" si="4">TEXT(DATEVALUE("1"&amp;E67),"M")</f>
        <v>11</v>
      </c>
      <c r="D67" t="str">
        <f t="shared" ref="D67:D80" si="5">TEXT(DATEVALUE("1"&amp;E67),"YYYY")</f>
        <v>2023</v>
      </c>
      <c r="E67" s="51" t="s">
        <v>1521</v>
      </c>
      <c r="J67">
        <v>-0.56999999999999995</v>
      </c>
      <c r="K67">
        <v>0</v>
      </c>
      <c r="L67">
        <v>0</v>
      </c>
      <c r="M67">
        <v>240</v>
      </c>
      <c r="N67">
        <v>0</v>
      </c>
      <c r="O67">
        <v>0</v>
      </c>
      <c r="P67">
        <v>0</v>
      </c>
      <c r="Q67">
        <v>0</v>
      </c>
      <c r="R67">
        <v>0</v>
      </c>
    </row>
    <row r="68" spans="1:18" x14ac:dyDescent="0.2">
      <c r="A68" t="str">
        <f t="shared" si="3"/>
        <v>ICE.2023.12</v>
      </c>
      <c r="B68" t="s">
        <v>1403</v>
      </c>
      <c r="C68" t="str">
        <f t="shared" si="4"/>
        <v>12</v>
      </c>
      <c r="D68" t="str">
        <f t="shared" si="5"/>
        <v>2023</v>
      </c>
      <c r="E68" s="51" t="s">
        <v>1522</v>
      </c>
      <c r="J68">
        <v>-0.54500000000000004</v>
      </c>
      <c r="K68">
        <v>0</v>
      </c>
      <c r="L68">
        <v>0</v>
      </c>
      <c r="M68">
        <v>248</v>
      </c>
      <c r="N68">
        <v>0</v>
      </c>
      <c r="O68">
        <v>0</v>
      </c>
      <c r="P68">
        <v>0</v>
      </c>
      <c r="Q68">
        <v>0</v>
      </c>
      <c r="R68">
        <v>0</v>
      </c>
    </row>
    <row r="69" spans="1:18" x14ac:dyDescent="0.2">
      <c r="A69" t="str">
        <f t="shared" si="3"/>
        <v>ICE.2024.1</v>
      </c>
      <c r="B69" t="s">
        <v>1403</v>
      </c>
      <c r="C69" t="str">
        <f t="shared" si="4"/>
        <v>1</v>
      </c>
      <c r="D69" t="str">
        <f t="shared" si="5"/>
        <v>2024</v>
      </c>
      <c r="E69" s="51" t="s">
        <v>1523</v>
      </c>
      <c r="J69">
        <v>-0.57499999999999996</v>
      </c>
      <c r="K69">
        <v>0</v>
      </c>
      <c r="L69">
        <v>0</v>
      </c>
      <c r="M69">
        <v>248</v>
      </c>
      <c r="N69">
        <v>0</v>
      </c>
      <c r="O69">
        <v>0</v>
      </c>
      <c r="P69">
        <v>0</v>
      </c>
      <c r="Q69">
        <v>0</v>
      </c>
      <c r="R69">
        <v>0</v>
      </c>
    </row>
    <row r="70" spans="1:18" x14ac:dyDescent="0.2">
      <c r="A70" t="str">
        <f t="shared" si="3"/>
        <v>ICE.2024.2</v>
      </c>
      <c r="B70" t="s">
        <v>1403</v>
      </c>
      <c r="C70" t="str">
        <f t="shared" si="4"/>
        <v>2</v>
      </c>
      <c r="D70" t="str">
        <f t="shared" si="5"/>
        <v>2024</v>
      </c>
      <c r="E70" s="51" t="s">
        <v>1524</v>
      </c>
      <c r="J70">
        <v>-0.58250000000000002</v>
      </c>
      <c r="K70">
        <v>0</v>
      </c>
      <c r="L70">
        <v>0</v>
      </c>
      <c r="M70">
        <v>232</v>
      </c>
      <c r="N70">
        <v>0</v>
      </c>
      <c r="O70">
        <v>0</v>
      </c>
      <c r="P70">
        <v>0</v>
      </c>
      <c r="Q70">
        <v>0</v>
      </c>
      <c r="R70">
        <v>0</v>
      </c>
    </row>
    <row r="71" spans="1:18" x14ac:dyDescent="0.2">
      <c r="A71" t="str">
        <f t="shared" si="3"/>
        <v>ICE.2024.3</v>
      </c>
      <c r="B71" t="s">
        <v>1403</v>
      </c>
      <c r="C71" t="str">
        <f t="shared" si="4"/>
        <v>3</v>
      </c>
      <c r="D71" t="str">
        <f t="shared" si="5"/>
        <v>2024</v>
      </c>
      <c r="E71" s="51" t="s">
        <v>1525</v>
      </c>
      <c r="J71">
        <v>-0.61</v>
      </c>
      <c r="K71">
        <v>0</v>
      </c>
      <c r="L71">
        <v>0</v>
      </c>
      <c r="M71">
        <v>248</v>
      </c>
      <c r="N71">
        <v>0</v>
      </c>
      <c r="O71">
        <v>0</v>
      </c>
      <c r="P71">
        <v>0</v>
      </c>
      <c r="Q71">
        <v>0</v>
      </c>
      <c r="R71">
        <v>0</v>
      </c>
    </row>
    <row r="72" spans="1:18" x14ac:dyDescent="0.2">
      <c r="A72" t="str">
        <f t="shared" si="3"/>
        <v>ICE.2024.4</v>
      </c>
      <c r="B72" t="s">
        <v>1403</v>
      </c>
      <c r="C72" t="str">
        <f t="shared" si="4"/>
        <v>4</v>
      </c>
      <c r="D72" t="str">
        <f t="shared" si="5"/>
        <v>2024</v>
      </c>
      <c r="E72" s="51" t="s">
        <v>1526</v>
      </c>
      <c r="J72">
        <v>-0.54749999999999999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</row>
    <row r="73" spans="1:18" x14ac:dyDescent="0.2">
      <c r="A73" t="str">
        <f t="shared" si="3"/>
        <v>ICE.2024.5</v>
      </c>
      <c r="B73" t="s">
        <v>1403</v>
      </c>
      <c r="C73" t="str">
        <f t="shared" si="4"/>
        <v>5</v>
      </c>
      <c r="D73" t="str">
        <f t="shared" si="5"/>
        <v>2024</v>
      </c>
      <c r="E73" s="51" t="s">
        <v>1527</v>
      </c>
      <c r="J73">
        <v>-0.55500000000000005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</row>
    <row r="74" spans="1:18" x14ac:dyDescent="0.2">
      <c r="A74" t="str">
        <f t="shared" si="3"/>
        <v>ICE.2024.6</v>
      </c>
      <c r="B74" t="s">
        <v>1403</v>
      </c>
      <c r="C74" t="str">
        <f t="shared" si="4"/>
        <v>6</v>
      </c>
      <c r="D74" t="str">
        <f t="shared" si="5"/>
        <v>2024</v>
      </c>
      <c r="E74" s="51" t="s">
        <v>1528</v>
      </c>
      <c r="J74">
        <v>-0.54500000000000004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</row>
    <row r="75" spans="1:18" x14ac:dyDescent="0.2">
      <c r="A75" t="str">
        <f t="shared" si="3"/>
        <v>ICE.2024.7</v>
      </c>
      <c r="B75" t="s">
        <v>1403</v>
      </c>
      <c r="C75" t="str">
        <f t="shared" si="4"/>
        <v>7</v>
      </c>
      <c r="D75" t="str">
        <f t="shared" si="5"/>
        <v>2024</v>
      </c>
      <c r="E75" s="51" t="s">
        <v>1529</v>
      </c>
      <c r="J75">
        <v>-0.51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</row>
    <row r="76" spans="1:18" x14ac:dyDescent="0.2">
      <c r="A76" t="str">
        <f t="shared" si="3"/>
        <v>ICE.2024.8</v>
      </c>
      <c r="B76" t="s">
        <v>1403</v>
      </c>
      <c r="C76" t="str">
        <f t="shared" si="4"/>
        <v>8</v>
      </c>
      <c r="D76" t="str">
        <f t="shared" si="5"/>
        <v>2024</v>
      </c>
      <c r="E76" s="51" t="s">
        <v>1530</v>
      </c>
      <c r="J76">
        <v>-0.48499999999999999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</row>
    <row r="77" spans="1:18" x14ac:dyDescent="0.2">
      <c r="A77" t="str">
        <f t="shared" si="3"/>
        <v>ICE.2024.9</v>
      </c>
      <c r="B77" t="s">
        <v>1403</v>
      </c>
      <c r="C77" t="str">
        <f t="shared" si="4"/>
        <v>9</v>
      </c>
      <c r="D77" t="str">
        <f t="shared" si="5"/>
        <v>2024</v>
      </c>
      <c r="E77" s="51" t="s">
        <v>1531</v>
      </c>
      <c r="J77">
        <v>-0.5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</row>
    <row r="78" spans="1:18" x14ac:dyDescent="0.2">
      <c r="A78" t="str">
        <f t="shared" si="3"/>
        <v>ICE.2024.10</v>
      </c>
      <c r="B78" t="s">
        <v>1403</v>
      </c>
      <c r="C78" t="str">
        <f t="shared" si="4"/>
        <v>10</v>
      </c>
      <c r="D78" t="str">
        <f t="shared" si="5"/>
        <v>2024</v>
      </c>
      <c r="E78" s="51" t="s">
        <v>1532</v>
      </c>
      <c r="J78">
        <v>-0.51500000000000001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</row>
    <row r="79" spans="1:18" x14ac:dyDescent="0.2">
      <c r="A79" t="str">
        <f t="shared" si="3"/>
        <v>ICE.2024.11</v>
      </c>
      <c r="B79" t="s">
        <v>1403</v>
      </c>
      <c r="C79" t="str">
        <f t="shared" si="4"/>
        <v>11</v>
      </c>
      <c r="D79" t="str">
        <f t="shared" si="5"/>
        <v>2024</v>
      </c>
      <c r="E79" s="51" t="s">
        <v>1533</v>
      </c>
      <c r="J79">
        <v>-0.51749999999999996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</row>
    <row r="80" spans="1:18" x14ac:dyDescent="0.2">
      <c r="A80" t="str">
        <f t="shared" si="3"/>
        <v>ICE.2024.12</v>
      </c>
      <c r="B80" t="s">
        <v>1403</v>
      </c>
      <c r="C80" t="str">
        <f t="shared" si="4"/>
        <v>12</v>
      </c>
      <c r="D80" t="str">
        <f t="shared" si="5"/>
        <v>2024</v>
      </c>
      <c r="E80" s="51" t="s">
        <v>1534</v>
      </c>
      <c r="J80">
        <v>-0.49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AHPrevious"/>
  <dimension ref="A1:F62"/>
  <sheetViews>
    <sheetView workbookViewId="0">
      <selection activeCell="L3" sqref="L3:L10"/>
    </sheetView>
  </sheetViews>
  <sheetFormatPr defaultRowHeight="12.75" x14ac:dyDescent="0.2"/>
  <cols>
    <col min="1" max="1" width="81.140625" bestFit="1" customWidth="1"/>
  </cols>
  <sheetData>
    <row r="1" spans="1:6" s="1" customFormat="1" x14ac:dyDescent="0.2">
      <c r="A1" s="1" t="s">
        <v>1020</v>
      </c>
      <c r="C1" s="1" t="s">
        <v>1444</v>
      </c>
      <c r="D1" s="1" t="s">
        <v>1445</v>
      </c>
      <c r="E1" s="1" t="s">
        <v>976</v>
      </c>
      <c r="F1" s="45">
        <v>41221</v>
      </c>
    </row>
    <row r="2" spans="1:6" x14ac:dyDescent="0.2">
      <c r="A2" t="s">
        <v>669</v>
      </c>
      <c r="B2" t="s">
        <v>1446</v>
      </c>
      <c r="C2">
        <v>0</v>
      </c>
      <c r="D2">
        <v>0</v>
      </c>
      <c r="E2">
        <v>0</v>
      </c>
    </row>
    <row r="3" spans="1:6" x14ac:dyDescent="0.2">
      <c r="A3" t="s">
        <v>670</v>
      </c>
      <c r="B3" t="s">
        <v>1446</v>
      </c>
      <c r="C3">
        <v>0</v>
      </c>
      <c r="D3">
        <v>0</v>
      </c>
      <c r="E3">
        <v>248</v>
      </c>
    </row>
    <row r="4" spans="1:6" x14ac:dyDescent="0.2">
      <c r="A4" t="s">
        <v>671</v>
      </c>
      <c r="B4" t="s">
        <v>1446</v>
      </c>
      <c r="C4">
        <v>0</v>
      </c>
      <c r="D4">
        <v>0</v>
      </c>
      <c r="E4">
        <v>224</v>
      </c>
    </row>
    <row r="5" spans="1:6" x14ac:dyDescent="0.2">
      <c r="A5" t="s">
        <v>672</v>
      </c>
      <c r="B5" t="s">
        <v>1446</v>
      </c>
      <c r="C5">
        <v>0</v>
      </c>
      <c r="D5">
        <v>0</v>
      </c>
      <c r="E5">
        <v>248</v>
      </c>
    </row>
    <row r="6" spans="1:6" x14ac:dyDescent="0.2">
      <c r="A6" t="s">
        <v>673</v>
      </c>
      <c r="B6" t="s">
        <v>1446</v>
      </c>
      <c r="C6">
        <v>0</v>
      </c>
      <c r="D6">
        <v>0</v>
      </c>
      <c r="E6">
        <v>240</v>
      </c>
    </row>
    <row r="7" spans="1:6" x14ac:dyDescent="0.2">
      <c r="A7" t="s">
        <v>674</v>
      </c>
      <c r="B7" t="s">
        <v>1446</v>
      </c>
      <c r="C7">
        <v>0</v>
      </c>
      <c r="D7">
        <v>0</v>
      </c>
      <c r="E7">
        <v>248</v>
      </c>
    </row>
    <row r="8" spans="1:6" x14ac:dyDescent="0.2">
      <c r="A8" t="s">
        <v>675</v>
      </c>
      <c r="B8" t="s">
        <v>1446</v>
      </c>
      <c r="C8">
        <v>0</v>
      </c>
      <c r="D8">
        <v>0</v>
      </c>
      <c r="E8">
        <v>240</v>
      </c>
    </row>
    <row r="9" spans="1:6" x14ac:dyDescent="0.2">
      <c r="A9" t="s">
        <v>676</v>
      </c>
      <c r="B9" t="s">
        <v>1446</v>
      </c>
      <c r="C9">
        <v>0</v>
      </c>
      <c r="D9">
        <v>0</v>
      </c>
      <c r="E9">
        <v>248</v>
      </c>
    </row>
    <row r="10" spans="1:6" x14ac:dyDescent="0.2">
      <c r="A10" t="s">
        <v>677</v>
      </c>
      <c r="B10" t="s">
        <v>1446</v>
      </c>
      <c r="C10">
        <v>0</v>
      </c>
      <c r="D10">
        <v>0</v>
      </c>
      <c r="E10">
        <v>248</v>
      </c>
    </row>
    <row r="11" spans="1:6" x14ac:dyDescent="0.2">
      <c r="A11" t="s">
        <v>678</v>
      </c>
      <c r="B11" t="s">
        <v>1446</v>
      </c>
      <c r="C11">
        <v>0</v>
      </c>
      <c r="D11">
        <v>0</v>
      </c>
      <c r="E11">
        <v>240</v>
      </c>
    </row>
    <row r="12" spans="1:6" x14ac:dyDescent="0.2">
      <c r="A12" t="s">
        <v>679</v>
      </c>
      <c r="B12" t="s">
        <v>1446</v>
      </c>
      <c r="C12">
        <v>0</v>
      </c>
      <c r="D12">
        <v>0</v>
      </c>
      <c r="E12">
        <v>248</v>
      </c>
    </row>
    <row r="13" spans="1:6" x14ac:dyDescent="0.2">
      <c r="A13" t="s">
        <v>680</v>
      </c>
      <c r="B13" t="s">
        <v>1446</v>
      </c>
      <c r="C13">
        <v>0</v>
      </c>
      <c r="D13">
        <v>0</v>
      </c>
      <c r="E13">
        <v>240</v>
      </c>
    </row>
    <row r="14" spans="1:6" x14ac:dyDescent="0.2">
      <c r="A14" t="s">
        <v>681</v>
      </c>
      <c r="B14" t="s">
        <v>1446</v>
      </c>
      <c r="C14">
        <v>0</v>
      </c>
      <c r="D14">
        <v>0</v>
      </c>
      <c r="E14">
        <v>248</v>
      </c>
    </row>
    <row r="15" spans="1:6" x14ac:dyDescent="0.2">
      <c r="A15" t="s">
        <v>682</v>
      </c>
      <c r="B15" t="s">
        <v>1446</v>
      </c>
      <c r="C15">
        <v>0</v>
      </c>
      <c r="D15">
        <v>0</v>
      </c>
      <c r="E15">
        <v>248</v>
      </c>
    </row>
    <row r="16" spans="1:6" x14ac:dyDescent="0.2">
      <c r="A16" t="s">
        <v>683</v>
      </c>
      <c r="B16" t="s">
        <v>1446</v>
      </c>
      <c r="C16">
        <v>0</v>
      </c>
      <c r="D16">
        <v>0</v>
      </c>
      <c r="E16">
        <v>224</v>
      </c>
    </row>
    <row r="17" spans="1:5" x14ac:dyDescent="0.2">
      <c r="A17" t="s">
        <v>684</v>
      </c>
      <c r="B17" t="s">
        <v>1446</v>
      </c>
      <c r="C17">
        <v>0</v>
      </c>
      <c r="D17">
        <v>0</v>
      </c>
      <c r="E17">
        <v>248</v>
      </c>
    </row>
    <row r="18" spans="1:5" x14ac:dyDescent="0.2">
      <c r="A18" t="s">
        <v>685</v>
      </c>
      <c r="B18" t="s">
        <v>1446</v>
      </c>
      <c r="C18">
        <v>0</v>
      </c>
      <c r="D18">
        <v>0</v>
      </c>
      <c r="E18">
        <v>0</v>
      </c>
    </row>
    <row r="19" spans="1:5" x14ac:dyDescent="0.2">
      <c r="A19" t="s">
        <v>686</v>
      </c>
      <c r="B19" t="s">
        <v>1446</v>
      </c>
      <c r="C19">
        <v>0</v>
      </c>
      <c r="D19">
        <v>0</v>
      </c>
      <c r="E19">
        <v>0</v>
      </c>
    </row>
    <row r="20" spans="1:5" x14ac:dyDescent="0.2">
      <c r="A20" t="s">
        <v>687</v>
      </c>
      <c r="B20" t="s">
        <v>1446</v>
      </c>
      <c r="C20">
        <v>0</v>
      </c>
      <c r="D20">
        <v>0</v>
      </c>
      <c r="E20">
        <v>0</v>
      </c>
    </row>
    <row r="21" spans="1:5" x14ac:dyDescent="0.2">
      <c r="A21" t="s">
        <v>688</v>
      </c>
      <c r="B21" t="s">
        <v>1446</v>
      </c>
      <c r="C21">
        <v>0</v>
      </c>
      <c r="D21">
        <v>0</v>
      </c>
      <c r="E21">
        <v>0</v>
      </c>
    </row>
    <row r="22" spans="1:5" x14ac:dyDescent="0.2">
      <c r="A22" t="s">
        <v>689</v>
      </c>
      <c r="B22" t="s">
        <v>1446</v>
      </c>
      <c r="C22">
        <v>0</v>
      </c>
      <c r="D22">
        <v>0</v>
      </c>
      <c r="E22">
        <v>0</v>
      </c>
    </row>
    <row r="23" spans="1:5" x14ac:dyDescent="0.2">
      <c r="A23" t="s">
        <v>690</v>
      </c>
      <c r="B23" t="s">
        <v>1446</v>
      </c>
      <c r="C23">
        <v>0</v>
      </c>
      <c r="D23">
        <v>0</v>
      </c>
      <c r="E23">
        <v>0</v>
      </c>
    </row>
    <row r="24" spans="1:5" x14ac:dyDescent="0.2">
      <c r="A24" t="s">
        <v>691</v>
      </c>
      <c r="B24" t="s">
        <v>1446</v>
      </c>
      <c r="C24">
        <v>0</v>
      </c>
      <c r="D24">
        <v>0</v>
      </c>
      <c r="E24">
        <v>0</v>
      </c>
    </row>
    <row r="25" spans="1:5" x14ac:dyDescent="0.2">
      <c r="A25" t="s">
        <v>692</v>
      </c>
      <c r="B25" t="s">
        <v>1446</v>
      </c>
      <c r="C25">
        <v>0</v>
      </c>
      <c r="D25">
        <v>0</v>
      </c>
      <c r="E25">
        <v>0</v>
      </c>
    </row>
    <row r="26" spans="1:5" x14ac:dyDescent="0.2">
      <c r="A26" t="s">
        <v>693</v>
      </c>
      <c r="B26" t="s">
        <v>1446</v>
      </c>
      <c r="C26">
        <v>0</v>
      </c>
      <c r="D26">
        <v>0</v>
      </c>
      <c r="E26">
        <v>0</v>
      </c>
    </row>
    <row r="27" spans="1:5" x14ac:dyDescent="0.2">
      <c r="A27" t="s">
        <v>694</v>
      </c>
      <c r="B27" t="s">
        <v>1446</v>
      </c>
      <c r="C27">
        <v>0</v>
      </c>
      <c r="D27">
        <v>0</v>
      </c>
      <c r="E27">
        <v>0</v>
      </c>
    </row>
    <row r="28" spans="1:5" x14ac:dyDescent="0.2">
      <c r="A28" t="s">
        <v>695</v>
      </c>
      <c r="B28" t="s">
        <v>1446</v>
      </c>
      <c r="C28">
        <v>0</v>
      </c>
      <c r="D28">
        <v>0</v>
      </c>
      <c r="E28">
        <v>0</v>
      </c>
    </row>
    <row r="29" spans="1:5" x14ac:dyDescent="0.2">
      <c r="A29" t="s">
        <v>696</v>
      </c>
      <c r="B29" t="s">
        <v>1446</v>
      </c>
      <c r="C29">
        <v>0</v>
      </c>
      <c r="D29">
        <v>0</v>
      </c>
      <c r="E29">
        <v>0</v>
      </c>
    </row>
    <row r="30" spans="1:5" x14ac:dyDescent="0.2">
      <c r="A30" t="s">
        <v>697</v>
      </c>
      <c r="B30" t="s">
        <v>1446</v>
      </c>
      <c r="C30">
        <v>0</v>
      </c>
      <c r="D30">
        <v>0</v>
      </c>
      <c r="E30">
        <v>0</v>
      </c>
    </row>
    <row r="31" spans="1:5" x14ac:dyDescent="0.2">
      <c r="A31" t="s">
        <v>698</v>
      </c>
      <c r="B31" t="s">
        <v>1446</v>
      </c>
      <c r="C31">
        <v>0</v>
      </c>
      <c r="D31">
        <v>0</v>
      </c>
      <c r="E31">
        <v>0</v>
      </c>
    </row>
    <row r="32" spans="1:5" x14ac:dyDescent="0.2">
      <c r="A32" t="s">
        <v>87</v>
      </c>
      <c r="B32" t="s">
        <v>1446</v>
      </c>
      <c r="C32">
        <v>0</v>
      </c>
      <c r="D32">
        <v>0</v>
      </c>
      <c r="E32">
        <v>0</v>
      </c>
    </row>
    <row r="33" spans="1:5" x14ac:dyDescent="0.2">
      <c r="A33" t="s">
        <v>88</v>
      </c>
      <c r="B33" t="s">
        <v>1446</v>
      </c>
      <c r="C33">
        <v>0</v>
      </c>
      <c r="D33">
        <v>0</v>
      </c>
      <c r="E33">
        <v>0</v>
      </c>
    </row>
    <row r="34" spans="1:5" x14ac:dyDescent="0.2">
      <c r="A34" t="s">
        <v>89</v>
      </c>
      <c r="B34" t="s">
        <v>1446</v>
      </c>
      <c r="C34">
        <v>0</v>
      </c>
      <c r="D34">
        <v>0</v>
      </c>
      <c r="E34">
        <v>0</v>
      </c>
    </row>
    <row r="35" spans="1:5" x14ac:dyDescent="0.2">
      <c r="A35" t="s">
        <v>90</v>
      </c>
      <c r="B35" t="s">
        <v>1446</v>
      </c>
      <c r="C35">
        <v>0</v>
      </c>
      <c r="D35">
        <v>0</v>
      </c>
      <c r="E35">
        <v>0</v>
      </c>
    </row>
    <row r="36" spans="1:5" x14ac:dyDescent="0.2">
      <c r="A36" t="s">
        <v>91</v>
      </c>
      <c r="B36" t="s">
        <v>1446</v>
      </c>
      <c r="C36">
        <v>0</v>
      </c>
      <c r="D36">
        <v>0</v>
      </c>
      <c r="E36">
        <v>0</v>
      </c>
    </row>
    <row r="37" spans="1:5" x14ac:dyDescent="0.2">
      <c r="A37" t="s">
        <v>92</v>
      </c>
      <c r="B37" t="s">
        <v>1446</v>
      </c>
      <c r="C37">
        <v>0</v>
      </c>
      <c r="D37">
        <v>0</v>
      </c>
      <c r="E37">
        <v>0</v>
      </c>
    </row>
    <row r="38" spans="1:5" x14ac:dyDescent="0.2">
      <c r="A38" t="s">
        <v>93</v>
      </c>
      <c r="B38" t="s">
        <v>1446</v>
      </c>
      <c r="C38">
        <v>0</v>
      </c>
      <c r="D38">
        <v>0</v>
      </c>
      <c r="E38">
        <v>0</v>
      </c>
    </row>
    <row r="39" spans="1:5" x14ac:dyDescent="0.2">
      <c r="A39" t="s">
        <v>94</v>
      </c>
      <c r="B39" t="s">
        <v>1446</v>
      </c>
      <c r="C39">
        <v>0</v>
      </c>
      <c r="D39">
        <v>0</v>
      </c>
      <c r="E39">
        <v>0</v>
      </c>
    </row>
    <row r="40" spans="1:5" x14ac:dyDescent="0.2">
      <c r="A40" t="s">
        <v>95</v>
      </c>
      <c r="B40" t="s">
        <v>1446</v>
      </c>
      <c r="C40">
        <v>0</v>
      </c>
      <c r="D40">
        <v>0</v>
      </c>
      <c r="E40">
        <v>0</v>
      </c>
    </row>
    <row r="41" spans="1:5" x14ac:dyDescent="0.2">
      <c r="A41" t="s">
        <v>96</v>
      </c>
      <c r="B41" t="s">
        <v>1446</v>
      </c>
      <c r="C41">
        <v>0</v>
      </c>
      <c r="D41">
        <v>0</v>
      </c>
      <c r="E41">
        <v>0</v>
      </c>
    </row>
    <row r="42" spans="1:5" x14ac:dyDescent="0.2">
      <c r="A42" t="s">
        <v>97</v>
      </c>
      <c r="B42" t="s">
        <v>1446</v>
      </c>
      <c r="C42">
        <v>0</v>
      </c>
      <c r="D42">
        <v>0</v>
      </c>
      <c r="E42">
        <v>0</v>
      </c>
    </row>
    <row r="43" spans="1:5" x14ac:dyDescent="0.2">
      <c r="A43" t="s">
        <v>98</v>
      </c>
      <c r="B43" t="s">
        <v>1446</v>
      </c>
      <c r="C43">
        <v>0</v>
      </c>
      <c r="D43">
        <v>0</v>
      </c>
      <c r="E43">
        <v>0</v>
      </c>
    </row>
    <row r="44" spans="1:5" x14ac:dyDescent="0.2">
      <c r="A44" t="s">
        <v>99</v>
      </c>
      <c r="B44" t="s">
        <v>1446</v>
      </c>
      <c r="C44">
        <v>0</v>
      </c>
      <c r="D44">
        <v>0</v>
      </c>
      <c r="E44">
        <v>0</v>
      </c>
    </row>
    <row r="45" spans="1:5" x14ac:dyDescent="0.2">
      <c r="A45" t="s">
        <v>100</v>
      </c>
      <c r="B45" t="s">
        <v>1446</v>
      </c>
      <c r="C45">
        <v>0</v>
      </c>
      <c r="D45">
        <v>0</v>
      </c>
      <c r="E45">
        <v>0</v>
      </c>
    </row>
    <row r="46" spans="1:5" x14ac:dyDescent="0.2">
      <c r="A46" t="s">
        <v>101</v>
      </c>
      <c r="B46" t="s">
        <v>1446</v>
      </c>
      <c r="C46">
        <v>0</v>
      </c>
      <c r="D46">
        <v>0</v>
      </c>
      <c r="E46">
        <v>0</v>
      </c>
    </row>
    <row r="47" spans="1:5" x14ac:dyDescent="0.2">
      <c r="A47" t="s">
        <v>102</v>
      </c>
      <c r="B47" t="s">
        <v>1446</v>
      </c>
      <c r="C47">
        <v>0</v>
      </c>
      <c r="D47">
        <v>0</v>
      </c>
      <c r="E47">
        <v>0</v>
      </c>
    </row>
    <row r="48" spans="1:5" x14ac:dyDescent="0.2">
      <c r="A48" t="s">
        <v>103</v>
      </c>
      <c r="B48" t="s">
        <v>1446</v>
      </c>
      <c r="C48">
        <v>0</v>
      </c>
      <c r="D48">
        <v>0</v>
      </c>
      <c r="E48">
        <v>0</v>
      </c>
    </row>
    <row r="49" spans="1:5" x14ac:dyDescent="0.2">
      <c r="A49" t="s">
        <v>104</v>
      </c>
      <c r="B49" t="s">
        <v>1446</v>
      </c>
      <c r="C49">
        <v>0</v>
      </c>
      <c r="D49">
        <v>0</v>
      </c>
      <c r="E49">
        <v>0</v>
      </c>
    </row>
    <row r="50" spans="1:5" x14ac:dyDescent="0.2">
      <c r="A50" t="s">
        <v>105</v>
      </c>
      <c r="B50" t="s">
        <v>1446</v>
      </c>
      <c r="C50">
        <v>0</v>
      </c>
      <c r="D50">
        <v>0</v>
      </c>
      <c r="E50">
        <v>0</v>
      </c>
    </row>
    <row r="51" spans="1:5" x14ac:dyDescent="0.2">
      <c r="A51" t="s">
        <v>106</v>
      </c>
      <c r="B51" t="s">
        <v>1446</v>
      </c>
      <c r="C51">
        <v>0</v>
      </c>
      <c r="D51">
        <v>0</v>
      </c>
      <c r="E51">
        <v>0</v>
      </c>
    </row>
    <row r="52" spans="1:5" x14ac:dyDescent="0.2">
      <c r="A52" t="s">
        <v>107</v>
      </c>
      <c r="B52" t="s">
        <v>1446</v>
      </c>
      <c r="C52">
        <v>0</v>
      </c>
      <c r="D52">
        <v>0</v>
      </c>
      <c r="E52">
        <v>0</v>
      </c>
    </row>
    <row r="53" spans="1:5" x14ac:dyDescent="0.2">
      <c r="A53" t="s">
        <v>108</v>
      </c>
      <c r="B53" t="s">
        <v>1446</v>
      </c>
      <c r="C53">
        <v>0</v>
      </c>
      <c r="D53">
        <v>0</v>
      </c>
      <c r="E53">
        <v>0</v>
      </c>
    </row>
    <row r="54" spans="1:5" x14ac:dyDescent="0.2">
      <c r="A54" t="s">
        <v>109</v>
      </c>
      <c r="B54" t="s">
        <v>1446</v>
      </c>
      <c r="C54">
        <v>0</v>
      </c>
      <c r="D54">
        <v>0</v>
      </c>
      <c r="E54">
        <v>0</v>
      </c>
    </row>
    <row r="55" spans="1:5" x14ac:dyDescent="0.2">
      <c r="A55" t="s">
        <v>110</v>
      </c>
      <c r="B55" t="s">
        <v>1446</v>
      </c>
      <c r="C55">
        <v>0</v>
      </c>
      <c r="D55">
        <v>0</v>
      </c>
      <c r="E55">
        <v>0</v>
      </c>
    </row>
    <row r="56" spans="1:5" x14ac:dyDescent="0.2">
      <c r="A56" t="s">
        <v>111</v>
      </c>
      <c r="B56" t="s">
        <v>1446</v>
      </c>
      <c r="C56">
        <v>0</v>
      </c>
      <c r="D56">
        <v>0</v>
      </c>
      <c r="E56">
        <v>0</v>
      </c>
    </row>
    <row r="57" spans="1:5" x14ac:dyDescent="0.2">
      <c r="A57" t="s">
        <v>112</v>
      </c>
      <c r="B57" t="s">
        <v>1446</v>
      </c>
      <c r="C57">
        <v>0</v>
      </c>
      <c r="D57">
        <v>0</v>
      </c>
      <c r="E57">
        <v>0</v>
      </c>
    </row>
    <row r="58" spans="1:5" x14ac:dyDescent="0.2">
      <c r="A58" t="s">
        <v>113</v>
      </c>
      <c r="B58" t="s">
        <v>1446</v>
      </c>
      <c r="C58">
        <v>0</v>
      </c>
      <c r="D58">
        <v>0</v>
      </c>
      <c r="E58">
        <v>0</v>
      </c>
    </row>
    <row r="59" spans="1:5" x14ac:dyDescent="0.2">
      <c r="A59" t="s">
        <v>114</v>
      </c>
      <c r="B59" t="s">
        <v>1446</v>
      </c>
      <c r="C59">
        <v>0</v>
      </c>
      <c r="D59">
        <v>0</v>
      </c>
      <c r="E59">
        <v>0</v>
      </c>
    </row>
    <row r="60" spans="1:5" x14ac:dyDescent="0.2">
      <c r="A60" t="s">
        <v>115</v>
      </c>
      <c r="B60" t="s">
        <v>1446</v>
      </c>
      <c r="C60">
        <v>0</v>
      </c>
      <c r="D60">
        <v>0</v>
      </c>
      <c r="E60">
        <v>0</v>
      </c>
    </row>
    <row r="61" spans="1:5" x14ac:dyDescent="0.2">
      <c r="A61" t="s">
        <v>116</v>
      </c>
      <c r="B61" t="s">
        <v>1446</v>
      </c>
      <c r="C61">
        <v>0</v>
      </c>
      <c r="D61">
        <v>0</v>
      </c>
      <c r="E61">
        <v>0</v>
      </c>
    </row>
    <row r="62" spans="1:5" x14ac:dyDescent="0.2">
      <c r="A62" t="s">
        <v>117</v>
      </c>
      <c r="B62" t="s">
        <v>1446</v>
      </c>
      <c r="C62">
        <v>0</v>
      </c>
      <c r="D62">
        <v>0</v>
      </c>
      <c r="E62"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SC"/>
  <dimension ref="A1:T116"/>
  <sheetViews>
    <sheetView workbookViewId="0"/>
  </sheetViews>
  <sheetFormatPr defaultRowHeight="12.75" x14ac:dyDescent="0.2"/>
  <cols>
    <col min="1" max="1" width="11.140625" bestFit="1" customWidth="1"/>
    <col min="2" max="2" width="8.5703125" bestFit="1" customWidth="1"/>
    <col min="3" max="3" width="5.7109375" bestFit="1" customWidth="1"/>
    <col min="4" max="4" width="5.140625" bestFit="1" customWidth="1"/>
    <col min="5" max="5" width="7.7109375" bestFit="1" customWidth="1"/>
    <col min="6" max="6" width="6" bestFit="1" customWidth="1"/>
    <col min="7" max="9" width="7" bestFit="1" customWidth="1"/>
    <col min="10" max="10" width="10.85546875" bestFit="1" customWidth="1"/>
    <col min="11" max="12" width="8" bestFit="1" customWidth="1"/>
    <col min="13" max="13" width="8.7109375" bestFit="1" customWidth="1"/>
    <col min="14" max="14" width="10.5703125" bestFit="1" customWidth="1"/>
    <col min="15" max="16" width="4.5703125" bestFit="1" customWidth="1"/>
    <col min="17" max="17" width="9.5703125" bestFit="1" customWidth="1"/>
    <col min="18" max="18" width="11.140625" bestFit="1" customWidth="1"/>
  </cols>
  <sheetData>
    <row r="1" spans="1:20" s="1" customFormat="1" x14ac:dyDescent="0.2">
      <c r="A1" s="1" t="s">
        <v>1404</v>
      </c>
      <c r="B1" s="1" t="s">
        <v>1402</v>
      </c>
      <c r="C1" s="1" t="s">
        <v>974</v>
      </c>
      <c r="D1" s="1" t="s">
        <v>980</v>
      </c>
      <c r="E1" s="50" t="s">
        <v>1364</v>
      </c>
      <c r="F1" s="45" t="s">
        <v>1365</v>
      </c>
      <c r="G1" s="1" t="s">
        <v>1366</v>
      </c>
      <c r="H1" s="1" t="s">
        <v>1367</v>
      </c>
      <c r="I1" s="1" t="s">
        <v>1368</v>
      </c>
      <c r="J1" s="1" t="s">
        <v>978</v>
      </c>
      <c r="K1" s="1" t="s">
        <v>1369</v>
      </c>
      <c r="L1" s="1" t="s">
        <v>975</v>
      </c>
      <c r="M1" s="1" t="s">
        <v>979</v>
      </c>
      <c r="N1" s="1" t="s">
        <v>969</v>
      </c>
      <c r="O1" s="1" t="s">
        <v>1444</v>
      </c>
      <c r="P1" s="1" t="s">
        <v>1445</v>
      </c>
      <c r="Q1" s="1" t="s">
        <v>976</v>
      </c>
      <c r="R1" s="1" t="s">
        <v>1510</v>
      </c>
      <c r="T1" s="45">
        <v>43236</v>
      </c>
    </row>
    <row r="2" spans="1:20" x14ac:dyDescent="0.2">
      <c r="A2" t="str">
        <f>B2&amp;"."&amp;D2&amp;"."&amp;C2</f>
        <v>ICE.2018.6</v>
      </c>
      <c r="B2" t="s">
        <v>1403</v>
      </c>
      <c r="C2" t="str">
        <f>TEXT(DATEVALUE("1"&amp;E2),"M")</f>
        <v>6</v>
      </c>
      <c r="D2" t="str">
        <f>TEXT(DATEVALUE("1"&amp;E2),"YYYY")</f>
        <v>2018</v>
      </c>
      <c r="E2" s="51" t="s">
        <v>1371</v>
      </c>
      <c r="J2">
        <v>0.05</v>
      </c>
      <c r="K2">
        <v>2.5000000000000001E-3</v>
      </c>
      <c r="L2">
        <v>180</v>
      </c>
      <c r="M2">
        <v>34186</v>
      </c>
      <c r="N2">
        <v>180</v>
      </c>
      <c r="O2">
        <v>0</v>
      </c>
      <c r="P2">
        <v>0</v>
      </c>
      <c r="Q2">
        <v>180</v>
      </c>
      <c r="R2">
        <v>0</v>
      </c>
    </row>
    <row r="3" spans="1:20" x14ac:dyDescent="0.2">
      <c r="A3" t="str">
        <f t="shared" ref="A3:A66" si="0">B3&amp;"."&amp;D3&amp;"."&amp;C3</f>
        <v>ICE.2018.7</v>
      </c>
      <c r="B3" t="s">
        <v>1403</v>
      </c>
      <c r="C3" t="str">
        <f t="shared" ref="C3:C66" si="1">TEXT(DATEVALUE("1"&amp;E3),"M")</f>
        <v>7</v>
      </c>
      <c r="D3" t="str">
        <f t="shared" ref="D3:D66" si="2">TEXT(DATEVALUE("1"&amp;E3),"YYYY")</f>
        <v>2018</v>
      </c>
      <c r="E3" s="51" t="s">
        <v>1372</v>
      </c>
      <c r="F3">
        <v>6.5000000000000002E-2</v>
      </c>
      <c r="G3">
        <v>6.5000000000000002E-2</v>
      </c>
      <c r="H3">
        <v>6.5000000000000002E-2</v>
      </c>
      <c r="I3">
        <v>6.5000000000000002E-2</v>
      </c>
      <c r="J3">
        <v>6.5000000000000002E-2</v>
      </c>
      <c r="K3">
        <v>0</v>
      </c>
      <c r="L3">
        <v>403</v>
      </c>
      <c r="M3">
        <v>32591</v>
      </c>
      <c r="N3">
        <v>-217</v>
      </c>
      <c r="O3">
        <v>0</v>
      </c>
      <c r="P3">
        <v>0</v>
      </c>
      <c r="Q3">
        <v>310</v>
      </c>
      <c r="R3">
        <v>0</v>
      </c>
    </row>
    <row r="4" spans="1:20" x14ac:dyDescent="0.2">
      <c r="A4" t="str">
        <f t="shared" si="0"/>
        <v>ICE.2018.8</v>
      </c>
      <c r="B4" t="s">
        <v>1403</v>
      </c>
      <c r="C4" t="str">
        <f t="shared" si="1"/>
        <v>8</v>
      </c>
      <c r="D4" t="str">
        <f t="shared" si="2"/>
        <v>2018</v>
      </c>
      <c r="E4" s="51" t="s">
        <v>1373</v>
      </c>
      <c r="F4">
        <v>6.5000000000000002E-2</v>
      </c>
      <c r="G4">
        <v>7.0000000000000007E-2</v>
      </c>
      <c r="H4">
        <v>6.25E-2</v>
      </c>
      <c r="I4">
        <v>6.25E-2</v>
      </c>
      <c r="J4">
        <v>6.5000000000000002E-2</v>
      </c>
      <c r="K4">
        <v>0</v>
      </c>
      <c r="L4">
        <v>1333</v>
      </c>
      <c r="M4">
        <v>33966</v>
      </c>
      <c r="N4">
        <v>465</v>
      </c>
      <c r="O4">
        <v>0</v>
      </c>
      <c r="P4">
        <v>0</v>
      </c>
      <c r="Q4">
        <v>310</v>
      </c>
      <c r="R4">
        <v>93</v>
      </c>
    </row>
    <row r="5" spans="1:20" x14ac:dyDescent="0.2">
      <c r="A5" t="str">
        <f t="shared" si="0"/>
        <v>ICE.2018.9</v>
      </c>
      <c r="B5" t="s">
        <v>1403</v>
      </c>
      <c r="C5" t="str">
        <f t="shared" si="1"/>
        <v>9</v>
      </c>
      <c r="D5" t="str">
        <f t="shared" si="2"/>
        <v>2018</v>
      </c>
      <c r="E5" s="51" t="s">
        <v>1374</v>
      </c>
      <c r="J5">
        <v>5.7500000000000002E-2</v>
      </c>
      <c r="K5">
        <v>-2.5000000000000001E-3</v>
      </c>
      <c r="L5">
        <v>180</v>
      </c>
      <c r="M5">
        <v>28777</v>
      </c>
      <c r="N5">
        <v>180</v>
      </c>
      <c r="O5">
        <v>0</v>
      </c>
      <c r="P5">
        <v>0</v>
      </c>
      <c r="Q5">
        <v>180</v>
      </c>
      <c r="R5">
        <v>0</v>
      </c>
    </row>
    <row r="6" spans="1:20" x14ac:dyDescent="0.2">
      <c r="A6" t="str">
        <f t="shared" si="0"/>
        <v>ICE.2018.10</v>
      </c>
      <c r="B6" t="s">
        <v>1403</v>
      </c>
      <c r="C6" t="str">
        <f t="shared" si="1"/>
        <v>10</v>
      </c>
      <c r="D6" t="str">
        <f t="shared" si="2"/>
        <v>2018</v>
      </c>
      <c r="E6" s="51" t="s">
        <v>1375</v>
      </c>
      <c r="F6">
        <v>0.04</v>
      </c>
      <c r="G6">
        <v>4.2500000000000003E-2</v>
      </c>
      <c r="H6">
        <v>3.5000000000000003E-2</v>
      </c>
      <c r="I6">
        <v>3.5000000000000003E-2</v>
      </c>
      <c r="J6">
        <v>0.04</v>
      </c>
      <c r="K6">
        <v>-2.5000000000000001E-3</v>
      </c>
      <c r="L6">
        <v>1302</v>
      </c>
      <c r="M6">
        <v>31866</v>
      </c>
      <c r="N6">
        <v>899</v>
      </c>
      <c r="O6">
        <v>0</v>
      </c>
      <c r="P6">
        <v>0</v>
      </c>
      <c r="Q6">
        <v>186</v>
      </c>
      <c r="R6">
        <v>837</v>
      </c>
    </row>
    <row r="7" spans="1:20" x14ac:dyDescent="0.2">
      <c r="A7" t="str">
        <f t="shared" si="0"/>
        <v>ICE.2018.11</v>
      </c>
      <c r="B7" t="s">
        <v>1403</v>
      </c>
      <c r="C7" t="str">
        <f t="shared" si="1"/>
        <v>11</v>
      </c>
      <c r="D7" t="str">
        <f t="shared" si="2"/>
        <v>2018</v>
      </c>
      <c r="E7" s="51" t="s">
        <v>1376</v>
      </c>
      <c r="F7">
        <v>1.4999999999999999E-2</v>
      </c>
      <c r="G7">
        <v>1.4999999999999999E-2</v>
      </c>
      <c r="H7">
        <v>1.4999999999999999E-2</v>
      </c>
      <c r="I7">
        <v>1.4999999999999999E-2</v>
      </c>
      <c r="J7">
        <v>1.7500000000000002E-2</v>
      </c>
      <c r="K7">
        <v>0</v>
      </c>
      <c r="L7">
        <v>120</v>
      </c>
      <c r="M7">
        <v>19589</v>
      </c>
      <c r="N7">
        <v>120</v>
      </c>
      <c r="O7">
        <v>0</v>
      </c>
      <c r="P7">
        <v>0</v>
      </c>
      <c r="Q7">
        <v>60</v>
      </c>
      <c r="R7">
        <v>0</v>
      </c>
    </row>
    <row r="8" spans="1:20" x14ac:dyDescent="0.2">
      <c r="A8" t="str">
        <f t="shared" si="0"/>
        <v>ICE.2018.12</v>
      </c>
      <c r="B8" t="s">
        <v>1403</v>
      </c>
      <c r="C8" t="str">
        <f t="shared" si="1"/>
        <v>12</v>
      </c>
      <c r="D8" t="str">
        <f t="shared" si="2"/>
        <v>2018</v>
      </c>
      <c r="E8" s="51" t="s">
        <v>1377</v>
      </c>
      <c r="J8">
        <v>-6.5000000000000002E-2</v>
      </c>
      <c r="K8">
        <v>0</v>
      </c>
      <c r="L8">
        <v>62</v>
      </c>
      <c r="M8">
        <v>21433</v>
      </c>
      <c r="N8">
        <v>62</v>
      </c>
      <c r="O8">
        <v>0</v>
      </c>
      <c r="P8">
        <v>0</v>
      </c>
      <c r="Q8">
        <v>62</v>
      </c>
      <c r="R8">
        <v>0</v>
      </c>
    </row>
    <row r="9" spans="1:20" x14ac:dyDescent="0.2">
      <c r="A9" t="str">
        <f t="shared" si="0"/>
        <v>ICE.2019.1</v>
      </c>
      <c r="B9" t="s">
        <v>1403</v>
      </c>
      <c r="C9" t="str">
        <f t="shared" si="1"/>
        <v>1</v>
      </c>
      <c r="D9" t="str">
        <f t="shared" si="2"/>
        <v>2019</v>
      </c>
      <c r="E9" s="51" t="s">
        <v>1378</v>
      </c>
      <c r="F9">
        <v>-0.09</v>
      </c>
      <c r="G9">
        <v>-0.09</v>
      </c>
      <c r="H9">
        <v>-0.09</v>
      </c>
      <c r="I9">
        <v>-0.09</v>
      </c>
      <c r="J9">
        <v>-0.09</v>
      </c>
      <c r="K9">
        <v>-2.5000000000000001E-3</v>
      </c>
      <c r="L9">
        <v>31</v>
      </c>
      <c r="M9">
        <v>19608</v>
      </c>
      <c r="N9">
        <v>31</v>
      </c>
      <c r="O9">
        <v>0</v>
      </c>
      <c r="P9">
        <v>0</v>
      </c>
      <c r="Q9">
        <v>0</v>
      </c>
      <c r="R9">
        <v>0</v>
      </c>
    </row>
    <row r="10" spans="1:20" x14ac:dyDescent="0.2">
      <c r="A10" t="str">
        <f t="shared" si="0"/>
        <v>ICE.2019.2</v>
      </c>
      <c r="B10" t="s">
        <v>1403</v>
      </c>
      <c r="C10" t="str">
        <f t="shared" si="1"/>
        <v>2</v>
      </c>
      <c r="D10" t="str">
        <f t="shared" si="2"/>
        <v>2019</v>
      </c>
      <c r="E10" s="51" t="s">
        <v>1379</v>
      </c>
      <c r="J10">
        <v>-8.7499999999999994E-2</v>
      </c>
      <c r="K10">
        <v>0</v>
      </c>
      <c r="L10">
        <v>0</v>
      </c>
      <c r="M10">
        <v>16724</v>
      </c>
      <c r="N10">
        <v>0</v>
      </c>
      <c r="O10">
        <v>0</v>
      </c>
      <c r="P10">
        <v>0</v>
      </c>
      <c r="Q10">
        <v>0</v>
      </c>
      <c r="R10">
        <v>0</v>
      </c>
    </row>
    <row r="11" spans="1:20" x14ac:dyDescent="0.2">
      <c r="A11" t="str">
        <f t="shared" si="0"/>
        <v>ICE.2019.3</v>
      </c>
      <c r="B11" t="s">
        <v>1403</v>
      </c>
      <c r="C11" t="str">
        <f t="shared" si="1"/>
        <v>3</v>
      </c>
      <c r="D11" t="str">
        <f t="shared" si="2"/>
        <v>2019</v>
      </c>
      <c r="E11" s="51" t="s">
        <v>1380</v>
      </c>
      <c r="J11">
        <v>-6.7500000000000004E-2</v>
      </c>
      <c r="K11">
        <v>0</v>
      </c>
      <c r="L11">
        <v>0</v>
      </c>
      <c r="M11">
        <v>17120</v>
      </c>
      <c r="N11">
        <v>0</v>
      </c>
      <c r="O11">
        <v>0</v>
      </c>
      <c r="P11">
        <v>0</v>
      </c>
      <c r="Q11">
        <v>0</v>
      </c>
      <c r="R11">
        <v>0</v>
      </c>
    </row>
    <row r="12" spans="1:20" x14ac:dyDescent="0.2">
      <c r="A12" t="str">
        <f t="shared" si="0"/>
        <v>ICE.2019.4</v>
      </c>
      <c r="B12" t="s">
        <v>1403</v>
      </c>
      <c r="C12" t="str">
        <f t="shared" si="1"/>
        <v>4</v>
      </c>
      <c r="D12" t="str">
        <f t="shared" si="2"/>
        <v>2019</v>
      </c>
      <c r="E12" s="51" t="s">
        <v>1381</v>
      </c>
      <c r="J12">
        <v>5.2499999999999998E-2</v>
      </c>
      <c r="K12">
        <v>0</v>
      </c>
      <c r="L12">
        <v>0</v>
      </c>
      <c r="M12">
        <v>15767</v>
      </c>
      <c r="N12">
        <v>0</v>
      </c>
      <c r="O12">
        <v>0</v>
      </c>
      <c r="P12">
        <v>0</v>
      </c>
      <c r="Q12">
        <v>0</v>
      </c>
      <c r="R12">
        <v>0</v>
      </c>
    </row>
    <row r="13" spans="1:20" x14ac:dyDescent="0.2">
      <c r="A13" t="str">
        <f t="shared" si="0"/>
        <v>ICE.2019.5</v>
      </c>
      <c r="B13" t="s">
        <v>1403</v>
      </c>
      <c r="C13" t="str">
        <f t="shared" si="1"/>
        <v>5</v>
      </c>
      <c r="D13" t="str">
        <f t="shared" si="2"/>
        <v>2019</v>
      </c>
      <c r="E13" s="51" t="s">
        <v>1382</v>
      </c>
      <c r="J13">
        <v>6.5000000000000002E-2</v>
      </c>
      <c r="K13">
        <v>0</v>
      </c>
      <c r="L13">
        <v>0</v>
      </c>
      <c r="M13">
        <v>16292</v>
      </c>
      <c r="N13">
        <v>0</v>
      </c>
      <c r="O13">
        <v>0</v>
      </c>
      <c r="P13">
        <v>0</v>
      </c>
      <c r="Q13">
        <v>0</v>
      </c>
      <c r="R13">
        <v>0</v>
      </c>
    </row>
    <row r="14" spans="1:20" x14ac:dyDescent="0.2">
      <c r="A14" t="str">
        <f t="shared" si="0"/>
        <v>ICE.2019.6</v>
      </c>
      <c r="B14" t="s">
        <v>1403</v>
      </c>
      <c r="C14" t="str">
        <f t="shared" si="1"/>
        <v>6</v>
      </c>
      <c r="D14" t="str">
        <f t="shared" si="2"/>
        <v>2019</v>
      </c>
      <c r="E14" s="51" t="s">
        <v>1383</v>
      </c>
      <c r="J14">
        <v>6.5000000000000002E-2</v>
      </c>
      <c r="K14">
        <v>0</v>
      </c>
      <c r="L14">
        <v>0</v>
      </c>
      <c r="M14">
        <v>15767</v>
      </c>
      <c r="N14">
        <v>0</v>
      </c>
      <c r="O14">
        <v>0</v>
      </c>
      <c r="P14">
        <v>0</v>
      </c>
      <c r="Q14">
        <v>0</v>
      </c>
      <c r="R14">
        <v>0</v>
      </c>
    </row>
    <row r="15" spans="1:20" x14ac:dyDescent="0.2">
      <c r="A15" t="str">
        <f t="shared" si="0"/>
        <v>ICE.2019.7</v>
      </c>
      <c r="B15" t="s">
        <v>1403</v>
      </c>
      <c r="C15" t="str">
        <f t="shared" si="1"/>
        <v>7</v>
      </c>
      <c r="D15" t="str">
        <f t="shared" si="2"/>
        <v>2019</v>
      </c>
      <c r="E15" s="51" t="s">
        <v>1384</v>
      </c>
      <c r="J15">
        <v>4.4999999999999998E-2</v>
      </c>
      <c r="K15">
        <v>0</v>
      </c>
      <c r="L15">
        <v>0</v>
      </c>
      <c r="M15">
        <v>16106</v>
      </c>
      <c r="N15">
        <v>0</v>
      </c>
      <c r="O15">
        <v>0</v>
      </c>
      <c r="P15">
        <v>0</v>
      </c>
      <c r="Q15">
        <v>0</v>
      </c>
      <c r="R15">
        <v>0</v>
      </c>
    </row>
    <row r="16" spans="1:20" x14ac:dyDescent="0.2">
      <c r="A16" t="str">
        <f t="shared" si="0"/>
        <v>ICE.2019.8</v>
      </c>
      <c r="B16" t="s">
        <v>1403</v>
      </c>
      <c r="C16" t="str">
        <f t="shared" si="1"/>
        <v>8</v>
      </c>
      <c r="D16" t="str">
        <f t="shared" si="2"/>
        <v>2019</v>
      </c>
      <c r="E16" s="51" t="s">
        <v>1385</v>
      </c>
      <c r="J16">
        <v>4.4999999999999998E-2</v>
      </c>
      <c r="K16">
        <v>0</v>
      </c>
      <c r="L16">
        <v>0</v>
      </c>
      <c r="M16">
        <v>16106</v>
      </c>
      <c r="N16">
        <v>0</v>
      </c>
      <c r="O16">
        <v>0</v>
      </c>
      <c r="P16">
        <v>0</v>
      </c>
      <c r="Q16">
        <v>0</v>
      </c>
      <c r="R16">
        <v>0</v>
      </c>
    </row>
    <row r="17" spans="1:18" x14ac:dyDescent="0.2">
      <c r="A17" t="str">
        <f t="shared" si="0"/>
        <v>ICE.2019.9</v>
      </c>
      <c r="B17" t="s">
        <v>1403</v>
      </c>
      <c r="C17" t="str">
        <f t="shared" si="1"/>
        <v>9</v>
      </c>
      <c r="D17" t="str">
        <f t="shared" si="2"/>
        <v>2019</v>
      </c>
      <c r="E17" s="51" t="s">
        <v>1386</v>
      </c>
      <c r="J17">
        <v>1.7500000000000002E-2</v>
      </c>
      <c r="K17">
        <v>0</v>
      </c>
      <c r="L17">
        <v>0</v>
      </c>
      <c r="M17">
        <v>14184</v>
      </c>
      <c r="N17">
        <v>0</v>
      </c>
      <c r="O17">
        <v>0</v>
      </c>
      <c r="P17">
        <v>0</v>
      </c>
      <c r="Q17">
        <v>0</v>
      </c>
      <c r="R17">
        <v>0</v>
      </c>
    </row>
    <row r="18" spans="1:18" x14ac:dyDescent="0.2">
      <c r="A18" t="str">
        <f t="shared" si="0"/>
        <v>ICE.2019.10</v>
      </c>
      <c r="B18" t="s">
        <v>1403</v>
      </c>
      <c r="C18" t="str">
        <f t="shared" si="1"/>
        <v>10</v>
      </c>
      <c r="D18" t="str">
        <f t="shared" si="2"/>
        <v>2019</v>
      </c>
      <c r="E18" s="51" t="s">
        <v>1387</v>
      </c>
      <c r="J18">
        <v>-2.5000000000000001E-3</v>
      </c>
      <c r="K18">
        <v>0</v>
      </c>
      <c r="L18">
        <v>0</v>
      </c>
      <c r="M18">
        <v>14588</v>
      </c>
      <c r="N18">
        <v>0</v>
      </c>
      <c r="O18">
        <v>0</v>
      </c>
      <c r="P18">
        <v>0</v>
      </c>
      <c r="Q18">
        <v>0</v>
      </c>
      <c r="R18">
        <v>0</v>
      </c>
    </row>
    <row r="19" spans="1:18" x14ac:dyDescent="0.2">
      <c r="A19" t="str">
        <f t="shared" si="0"/>
        <v>ICE.2019.11</v>
      </c>
      <c r="B19" t="s">
        <v>1403</v>
      </c>
      <c r="C19" t="str">
        <f t="shared" si="1"/>
        <v>11</v>
      </c>
      <c r="D19" t="str">
        <f t="shared" si="2"/>
        <v>2019</v>
      </c>
      <c r="E19" s="51" t="s">
        <v>1388</v>
      </c>
      <c r="J19">
        <v>-6.5000000000000002E-2</v>
      </c>
      <c r="K19">
        <v>0</v>
      </c>
      <c r="L19">
        <v>90</v>
      </c>
      <c r="M19">
        <v>9915</v>
      </c>
      <c r="N19">
        <v>90</v>
      </c>
      <c r="O19">
        <v>0</v>
      </c>
      <c r="P19">
        <v>0</v>
      </c>
      <c r="Q19">
        <v>60</v>
      </c>
      <c r="R19">
        <v>0</v>
      </c>
    </row>
    <row r="20" spans="1:18" x14ac:dyDescent="0.2">
      <c r="A20" t="str">
        <f t="shared" si="0"/>
        <v>ICE.2019.12</v>
      </c>
      <c r="B20" t="s">
        <v>1403</v>
      </c>
      <c r="C20" t="str">
        <f t="shared" si="1"/>
        <v>12</v>
      </c>
      <c r="D20" t="str">
        <f t="shared" si="2"/>
        <v>2019</v>
      </c>
      <c r="E20" s="51" t="s">
        <v>1389</v>
      </c>
      <c r="J20">
        <v>-7.4999999999999997E-2</v>
      </c>
      <c r="K20">
        <v>0</v>
      </c>
      <c r="L20">
        <v>93</v>
      </c>
      <c r="M20">
        <v>10242</v>
      </c>
      <c r="N20">
        <v>93</v>
      </c>
      <c r="O20">
        <v>0</v>
      </c>
      <c r="P20">
        <v>0</v>
      </c>
      <c r="Q20">
        <v>62</v>
      </c>
      <c r="R20">
        <v>0</v>
      </c>
    </row>
    <row r="21" spans="1:18" x14ac:dyDescent="0.2">
      <c r="A21" t="str">
        <f t="shared" si="0"/>
        <v>ICE.2020.1</v>
      </c>
      <c r="B21" t="s">
        <v>1403</v>
      </c>
      <c r="C21" t="str">
        <f t="shared" si="1"/>
        <v>1</v>
      </c>
      <c r="D21" t="str">
        <f t="shared" si="2"/>
        <v>2020</v>
      </c>
      <c r="E21" s="51" t="s">
        <v>1390</v>
      </c>
      <c r="J21">
        <v>-8.5000000000000006E-2</v>
      </c>
      <c r="K21">
        <v>0</v>
      </c>
      <c r="L21">
        <v>93</v>
      </c>
      <c r="M21">
        <v>5674</v>
      </c>
      <c r="N21">
        <v>0</v>
      </c>
      <c r="O21">
        <v>0</v>
      </c>
      <c r="P21">
        <v>0</v>
      </c>
      <c r="Q21">
        <v>62</v>
      </c>
      <c r="R21">
        <v>0</v>
      </c>
    </row>
    <row r="22" spans="1:18" x14ac:dyDescent="0.2">
      <c r="A22" t="str">
        <f t="shared" si="0"/>
        <v>ICE.2020.2</v>
      </c>
      <c r="B22" t="s">
        <v>1403</v>
      </c>
      <c r="C22" t="str">
        <f t="shared" si="1"/>
        <v>2</v>
      </c>
      <c r="D22" t="str">
        <f t="shared" si="2"/>
        <v>2020</v>
      </c>
      <c r="E22" s="51" t="s">
        <v>1391</v>
      </c>
      <c r="J22">
        <v>-9.2499999999999999E-2</v>
      </c>
      <c r="K22">
        <v>0</v>
      </c>
      <c r="L22">
        <v>87</v>
      </c>
      <c r="M22">
        <v>5307</v>
      </c>
      <c r="N22">
        <v>0</v>
      </c>
      <c r="O22">
        <v>0</v>
      </c>
      <c r="P22">
        <v>0</v>
      </c>
      <c r="Q22">
        <v>58</v>
      </c>
      <c r="R22">
        <v>0</v>
      </c>
    </row>
    <row r="23" spans="1:18" x14ac:dyDescent="0.2">
      <c r="A23" t="str">
        <f t="shared" si="0"/>
        <v>ICE.2020.3</v>
      </c>
      <c r="B23" t="s">
        <v>1403</v>
      </c>
      <c r="C23" t="str">
        <f t="shared" si="1"/>
        <v>3</v>
      </c>
      <c r="D23" t="str">
        <f t="shared" si="2"/>
        <v>2020</v>
      </c>
      <c r="E23" s="51" t="s">
        <v>1392</v>
      </c>
      <c r="J23">
        <v>-0.08</v>
      </c>
      <c r="K23">
        <v>0</v>
      </c>
      <c r="L23">
        <v>93</v>
      </c>
      <c r="M23">
        <v>5069</v>
      </c>
      <c r="N23">
        <v>93</v>
      </c>
      <c r="O23">
        <v>0</v>
      </c>
      <c r="P23">
        <v>0</v>
      </c>
      <c r="Q23">
        <v>62</v>
      </c>
      <c r="R23">
        <v>0</v>
      </c>
    </row>
    <row r="24" spans="1:18" x14ac:dyDescent="0.2">
      <c r="A24" t="str">
        <f t="shared" si="0"/>
        <v>ICE.2020.4</v>
      </c>
      <c r="B24" t="s">
        <v>1403</v>
      </c>
      <c r="C24" t="str">
        <f t="shared" si="1"/>
        <v>4</v>
      </c>
      <c r="D24" t="str">
        <f t="shared" si="2"/>
        <v>2020</v>
      </c>
      <c r="E24" s="51" t="s">
        <v>1393</v>
      </c>
      <c r="J24">
        <v>-7.7499999999999999E-2</v>
      </c>
      <c r="K24">
        <v>0</v>
      </c>
      <c r="L24">
        <v>0</v>
      </c>
      <c r="M24">
        <v>4989</v>
      </c>
      <c r="N24">
        <v>0</v>
      </c>
      <c r="O24">
        <v>0</v>
      </c>
      <c r="P24">
        <v>0</v>
      </c>
      <c r="Q24">
        <v>0</v>
      </c>
      <c r="R24">
        <v>0</v>
      </c>
    </row>
    <row r="25" spans="1:18" x14ac:dyDescent="0.2">
      <c r="A25" t="str">
        <f t="shared" si="0"/>
        <v>ICE.2020.5</v>
      </c>
      <c r="B25" t="s">
        <v>1403</v>
      </c>
      <c r="C25" t="str">
        <f t="shared" si="1"/>
        <v>5</v>
      </c>
      <c r="D25" t="str">
        <f t="shared" si="2"/>
        <v>2020</v>
      </c>
      <c r="E25" s="51" t="s">
        <v>1394</v>
      </c>
      <c r="J25">
        <v>-9.5000000000000001E-2</v>
      </c>
      <c r="K25">
        <v>0</v>
      </c>
      <c r="L25">
        <v>0</v>
      </c>
      <c r="M25">
        <v>5156</v>
      </c>
      <c r="N25">
        <v>0</v>
      </c>
      <c r="O25">
        <v>0</v>
      </c>
      <c r="P25">
        <v>0</v>
      </c>
      <c r="Q25">
        <v>0</v>
      </c>
      <c r="R25">
        <v>0</v>
      </c>
    </row>
    <row r="26" spans="1:18" x14ac:dyDescent="0.2">
      <c r="A26" t="str">
        <f t="shared" si="0"/>
        <v>ICE.2020.6</v>
      </c>
      <c r="B26" t="s">
        <v>1403</v>
      </c>
      <c r="C26" t="str">
        <f t="shared" si="1"/>
        <v>6</v>
      </c>
      <c r="D26" t="str">
        <f t="shared" si="2"/>
        <v>2020</v>
      </c>
      <c r="E26" s="51" t="s">
        <v>1395</v>
      </c>
      <c r="J26">
        <v>-9.2499999999999999E-2</v>
      </c>
      <c r="K26">
        <v>0</v>
      </c>
      <c r="L26">
        <v>0</v>
      </c>
      <c r="M26">
        <v>4989</v>
      </c>
      <c r="N26">
        <v>0</v>
      </c>
      <c r="O26">
        <v>0</v>
      </c>
      <c r="P26">
        <v>0</v>
      </c>
      <c r="Q26">
        <v>0</v>
      </c>
      <c r="R26">
        <v>0</v>
      </c>
    </row>
    <row r="27" spans="1:18" x14ac:dyDescent="0.2">
      <c r="A27" t="str">
        <f t="shared" si="0"/>
        <v>ICE.2020.7</v>
      </c>
      <c r="B27" t="s">
        <v>1403</v>
      </c>
      <c r="C27" t="str">
        <f t="shared" si="1"/>
        <v>7</v>
      </c>
      <c r="D27" t="str">
        <f t="shared" si="2"/>
        <v>2020</v>
      </c>
      <c r="E27" s="51" t="s">
        <v>1396</v>
      </c>
      <c r="J27">
        <v>-7.4999999999999997E-2</v>
      </c>
      <c r="K27">
        <v>0</v>
      </c>
      <c r="L27">
        <v>0</v>
      </c>
      <c r="M27">
        <v>5310</v>
      </c>
      <c r="N27">
        <v>0</v>
      </c>
      <c r="O27">
        <v>0</v>
      </c>
      <c r="P27">
        <v>0</v>
      </c>
      <c r="Q27">
        <v>0</v>
      </c>
      <c r="R27">
        <v>0</v>
      </c>
    </row>
    <row r="28" spans="1:18" x14ac:dyDescent="0.2">
      <c r="A28" t="str">
        <f t="shared" si="0"/>
        <v>ICE.2020.8</v>
      </c>
      <c r="B28" t="s">
        <v>1403</v>
      </c>
      <c r="C28" t="str">
        <f t="shared" si="1"/>
        <v>8</v>
      </c>
      <c r="D28" t="str">
        <f t="shared" si="2"/>
        <v>2020</v>
      </c>
      <c r="E28" s="51" t="s">
        <v>1397</v>
      </c>
      <c r="J28">
        <v>-7.2499999999999995E-2</v>
      </c>
      <c r="K28">
        <v>0</v>
      </c>
      <c r="L28">
        <v>0</v>
      </c>
      <c r="M28">
        <v>5310</v>
      </c>
      <c r="N28">
        <v>0</v>
      </c>
      <c r="O28">
        <v>0</v>
      </c>
      <c r="P28">
        <v>0</v>
      </c>
      <c r="Q28">
        <v>0</v>
      </c>
      <c r="R28">
        <v>0</v>
      </c>
    </row>
    <row r="29" spans="1:18" x14ac:dyDescent="0.2">
      <c r="A29" t="str">
        <f t="shared" si="0"/>
        <v>ICE.2020.9</v>
      </c>
      <c r="B29" t="s">
        <v>1403</v>
      </c>
      <c r="C29" t="str">
        <f t="shared" si="1"/>
        <v>9</v>
      </c>
      <c r="D29" t="str">
        <f t="shared" si="2"/>
        <v>2020</v>
      </c>
      <c r="E29" s="51" t="s">
        <v>1398</v>
      </c>
      <c r="J29">
        <v>-6.5000000000000002E-2</v>
      </c>
      <c r="K29">
        <v>0</v>
      </c>
      <c r="L29">
        <v>0</v>
      </c>
      <c r="M29">
        <v>5138</v>
      </c>
      <c r="N29">
        <v>0</v>
      </c>
      <c r="O29">
        <v>0</v>
      </c>
      <c r="P29">
        <v>0</v>
      </c>
      <c r="Q29">
        <v>0</v>
      </c>
      <c r="R29">
        <v>0</v>
      </c>
    </row>
    <row r="30" spans="1:18" x14ac:dyDescent="0.2">
      <c r="A30" t="str">
        <f t="shared" si="0"/>
        <v>ICE.2020.10</v>
      </c>
      <c r="B30" t="s">
        <v>1403</v>
      </c>
      <c r="C30" t="str">
        <f t="shared" si="1"/>
        <v>10</v>
      </c>
      <c r="D30" t="str">
        <f t="shared" si="2"/>
        <v>2020</v>
      </c>
      <c r="E30" s="51" t="s">
        <v>1399</v>
      </c>
      <c r="J30">
        <v>-5.2499999999999998E-2</v>
      </c>
      <c r="K30">
        <v>0</v>
      </c>
      <c r="L30">
        <v>0</v>
      </c>
      <c r="M30">
        <v>5186</v>
      </c>
      <c r="N30">
        <v>0</v>
      </c>
      <c r="O30">
        <v>0</v>
      </c>
      <c r="P30">
        <v>0</v>
      </c>
      <c r="Q30">
        <v>0</v>
      </c>
      <c r="R30">
        <v>0</v>
      </c>
    </row>
    <row r="31" spans="1:18" x14ac:dyDescent="0.2">
      <c r="A31" t="str">
        <f t="shared" si="0"/>
        <v>ICE.2020.11</v>
      </c>
      <c r="B31" t="s">
        <v>1403</v>
      </c>
      <c r="C31" t="str">
        <f t="shared" si="1"/>
        <v>11</v>
      </c>
      <c r="D31" t="str">
        <f t="shared" si="2"/>
        <v>2020</v>
      </c>
      <c r="E31" s="51" t="s">
        <v>1400</v>
      </c>
      <c r="J31">
        <v>-0.1125</v>
      </c>
      <c r="K31">
        <v>0</v>
      </c>
      <c r="L31">
        <v>0</v>
      </c>
      <c r="M31">
        <v>3675</v>
      </c>
      <c r="N31">
        <v>0</v>
      </c>
      <c r="O31">
        <v>0</v>
      </c>
      <c r="P31">
        <v>0</v>
      </c>
      <c r="Q31">
        <v>0</v>
      </c>
      <c r="R31">
        <v>0</v>
      </c>
    </row>
    <row r="32" spans="1:18" x14ac:dyDescent="0.2">
      <c r="A32" t="str">
        <f t="shared" si="0"/>
        <v>ICE.2020.12</v>
      </c>
      <c r="B32" t="s">
        <v>1403</v>
      </c>
      <c r="C32" t="str">
        <f t="shared" si="1"/>
        <v>12</v>
      </c>
      <c r="D32" t="str">
        <f t="shared" si="2"/>
        <v>2020</v>
      </c>
      <c r="E32" s="51" t="s">
        <v>1401</v>
      </c>
      <c r="J32">
        <v>-0.115</v>
      </c>
      <c r="K32">
        <v>0</v>
      </c>
      <c r="L32">
        <v>0</v>
      </c>
      <c r="M32">
        <v>3798</v>
      </c>
      <c r="N32">
        <v>0</v>
      </c>
      <c r="O32">
        <v>0</v>
      </c>
      <c r="P32">
        <v>0</v>
      </c>
      <c r="Q32">
        <v>0</v>
      </c>
      <c r="R32">
        <v>0</v>
      </c>
    </row>
    <row r="33" spans="1:18" x14ac:dyDescent="0.2">
      <c r="A33" t="str">
        <f t="shared" si="0"/>
        <v>ICE.2021.1</v>
      </c>
      <c r="B33" t="s">
        <v>1403</v>
      </c>
      <c r="C33" t="str">
        <f t="shared" si="1"/>
        <v>1</v>
      </c>
      <c r="D33" t="str">
        <f t="shared" si="2"/>
        <v>2021</v>
      </c>
      <c r="E33" s="51" t="s">
        <v>1405</v>
      </c>
      <c r="J33">
        <v>-0.13500000000000001</v>
      </c>
      <c r="K33">
        <v>0</v>
      </c>
      <c r="L33">
        <v>0</v>
      </c>
      <c r="M33">
        <v>1476</v>
      </c>
      <c r="N33">
        <v>0</v>
      </c>
      <c r="O33">
        <v>0</v>
      </c>
      <c r="P33">
        <v>0</v>
      </c>
      <c r="Q33">
        <v>0</v>
      </c>
      <c r="R33">
        <v>0</v>
      </c>
    </row>
    <row r="34" spans="1:18" x14ac:dyDescent="0.2">
      <c r="A34" t="str">
        <f t="shared" si="0"/>
        <v>ICE.2021.2</v>
      </c>
      <c r="B34" t="s">
        <v>1403</v>
      </c>
      <c r="C34" t="str">
        <f t="shared" si="1"/>
        <v>2</v>
      </c>
      <c r="D34" t="str">
        <f t="shared" si="2"/>
        <v>2021</v>
      </c>
      <c r="E34" s="51" t="s">
        <v>1406</v>
      </c>
      <c r="J34">
        <v>-0.13750000000000001</v>
      </c>
      <c r="K34">
        <v>0</v>
      </c>
      <c r="L34">
        <v>0</v>
      </c>
      <c r="M34">
        <v>1333</v>
      </c>
      <c r="N34">
        <v>0</v>
      </c>
      <c r="O34">
        <v>0</v>
      </c>
      <c r="P34">
        <v>0</v>
      </c>
      <c r="Q34">
        <v>0</v>
      </c>
      <c r="R34">
        <v>0</v>
      </c>
    </row>
    <row r="35" spans="1:18" x14ac:dyDescent="0.2">
      <c r="A35" t="str">
        <f t="shared" si="0"/>
        <v>ICE.2021.3</v>
      </c>
      <c r="B35" t="s">
        <v>1403</v>
      </c>
      <c r="C35" t="str">
        <f t="shared" si="1"/>
        <v>3</v>
      </c>
      <c r="D35" t="str">
        <f t="shared" si="2"/>
        <v>2021</v>
      </c>
      <c r="E35" s="51" t="s">
        <v>1407</v>
      </c>
      <c r="J35">
        <v>-0.1275</v>
      </c>
      <c r="K35">
        <v>0</v>
      </c>
      <c r="L35">
        <v>0</v>
      </c>
      <c r="M35">
        <v>1476</v>
      </c>
      <c r="N35">
        <v>0</v>
      </c>
      <c r="O35">
        <v>0</v>
      </c>
      <c r="P35">
        <v>0</v>
      </c>
      <c r="Q35">
        <v>0</v>
      </c>
      <c r="R35">
        <v>0</v>
      </c>
    </row>
    <row r="36" spans="1:18" x14ac:dyDescent="0.2">
      <c r="A36" t="str">
        <f t="shared" si="0"/>
        <v>ICE.2021.4</v>
      </c>
      <c r="B36" t="s">
        <v>1403</v>
      </c>
      <c r="C36" t="str">
        <f t="shared" si="1"/>
        <v>4</v>
      </c>
      <c r="D36" t="str">
        <f t="shared" si="2"/>
        <v>2021</v>
      </c>
      <c r="E36" s="51" t="s">
        <v>1408</v>
      </c>
      <c r="J36">
        <v>-8.7499999999999994E-2</v>
      </c>
      <c r="K36">
        <v>0</v>
      </c>
      <c r="L36">
        <v>0</v>
      </c>
      <c r="M36">
        <v>1698</v>
      </c>
      <c r="N36">
        <v>0</v>
      </c>
      <c r="O36">
        <v>0</v>
      </c>
      <c r="P36">
        <v>0</v>
      </c>
      <c r="Q36">
        <v>0</v>
      </c>
      <c r="R36">
        <v>0</v>
      </c>
    </row>
    <row r="37" spans="1:18" x14ac:dyDescent="0.2">
      <c r="A37" t="str">
        <f t="shared" si="0"/>
        <v>ICE.2021.5</v>
      </c>
      <c r="B37" t="s">
        <v>1403</v>
      </c>
      <c r="C37" t="str">
        <f t="shared" si="1"/>
        <v>5</v>
      </c>
      <c r="D37" t="str">
        <f t="shared" si="2"/>
        <v>2021</v>
      </c>
      <c r="E37" s="51" t="s">
        <v>1409</v>
      </c>
      <c r="J37">
        <v>-0.11</v>
      </c>
      <c r="K37">
        <v>0</v>
      </c>
      <c r="L37">
        <v>0</v>
      </c>
      <c r="M37">
        <v>1754</v>
      </c>
      <c r="N37">
        <v>0</v>
      </c>
      <c r="O37">
        <v>0</v>
      </c>
      <c r="P37">
        <v>0</v>
      </c>
      <c r="Q37">
        <v>0</v>
      </c>
      <c r="R37">
        <v>0</v>
      </c>
    </row>
    <row r="38" spans="1:18" x14ac:dyDescent="0.2">
      <c r="A38" t="str">
        <f t="shared" si="0"/>
        <v>ICE.2021.6</v>
      </c>
      <c r="B38" t="s">
        <v>1403</v>
      </c>
      <c r="C38" t="str">
        <f t="shared" si="1"/>
        <v>6</v>
      </c>
      <c r="D38" t="str">
        <f t="shared" si="2"/>
        <v>2021</v>
      </c>
      <c r="E38" s="51" t="s">
        <v>1410</v>
      </c>
      <c r="J38">
        <v>-0.1075</v>
      </c>
      <c r="K38">
        <v>0</v>
      </c>
      <c r="L38">
        <v>0</v>
      </c>
      <c r="M38">
        <v>1698</v>
      </c>
      <c r="N38">
        <v>0</v>
      </c>
      <c r="O38">
        <v>0</v>
      </c>
      <c r="P38">
        <v>0</v>
      </c>
      <c r="Q38">
        <v>0</v>
      </c>
      <c r="R38">
        <v>0</v>
      </c>
    </row>
    <row r="39" spans="1:18" x14ac:dyDescent="0.2">
      <c r="A39" t="str">
        <f t="shared" si="0"/>
        <v>ICE.2021.7</v>
      </c>
      <c r="B39" t="s">
        <v>1403</v>
      </c>
      <c r="C39" t="str">
        <f t="shared" si="1"/>
        <v>7</v>
      </c>
      <c r="D39" t="str">
        <f t="shared" si="2"/>
        <v>2021</v>
      </c>
      <c r="E39" s="51" t="s">
        <v>1411</v>
      </c>
      <c r="J39">
        <v>-8.7499999999999994E-2</v>
      </c>
      <c r="K39">
        <v>0</v>
      </c>
      <c r="L39">
        <v>0</v>
      </c>
      <c r="M39">
        <v>1723</v>
      </c>
      <c r="N39">
        <v>0</v>
      </c>
      <c r="O39">
        <v>0</v>
      </c>
      <c r="P39">
        <v>0</v>
      </c>
      <c r="Q39">
        <v>0</v>
      </c>
      <c r="R39">
        <v>0</v>
      </c>
    </row>
    <row r="40" spans="1:18" x14ac:dyDescent="0.2">
      <c r="A40" t="str">
        <f t="shared" si="0"/>
        <v>ICE.2021.8</v>
      </c>
      <c r="B40" t="s">
        <v>1403</v>
      </c>
      <c r="C40" t="str">
        <f t="shared" si="1"/>
        <v>8</v>
      </c>
      <c r="D40" t="str">
        <f t="shared" si="2"/>
        <v>2021</v>
      </c>
      <c r="E40" s="51" t="s">
        <v>1412</v>
      </c>
      <c r="J40">
        <v>-8.5000000000000006E-2</v>
      </c>
      <c r="K40">
        <v>0</v>
      </c>
      <c r="L40">
        <v>0</v>
      </c>
      <c r="M40">
        <v>1723</v>
      </c>
      <c r="N40">
        <v>0</v>
      </c>
      <c r="O40">
        <v>0</v>
      </c>
      <c r="P40">
        <v>0</v>
      </c>
      <c r="Q40">
        <v>0</v>
      </c>
      <c r="R40">
        <v>0</v>
      </c>
    </row>
    <row r="41" spans="1:18" x14ac:dyDescent="0.2">
      <c r="A41" t="str">
        <f t="shared" si="0"/>
        <v>ICE.2021.9</v>
      </c>
      <c r="B41" t="s">
        <v>1403</v>
      </c>
      <c r="C41" t="str">
        <f t="shared" si="1"/>
        <v>9</v>
      </c>
      <c r="D41" t="str">
        <f t="shared" si="2"/>
        <v>2021</v>
      </c>
      <c r="E41" s="51" t="s">
        <v>1413</v>
      </c>
      <c r="J41">
        <v>-7.4999999999999997E-2</v>
      </c>
      <c r="K41">
        <v>0</v>
      </c>
      <c r="L41">
        <v>0</v>
      </c>
      <c r="M41">
        <v>1668</v>
      </c>
      <c r="N41">
        <v>0</v>
      </c>
      <c r="O41">
        <v>0</v>
      </c>
      <c r="P41">
        <v>0</v>
      </c>
      <c r="Q41">
        <v>0</v>
      </c>
      <c r="R41">
        <v>0</v>
      </c>
    </row>
    <row r="42" spans="1:18" x14ac:dyDescent="0.2">
      <c r="A42" t="str">
        <f t="shared" si="0"/>
        <v>ICE.2021.10</v>
      </c>
      <c r="B42" t="s">
        <v>1403</v>
      </c>
      <c r="C42" t="str">
        <f t="shared" si="1"/>
        <v>10</v>
      </c>
      <c r="D42" t="str">
        <f t="shared" si="2"/>
        <v>2021</v>
      </c>
      <c r="E42" s="51" t="s">
        <v>1414</v>
      </c>
      <c r="J42">
        <v>-5.7500000000000002E-2</v>
      </c>
      <c r="K42">
        <v>0</v>
      </c>
      <c r="L42">
        <v>0</v>
      </c>
      <c r="M42">
        <v>1723</v>
      </c>
      <c r="N42">
        <v>0</v>
      </c>
      <c r="O42">
        <v>0</v>
      </c>
      <c r="P42">
        <v>0</v>
      </c>
      <c r="Q42">
        <v>0</v>
      </c>
      <c r="R42">
        <v>0</v>
      </c>
    </row>
    <row r="43" spans="1:18" x14ac:dyDescent="0.2">
      <c r="A43" t="str">
        <f t="shared" si="0"/>
        <v>ICE.2021.11</v>
      </c>
      <c r="B43" t="s">
        <v>1403</v>
      </c>
      <c r="C43" t="str">
        <f t="shared" si="1"/>
        <v>11</v>
      </c>
      <c r="D43" t="str">
        <f t="shared" si="2"/>
        <v>2021</v>
      </c>
      <c r="E43" s="51" t="s">
        <v>1415</v>
      </c>
      <c r="J43">
        <v>-9.7500000000000003E-2</v>
      </c>
      <c r="K43">
        <v>0</v>
      </c>
      <c r="L43">
        <v>0</v>
      </c>
      <c r="M43">
        <v>1668</v>
      </c>
      <c r="N43">
        <v>0</v>
      </c>
      <c r="O43">
        <v>0</v>
      </c>
      <c r="P43">
        <v>0</v>
      </c>
      <c r="Q43">
        <v>0</v>
      </c>
      <c r="R43">
        <v>0</v>
      </c>
    </row>
    <row r="44" spans="1:18" x14ac:dyDescent="0.2">
      <c r="A44" t="str">
        <f t="shared" si="0"/>
        <v>ICE.2021.12</v>
      </c>
      <c r="B44" t="s">
        <v>1403</v>
      </c>
      <c r="C44" t="str">
        <f t="shared" si="1"/>
        <v>12</v>
      </c>
      <c r="D44" t="str">
        <f t="shared" si="2"/>
        <v>2021</v>
      </c>
      <c r="E44" s="51" t="s">
        <v>1416</v>
      </c>
      <c r="J44">
        <v>-0.10249999999999999</v>
      </c>
      <c r="K44">
        <v>0</v>
      </c>
      <c r="L44">
        <v>0</v>
      </c>
      <c r="M44">
        <v>1723</v>
      </c>
      <c r="N44">
        <v>0</v>
      </c>
      <c r="O44">
        <v>0</v>
      </c>
      <c r="P44">
        <v>0</v>
      </c>
      <c r="Q44">
        <v>0</v>
      </c>
      <c r="R44">
        <v>0</v>
      </c>
    </row>
    <row r="45" spans="1:18" x14ac:dyDescent="0.2">
      <c r="A45" t="str">
        <f t="shared" si="0"/>
        <v>ICE.2022.1</v>
      </c>
      <c r="B45" t="s">
        <v>1403</v>
      </c>
      <c r="C45" t="str">
        <f t="shared" si="1"/>
        <v>1</v>
      </c>
      <c r="D45" t="str">
        <f t="shared" si="2"/>
        <v>2022</v>
      </c>
      <c r="E45" s="51" t="s">
        <v>1485</v>
      </c>
      <c r="J45">
        <v>-0.14249999999999999</v>
      </c>
      <c r="K45">
        <v>0</v>
      </c>
      <c r="L45">
        <v>0</v>
      </c>
      <c r="M45">
        <v>824</v>
      </c>
      <c r="N45">
        <v>0</v>
      </c>
      <c r="O45">
        <v>0</v>
      </c>
      <c r="P45">
        <v>0</v>
      </c>
      <c r="Q45">
        <v>0</v>
      </c>
      <c r="R45">
        <v>0</v>
      </c>
    </row>
    <row r="46" spans="1:18" x14ac:dyDescent="0.2">
      <c r="A46" t="str">
        <f t="shared" si="0"/>
        <v>ICE.2022.2</v>
      </c>
      <c r="B46" t="s">
        <v>1403</v>
      </c>
      <c r="C46" t="str">
        <f t="shared" si="1"/>
        <v>2</v>
      </c>
      <c r="D46" t="str">
        <f t="shared" si="2"/>
        <v>2022</v>
      </c>
      <c r="E46" s="51" t="s">
        <v>1486</v>
      </c>
      <c r="J46">
        <v>-0.14000000000000001</v>
      </c>
      <c r="K46">
        <v>0</v>
      </c>
      <c r="L46">
        <v>0</v>
      </c>
      <c r="M46">
        <v>744</v>
      </c>
      <c r="N46">
        <v>0</v>
      </c>
      <c r="O46">
        <v>0</v>
      </c>
      <c r="P46">
        <v>0</v>
      </c>
      <c r="Q46">
        <v>0</v>
      </c>
      <c r="R46">
        <v>0</v>
      </c>
    </row>
    <row r="47" spans="1:18" x14ac:dyDescent="0.2">
      <c r="A47" t="str">
        <f t="shared" si="0"/>
        <v>ICE.2022.3</v>
      </c>
      <c r="B47" t="s">
        <v>1403</v>
      </c>
      <c r="C47" t="str">
        <f t="shared" si="1"/>
        <v>3</v>
      </c>
      <c r="D47" t="str">
        <f t="shared" si="2"/>
        <v>2022</v>
      </c>
      <c r="E47" s="51" t="s">
        <v>1487</v>
      </c>
      <c r="J47">
        <v>-0.14249999999999999</v>
      </c>
      <c r="K47">
        <v>0</v>
      </c>
      <c r="L47">
        <v>0</v>
      </c>
      <c r="M47">
        <v>824</v>
      </c>
      <c r="N47">
        <v>0</v>
      </c>
      <c r="O47">
        <v>0</v>
      </c>
      <c r="P47">
        <v>0</v>
      </c>
      <c r="Q47">
        <v>0</v>
      </c>
      <c r="R47">
        <v>0</v>
      </c>
    </row>
    <row r="48" spans="1:18" x14ac:dyDescent="0.2">
      <c r="A48" t="str">
        <f t="shared" si="0"/>
        <v>ICE.2022.4</v>
      </c>
      <c r="B48" t="s">
        <v>1403</v>
      </c>
      <c r="C48" t="str">
        <f t="shared" si="1"/>
        <v>4</v>
      </c>
      <c r="D48" t="str">
        <f t="shared" si="2"/>
        <v>2022</v>
      </c>
      <c r="E48" s="51" t="s">
        <v>1488</v>
      </c>
      <c r="J48">
        <v>-7.4999999999999997E-2</v>
      </c>
      <c r="K48">
        <v>0</v>
      </c>
      <c r="L48">
        <v>0</v>
      </c>
      <c r="M48">
        <v>797</v>
      </c>
      <c r="N48">
        <v>0</v>
      </c>
      <c r="O48">
        <v>0</v>
      </c>
      <c r="P48">
        <v>0</v>
      </c>
      <c r="Q48">
        <v>0</v>
      </c>
      <c r="R48">
        <v>0</v>
      </c>
    </row>
    <row r="49" spans="1:18" x14ac:dyDescent="0.2">
      <c r="A49" t="str">
        <f t="shared" si="0"/>
        <v>ICE.2022.5</v>
      </c>
      <c r="B49" t="s">
        <v>1403</v>
      </c>
      <c r="C49" t="str">
        <f t="shared" si="1"/>
        <v>5</v>
      </c>
      <c r="D49" t="str">
        <f t="shared" si="2"/>
        <v>2022</v>
      </c>
      <c r="E49" s="51" t="s">
        <v>1489</v>
      </c>
      <c r="J49">
        <v>-0.1</v>
      </c>
      <c r="K49">
        <v>0</v>
      </c>
      <c r="L49">
        <v>0</v>
      </c>
      <c r="M49">
        <v>824</v>
      </c>
      <c r="N49">
        <v>0</v>
      </c>
      <c r="O49">
        <v>0</v>
      </c>
      <c r="P49">
        <v>0</v>
      </c>
      <c r="Q49">
        <v>0</v>
      </c>
      <c r="R49">
        <v>0</v>
      </c>
    </row>
    <row r="50" spans="1:18" x14ac:dyDescent="0.2">
      <c r="A50" t="str">
        <f t="shared" si="0"/>
        <v>ICE.2022.6</v>
      </c>
      <c r="B50" t="s">
        <v>1403</v>
      </c>
      <c r="C50" t="str">
        <f t="shared" si="1"/>
        <v>6</v>
      </c>
      <c r="D50" t="str">
        <f t="shared" si="2"/>
        <v>2022</v>
      </c>
      <c r="E50" s="51" t="s">
        <v>1490</v>
      </c>
      <c r="J50">
        <v>-9.7500000000000003E-2</v>
      </c>
      <c r="K50">
        <v>0</v>
      </c>
      <c r="L50">
        <v>0</v>
      </c>
      <c r="M50">
        <v>797</v>
      </c>
      <c r="N50">
        <v>0</v>
      </c>
      <c r="O50">
        <v>0</v>
      </c>
      <c r="P50">
        <v>0</v>
      </c>
      <c r="Q50">
        <v>0</v>
      </c>
      <c r="R50">
        <v>0</v>
      </c>
    </row>
    <row r="51" spans="1:18" x14ac:dyDescent="0.2">
      <c r="A51" t="str">
        <f t="shared" si="0"/>
        <v>ICE.2022.7</v>
      </c>
      <c r="B51" t="s">
        <v>1403</v>
      </c>
      <c r="C51" t="str">
        <f t="shared" si="1"/>
        <v>7</v>
      </c>
      <c r="D51" t="str">
        <f t="shared" si="2"/>
        <v>2022</v>
      </c>
      <c r="E51" s="51" t="s">
        <v>1491</v>
      </c>
      <c r="J51">
        <v>-7.7499999999999999E-2</v>
      </c>
      <c r="K51">
        <v>0</v>
      </c>
      <c r="L51">
        <v>0</v>
      </c>
      <c r="M51">
        <v>824</v>
      </c>
      <c r="N51">
        <v>0</v>
      </c>
      <c r="O51">
        <v>0</v>
      </c>
      <c r="P51">
        <v>0</v>
      </c>
      <c r="Q51">
        <v>0</v>
      </c>
      <c r="R51">
        <v>0</v>
      </c>
    </row>
    <row r="52" spans="1:18" x14ac:dyDescent="0.2">
      <c r="A52" t="str">
        <f t="shared" si="0"/>
        <v>ICE.2022.8</v>
      </c>
      <c r="B52" t="s">
        <v>1403</v>
      </c>
      <c r="C52" t="str">
        <f t="shared" si="1"/>
        <v>8</v>
      </c>
      <c r="D52" t="str">
        <f t="shared" si="2"/>
        <v>2022</v>
      </c>
      <c r="E52" s="51" t="s">
        <v>1492</v>
      </c>
      <c r="J52">
        <v>-7.4999999999999997E-2</v>
      </c>
      <c r="K52">
        <v>0</v>
      </c>
      <c r="L52">
        <v>0</v>
      </c>
      <c r="M52">
        <v>824</v>
      </c>
      <c r="N52">
        <v>0</v>
      </c>
      <c r="O52">
        <v>0</v>
      </c>
      <c r="P52">
        <v>0</v>
      </c>
      <c r="Q52">
        <v>0</v>
      </c>
      <c r="R52">
        <v>0</v>
      </c>
    </row>
    <row r="53" spans="1:18" x14ac:dyDescent="0.2">
      <c r="A53" t="str">
        <f t="shared" si="0"/>
        <v>ICE.2022.9</v>
      </c>
      <c r="B53" t="s">
        <v>1403</v>
      </c>
      <c r="C53" t="str">
        <f t="shared" si="1"/>
        <v>9</v>
      </c>
      <c r="D53" t="str">
        <f t="shared" si="2"/>
        <v>2022</v>
      </c>
      <c r="E53" s="51" t="s">
        <v>1493</v>
      </c>
      <c r="J53">
        <v>-6.5000000000000002E-2</v>
      </c>
      <c r="K53">
        <v>0</v>
      </c>
      <c r="L53">
        <v>0</v>
      </c>
      <c r="M53">
        <v>797</v>
      </c>
      <c r="N53">
        <v>0</v>
      </c>
      <c r="O53">
        <v>0</v>
      </c>
      <c r="P53">
        <v>0</v>
      </c>
      <c r="Q53">
        <v>0</v>
      </c>
      <c r="R53">
        <v>0</v>
      </c>
    </row>
    <row r="54" spans="1:18" x14ac:dyDescent="0.2">
      <c r="A54" t="str">
        <f t="shared" si="0"/>
        <v>ICE.2022.10</v>
      </c>
      <c r="B54" t="s">
        <v>1403</v>
      </c>
      <c r="C54" t="str">
        <f t="shared" si="1"/>
        <v>10</v>
      </c>
      <c r="D54" t="str">
        <f t="shared" si="2"/>
        <v>2022</v>
      </c>
      <c r="E54" s="51" t="s">
        <v>1494</v>
      </c>
      <c r="J54">
        <v>-4.7500000000000001E-2</v>
      </c>
      <c r="K54">
        <v>0</v>
      </c>
      <c r="L54">
        <v>0</v>
      </c>
      <c r="M54">
        <v>824</v>
      </c>
      <c r="N54">
        <v>0</v>
      </c>
      <c r="O54">
        <v>0</v>
      </c>
      <c r="P54">
        <v>0</v>
      </c>
      <c r="Q54">
        <v>0</v>
      </c>
      <c r="R54">
        <v>0</v>
      </c>
    </row>
    <row r="55" spans="1:18" x14ac:dyDescent="0.2">
      <c r="A55" t="str">
        <f t="shared" si="0"/>
        <v>ICE.2022.11</v>
      </c>
      <c r="B55" t="s">
        <v>1403</v>
      </c>
      <c r="C55" t="str">
        <f t="shared" si="1"/>
        <v>11</v>
      </c>
      <c r="D55" t="str">
        <f t="shared" si="2"/>
        <v>2022</v>
      </c>
      <c r="E55" s="51" t="s">
        <v>1495</v>
      </c>
      <c r="J55">
        <v>-0.11</v>
      </c>
      <c r="K55">
        <v>0</v>
      </c>
      <c r="L55">
        <v>0</v>
      </c>
      <c r="M55">
        <v>797</v>
      </c>
      <c r="N55">
        <v>0</v>
      </c>
      <c r="O55">
        <v>0</v>
      </c>
      <c r="P55">
        <v>0</v>
      </c>
      <c r="Q55">
        <v>0</v>
      </c>
      <c r="R55">
        <v>0</v>
      </c>
    </row>
    <row r="56" spans="1:18" x14ac:dyDescent="0.2">
      <c r="A56" t="str">
        <f t="shared" si="0"/>
        <v>ICE.2022.12</v>
      </c>
      <c r="B56" t="s">
        <v>1403</v>
      </c>
      <c r="C56" t="str">
        <f t="shared" si="1"/>
        <v>12</v>
      </c>
      <c r="D56" t="str">
        <f t="shared" si="2"/>
        <v>2022</v>
      </c>
      <c r="E56" s="51" t="s">
        <v>1496</v>
      </c>
      <c r="J56">
        <v>-0.115</v>
      </c>
      <c r="K56">
        <v>0</v>
      </c>
      <c r="L56">
        <v>0</v>
      </c>
      <c r="M56">
        <v>824</v>
      </c>
      <c r="N56">
        <v>0</v>
      </c>
      <c r="O56">
        <v>0</v>
      </c>
      <c r="P56">
        <v>0</v>
      </c>
      <c r="Q56">
        <v>0</v>
      </c>
      <c r="R56">
        <v>0</v>
      </c>
    </row>
    <row r="57" spans="1:18" x14ac:dyDescent="0.2">
      <c r="A57" t="str">
        <f t="shared" si="0"/>
        <v>ICE.2023.1</v>
      </c>
      <c r="B57" t="s">
        <v>1403</v>
      </c>
      <c r="C57" t="str">
        <f t="shared" si="1"/>
        <v>1</v>
      </c>
      <c r="D57" t="str">
        <f t="shared" si="2"/>
        <v>2023</v>
      </c>
      <c r="E57" s="51" t="s">
        <v>1511</v>
      </c>
      <c r="J57">
        <v>-0.13500000000000001</v>
      </c>
      <c r="K57">
        <v>0</v>
      </c>
      <c r="L57">
        <v>0</v>
      </c>
      <c r="M57">
        <v>651</v>
      </c>
      <c r="N57">
        <v>0</v>
      </c>
      <c r="O57">
        <v>0</v>
      </c>
      <c r="P57">
        <v>0</v>
      </c>
      <c r="Q57">
        <v>0</v>
      </c>
      <c r="R57">
        <v>0</v>
      </c>
    </row>
    <row r="58" spans="1:18" x14ac:dyDescent="0.2">
      <c r="A58" t="str">
        <f t="shared" si="0"/>
        <v>ICE.2023.2</v>
      </c>
      <c r="B58" t="s">
        <v>1403</v>
      </c>
      <c r="C58" t="str">
        <f t="shared" si="1"/>
        <v>2</v>
      </c>
      <c r="D58" t="str">
        <f t="shared" si="2"/>
        <v>2023</v>
      </c>
      <c r="E58" s="51" t="s">
        <v>1512</v>
      </c>
      <c r="J58">
        <v>-0.13750000000000001</v>
      </c>
      <c r="K58">
        <v>0</v>
      </c>
      <c r="L58">
        <v>0</v>
      </c>
      <c r="M58">
        <v>588</v>
      </c>
      <c r="N58">
        <v>0</v>
      </c>
      <c r="O58">
        <v>0</v>
      </c>
      <c r="P58">
        <v>0</v>
      </c>
      <c r="Q58">
        <v>0</v>
      </c>
      <c r="R58">
        <v>0</v>
      </c>
    </row>
    <row r="59" spans="1:18" x14ac:dyDescent="0.2">
      <c r="A59" t="str">
        <f t="shared" si="0"/>
        <v>ICE.2023.3</v>
      </c>
      <c r="B59" t="s">
        <v>1403</v>
      </c>
      <c r="C59" t="str">
        <f t="shared" si="1"/>
        <v>3</v>
      </c>
      <c r="D59" t="str">
        <f t="shared" si="2"/>
        <v>2023</v>
      </c>
      <c r="E59" s="51" t="s">
        <v>1513</v>
      </c>
      <c r="J59">
        <v>-0.1275</v>
      </c>
      <c r="K59">
        <v>0</v>
      </c>
      <c r="L59">
        <v>0</v>
      </c>
      <c r="M59">
        <v>651</v>
      </c>
      <c r="N59">
        <v>0</v>
      </c>
      <c r="O59">
        <v>0</v>
      </c>
      <c r="P59">
        <v>0</v>
      </c>
      <c r="Q59">
        <v>0</v>
      </c>
      <c r="R59">
        <v>0</v>
      </c>
    </row>
    <row r="60" spans="1:18" x14ac:dyDescent="0.2">
      <c r="A60" t="str">
        <f t="shared" si="0"/>
        <v>ICE.2023.4</v>
      </c>
      <c r="B60" t="s">
        <v>1403</v>
      </c>
      <c r="C60" t="str">
        <f t="shared" si="1"/>
        <v>4</v>
      </c>
      <c r="D60" t="str">
        <f t="shared" si="2"/>
        <v>2023</v>
      </c>
      <c r="E60" s="51" t="s">
        <v>1514</v>
      </c>
      <c r="J60">
        <v>-8.2500000000000004E-2</v>
      </c>
      <c r="K60">
        <v>0</v>
      </c>
      <c r="L60">
        <v>0</v>
      </c>
      <c r="M60">
        <v>660</v>
      </c>
      <c r="N60">
        <v>0</v>
      </c>
      <c r="O60">
        <v>0</v>
      </c>
      <c r="P60">
        <v>0</v>
      </c>
      <c r="Q60">
        <v>0</v>
      </c>
      <c r="R60">
        <v>0</v>
      </c>
    </row>
    <row r="61" spans="1:18" x14ac:dyDescent="0.2">
      <c r="A61" t="str">
        <f t="shared" si="0"/>
        <v>ICE.2023.5</v>
      </c>
      <c r="B61" t="s">
        <v>1403</v>
      </c>
      <c r="C61" t="str">
        <f t="shared" si="1"/>
        <v>5</v>
      </c>
      <c r="D61" t="str">
        <f t="shared" si="2"/>
        <v>2023</v>
      </c>
      <c r="E61" s="51" t="s">
        <v>1515</v>
      </c>
      <c r="J61">
        <v>-0.105</v>
      </c>
      <c r="K61">
        <v>0</v>
      </c>
      <c r="L61">
        <v>0</v>
      </c>
      <c r="M61">
        <v>682</v>
      </c>
      <c r="N61">
        <v>0</v>
      </c>
      <c r="O61">
        <v>0</v>
      </c>
      <c r="P61">
        <v>0</v>
      </c>
      <c r="Q61">
        <v>0</v>
      </c>
      <c r="R61">
        <v>0</v>
      </c>
    </row>
    <row r="62" spans="1:18" x14ac:dyDescent="0.2">
      <c r="A62" t="str">
        <f t="shared" si="0"/>
        <v>ICE.2023.6</v>
      </c>
      <c r="B62" t="s">
        <v>1403</v>
      </c>
      <c r="C62" t="str">
        <f t="shared" si="1"/>
        <v>6</v>
      </c>
      <c r="D62" t="str">
        <f t="shared" si="2"/>
        <v>2023</v>
      </c>
      <c r="E62" s="51" t="s">
        <v>1516</v>
      </c>
      <c r="J62">
        <v>-0.1</v>
      </c>
      <c r="K62">
        <v>0</v>
      </c>
      <c r="L62">
        <v>0</v>
      </c>
      <c r="M62">
        <v>660</v>
      </c>
      <c r="N62">
        <v>0</v>
      </c>
      <c r="O62">
        <v>0</v>
      </c>
      <c r="P62">
        <v>0</v>
      </c>
      <c r="Q62">
        <v>0</v>
      </c>
      <c r="R62">
        <v>0</v>
      </c>
    </row>
    <row r="63" spans="1:18" x14ac:dyDescent="0.2">
      <c r="A63" t="str">
        <f t="shared" si="0"/>
        <v>ICE.2023.7</v>
      </c>
      <c r="B63" t="s">
        <v>1403</v>
      </c>
      <c r="C63" t="str">
        <f t="shared" si="1"/>
        <v>7</v>
      </c>
      <c r="D63" t="str">
        <f t="shared" si="2"/>
        <v>2023</v>
      </c>
      <c r="E63" s="51" t="s">
        <v>1517</v>
      </c>
      <c r="J63">
        <v>-8.5000000000000006E-2</v>
      </c>
      <c r="K63">
        <v>0</v>
      </c>
      <c r="L63">
        <v>0</v>
      </c>
      <c r="M63">
        <v>682</v>
      </c>
      <c r="N63">
        <v>0</v>
      </c>
      <c r="O63">
        <v>0</v>
      </c>
      <c r="P63">
        <v>0</v>
      </c>
      <c r="Q63">
        <v>0</v>
      </c>
      <c r="R63">
        <v>0</v>
      </c>
    </row>
    <row r="64" spans="1:18" x14ac:dyDescent="0.2">
      <c r="A64" t="str">
        <f t="shared" si="0"/>
        <v>ICE.2023.8</v>
      </c>
      <c r="B64" t="s">
        <v>1403</v>
      </c>
      <c r="C64" t="str">
        <f t="shared" si="1"/>
        <v>8</v>
      </c>
      <c r="D64" t="str">
        <f t="shared" si="2"/>
        <v>2023</v>
      </c>
      <c r="E64" s="51" t="s">
        <v>1518</v>
      </c>
      <c r="J64">
        <v>-8.5000000000000006E-2</v>
      </c>
      <c r="K64">
        <v>0</v>
      </c>
      <c r="L64">
        <v>0</v>
      </c>
      <c r="M64">
        <v>682</v>
      </c>
      <c r="N64">
        <v>0</v>
      </c>
      <c r="O64">
        <v>0</v>
      </c>
      <c r="P64">
        <v>0</v>
      </c>
      <c r="Q64">
        <v>0</v>
      </c>
      <c r="R64">
        <v>0</v>
      </c>
    </row>
    <row r="65" spans="1:18" x14ac:dyDescent="0.2">
      <c r="A65" t="str">
        <f t="shared" si="0"/>
        <v>ICE.2023.9</v>
      </c>
      <c r="B65" t="s">
        <v>1403</v>
      </c>
      <c r="C65" t="str">
        <f t="shared" si="1"/>
        <v>9</v>
      </c>
      <c r="D65" t="str">
        <f t="shared" si="2"/>
        <v>2023</v>
      </c>
      <c r="E65" s="51" t="s">
        <v>1519</v>
      </c>
      <c r="J65">
        <v>-7.2499999999999995E-2</v>
      </c>
      <c r="K65">
        <v>0</v>
      </c>
      <c r="L65">
        <v>0</v>
      </c>
      <c r="M65">
        <v>660</v>
      </c>
      <c r="N65">
        <v>0</v>
      </c>
      <c r="O65">
        <v>0</v>
      </c>
      <c r="P65">
        <v>0</v>
      </c>
      <c r="Q65">
        <v>0</v>
      </c>
      <c r="R65">
        <v>0</v>
      </c>
    </row>
    <row r="66" spans="1:18" x14ac:dyDescent="0.2">
      <c r="A66" t="str">
        <f t="shared" si="0"/>
        <v>ICE.2023.10</v>
      </c>
      <c r="B66" t="s">
        <v>1403</v>
      </c>
      <c r="C66" t="str">
        <f t="shared" si="1"/>
        <v>10</v>
      </c>
      <c r="D66" t="str">
        <f t="shared" si="2"/>
        <v>2023</v>
      </c>
      <c r="E66" s="51" t="s">
        <v>1520</v>
      </c>
      <c r="J66">
        <v>-6.25E-2</v>
      </c>
      <c r="K66">
        <v>0</v>
      </c>
      <c r="L66">
        <v>0</v>
      </c>
      <c r="M66">
        <v>682</v>
      </c>
      <c r="N66">
        <v>0</v>
      </c>
      <c r="O66">
        <v>0</v>
      </c>
      <c r="P66">
        <v>0</v>
      </c>
      <c r="Q66">
        <v>0</v>
      </c>
      <c r="R66">
        <v>0</v>
      </c>
    </row>
    <row r="67" spans="1:18" x14ac:dyDescent="0.2">
      <c r="A67" t="str">
        <f t="shared" ref="A67:A116" si="3">B67&amp;"."&amp;D67&amp;"."&amp;C67</f>
        <v>ICE.2023.11</v>
      </c>
      <c r="B67" t="s">
        <v>1403</v>
      </c>
      <c r="C67" t="str">
        <f t="shared" ref="C67:C116" si="4">TEXT(DATEVALUE("1"&amp;E67),"M")</f>
        <v>11</v>
      </c>
      <c r="D67" t="str">
        <f t="shared" ref="D67:D116" si="5">TEXT(DATEVALUE("1"&amp;E67),"YYYY")</f>
        <v>2023</v>
      </c>
      <c r="E67" s="51" t="s">
        <v>1521</v>
      </c>
      <c r="J67">
        <v>-0.10249999999999999</v>
      </c>
      <c r="K67">
        <v>0</v>
      </c>
      <c r="L67">
        <v>0</v>
      </c>
      <c r="M67">
        <v>630</v>
      </c>
      <c r="N67">
        <v>0</v>
      </c>
      <c r="O67">
        <v>0</v>
      </c>
      <c r="P67">
        <v>0</v>
      </c>
      <c r="Q67">
        <v>0</v>
      </c>
      <c r="R67">
        <v>0</v>
      </c>
    </row>
    <row r="68" spans="1:18" x14ac:dyDescent="0.2">
      <c r="A68" t="str">
        <f t="shared" si="3"/>
        <v>ICE.2023.12</v>
      </c>
      <c r="B68" t="s">
        <v>1403</v>
      </c>
      <c r="C68" t="str">
        <f t="shared" si="4"/>
        <v>12</v>
      </c>
      <c r="D68" t="str">
        <f t="shared" si="5"/>
        <v>2023</v>
      </c>
      <c r="E68" s="51" t="s">
        <v>1522</v>
      </c>
      <c r="J68">
        <v>-0.1075</v>
      </c>
      <c r="K68">
        <v>0</v>
      </c>
      <c r="L68">
        <v>0</v>
      </c>
      <c r="M68">
        <v>651</v>
      </c>
      <c r="N68">
        <v>0</v>
      </c>
      <c r="O68">
        <v>0</v>
      </c>
      <c r="P68">
        <v>0</v>
      </c>
      <c r="Q68">
        <v>0</v>
      </c>
      <c r="R68">
        <v>0</v>
      </c>
    </row>
    <row r="69" spans="1:18" x14ac:dyDescent="0.2">
      <c r="A69" t="str">
        <f t="shared" si="3"/>
        <v>ICE.2024.1</v>
      </c>
      <c r="B69" t="s">
        <v>1403</v>
      </c>
      <c r="C69" t="str">
        <f t="shared" si="4"/>
        <v>1</v>
      </c>
      <c r="D69" t="str">
        <f t="shared" si="5"/>
        <v>2024</v>
      </c>
      <c r="E69" s="51" t="s">
        <v>1523</v>
      </c>
      <c r="J69">
        <v>-0.13250000000000001</v>
      </c>
      <c r="K69">
        <v>0</v>
      </c>
      <c r="L69">
        <v>0</v>
      </c>
      <c r="M69">
        <v>17</v>
      </c>
      <c r="N69">
        <v>0</v>
      </c>
      <c r="O69">
        <v>0</v>
      </c>
      <c r="P69">
        <v>0</v>
      </c>
      <c r="Q69">
        <v>0</v>
      </c>
      <c r="R69">
        <v>0</v>
      </c>
    </row>
    <row r="70" spans="1:18" x14ac:dyDescent="0.2">
      <c r="A70" t="str">
        <f t="shared" si="3"/>
        <v>ICE.2024.2</v>
      </c>
      <c r="B70" t="s">
        <v>1403</v>
      </c>
      <c r="C70" t="str">
        <f t="shared" si="4"/>
        <v>2</v>
      </c>
      <c r="D70" t="str">
        <f t="shared" si="5"/>
        <v>2024</v>
      </c>
      <c r="E70" s="51" t="s">
        <v>1524</v>
      </c>
      <c r="J70">
        <v>-0.13250000000000001</v>
      </c>
      <c r="K70">
        <v>0</v>
      </c>
      <c r="L70">
        <v>0</v>
      </c>
      <c r="M70">
        <v>16</v>
      </c>
      <c r="N70">
        <v>0</v>
      </c>
      <c r="O70">
        <v>0</v>
      </c>
      <c r="P70">
        <v>0</v>
      </c>
      <c r="Q70">
        <v>0</v>
      </c>
      <c r="R70">
        <v>0</v>
      </c>
    </row>
    <row r="71" spans="1:18" x14ac:dyDescent="0.2">
      <c r="A71" t="str">
        <f t="shared" si="3"/>
        <v>ICE.2024.3</v>
      </c>
      <c r="B71" t="s">
        <v>1403</v>
      </c>
      <c r="C71" t="str">
        <f t="shared" si="4"/>
        <v>3</v>
      </c>
      <c r="D71" t="str">
        <f t="shared" si="5"/>
        <v>2024</v>
      </c>
      <c r="E71" s="51" t="s">
        <v>1525</v>
      </c>
      <c r="J71">
        <v>-0.125</v>
      </c>
      <c r="K71">
        <v>0</v>
      </c>
      <c r="L71">
        <v>0</v>
      </c>
      <c r="M71">
        <v>17</v>
      </c>
      <c r="N71">
        <v>0</v>
      </c>
      <c r="O71">
        <v>0</v>
      </c>
      <c r="P71">
        <v>0</v>
      </c>
      <c r="Q71">
        <v>0</v>
      </c>
      <c r="R71">
        <v>0</v>
      </c>
    </row>
    <row r="72" spans="1:18" x14ac:dyDescent="0.2">
      <c r="A72" t="str">
        <f t="shared" si="3"/>
        <v>ICE.2024.4</v>
      </c>
      <c r="B72" t="s">
        <v>1403</v>
      </c>
      <c r="C72" t="str">
        <f t="shared" si="4"/>
        <v>4</v>
      </c>
      <c r="D72" t="str">
        <f t="shared" si="5"/>
        <v>2024</v>
      </c>
      <c r="E72" s="51" t="s">
        <v>1526</v>
      </c>
      <c r="J72">
        <v>-7.2499999999999995E-2</v>
      </c>
      <c r="K72">
        <v>0</v>
      </c>
      <c r="L72">
        <v>0</v>
      </c>
      <c r="M72">
        <v>17</v>
      </c>
      <c r="N72">
        <v>0</v>
      </c>
      <c r="O72">
        <v>0</v>
      </c>
      <c r="P72">
        <v>0</v>
      </c>
      <c r="Q72">
        <v>0</v>
      </c>
      <c r="R72">
        <v>0</v>
      </c>
    </row>
    <row r="73" spans="1:18" x14ac:dyDescent="0.2">
      <c r="A73" t="str">
        <f t="shared" si="3"/>
        <v>ICE.2024.5</v>
      </c>
      <c r="B73" t="s">
        <v>1403</v>
      </c>
      <c r="C73" t="str">
        <f t="shared" si="4"/>
        <v>5</v>
      </c>
      <c r="D73" t="str">
        <f t="shared" si="5"/>
        <v>2024</v>
      </c>
      <c r="E73" s="51" t="s">
        <v>1527</v>
      </c>
      <c r="J73">
        <v>-8.7499999999999994E-2</v>
      </c>
      <c r="K73">
        <v>0</v>
      </c>
      <c r="L73">
        <v>0</v>
      </c>
      <c r="M73">
        <v>17</v>
      </c>
      <c r="N73">
        <v>0</v>
      </c>
      <c r="O73">
        <v>0</v>
      </c>
      <c r="P73">
        <v>0</v>
      </c>
      <c r="Q73">
        <v>0</v>
      </c>
      <c r="R73">
        <v>0</v>
      </c>
    </row>
    <row r="74" spans="1:18" x14ac:dyDescent="0.2">
      <c r="A74" t="str">
        <f t="shared" si="3"/>
        <v>ICE.2024.6</v>
      </c>
      <c r="B74" t="s">
        <v>1403</v>
      </c>
      <c r="C74" t="str">
        <f t="shared" si="4"/>
        <v>6</v>
      </c>
      <c r="D74" t="str">
        <f t="shared" si="5"/>
        <v>2024</v>
      </c>
      <c r="E74" s="51" t="s">
        <v>1528</v>
      </c>
      <c r="J74">
        <v>-8.5000000000000006E-2</v>
      </c>
      <c r="K74">
        <v>0</v>
      </c>
      <c r="L74">
        <v>0</v>
      </c>
      <c r="M74">
        <v>17</v>
      </c>
      <c r="N74">
        <v>0</v>
      </c>
      <c r="O74">
        <v>0</v>
      </c>
      <c r="P74">
        <v>0</v>
      </c>
      <c r="Q74">
        <v>0</v>
      </c>
      <c r="R74">
        <v>0</v>
      </c>
    </row>
    <row r="75" spans="1:18" x14ac:dyDescent="0.2">
      <c r="A75" t="str">
        <f t="shared" si="3"/>
        <v>ICE.2024.7</v>
      </c>
      <c r="B75" t="s">
        <v>1403</v>
      </c>
      <c r="C75" t="str">
        <f t="shared" si="4"/>
        <v>7</v>
      </c>
      <c r="D75" t="str">
        <f t="shared" si="5"/>
        <v>2024</v>
      </c>
      <c r="E75" s="51" t="s">
        <v>1529</v>
      </c>
      <c r="J75">
        <v>-7.2499999999999995E-2</v>
      </c>
      <c r="K75">
        <v>0</v>
      </c>
      <c r="L75">
        <v>0</v>
      </c>
      <c r="M75">
        <v>17</v>
      </c>
      <c r="N75">
        <v>0</v>
      </c>
      <c r="O75">
        <v>0</v>
      </c>
      <c r="P75">
        <v>0</v>
      </c>
      <c r="Q75">
        <v>0</v>
      </c>
      <c r="R75">
        <v>0</v>
      </c>
    </row>
    <row r="76" spans="1:18" x14ac:dyDescent="0.2">
      <c r="A76" t="str">
        <f t="shared" si="3"/>
        <v>ICE.2024.8</v>
      </c>
      <c r="B76" t="s">
        <v>1403</v>
      </c>
      <c r="C76" t="str">
        <f t="shared" si="4"/>
        <v>8</v>
      </c>
      <c r="D76" t="str">
        <f t="shared" si="5"/>
        <v>2024</v>
      </c>
      <c r="E76" s="51" t="s">
        <v>1530</v>
      </c>
      <c r="J76">
        <v>-7.0000000000000007E-2</v>
      </c>
      <c r="K76">
        <v>0</v>
      </c>
      <c r="L76">
        <v>0</v>
      </c>
      <c r="M76">
        <v>17</v>
      </c>
      <c r="N76">
        <v>0</v>
      </c>
      <c r="O76">
        <v>0</v>
      </c>
      <c r="P76">
        <v>0</v>
      </c>
      <c r="Q76">
        <v>0</v>
      </c>
      <c r="R76">
        <v>0</v>
      </c>
    </row>
    <row r="77" spans="1:18" x14ac:dyDescent="0.2">
      <c r="A77" t="str">
        <f t="shared" si="3"/>
        <v>ICE.2024.9</v>
      </c>
      <c r="B77" t="s">
        <v>1403</v>
      </c>
      <c r="C77" t="str">
        <f t="shared" si="4"/>
        <v>9</v>
      </c>
      <c r="D77" t="str">
        <f t="shared" si="5"/>
        <v>2024</v>
      </c>
      <c r="E77" s="51" t="s">
        <v>1531</v>
      </c>
      <c r="J77">
        <v>-6.5000000000000002E-2</v>
      </c>
      <c r="K77">
        <v>0</v>
      </c>
      <c r="L77">
        <v>0</v>
      </c>
      <c r="M77">
        <v>17</v>
      </c>
      <c r="N77">
        <v>0</v>
      </c>
      <c r="O77">
        <v>0</v>
      </c>
      <c r="P77">
        <v>0</v>
      </c>
      <c r="Q77">
        <v>0</v>
      </c>
      <c r="R77">
        <v>0</v>
      </c>
    </row>
    <row r="78" spans="1:18" x14ac:dyDescent="0.2">
      <c r="A78" t="str">
        <f t="shared" si="3"/>
        <v>ICE.2024.10</v>
      </c>
      <c r="B78" t="s">
        <v>1403</v>
      </c>
      <c r="C78" t="str">
        <f t="shared" si="4"/>
        <v>10</v>
      </c>
      <c r="D78" t="str">
        <f t="shared" si="5"/>
        <v>2024</v>
      </c>
      <c r="E78" s="51" t="s">
        <v>1532</v>
      </c>
      <c r="J78">
        <v>-5.2499999999999998E-2</v>
      </c>
      <c r="K78">
        <v>0</v>
      </c>
      <c r="L78">
        <v>0</v>
      </c>
      <c r="M78">
        <v>17</v>
      </c>
      <c r="N78">
        <v>0</v>
      </c>
      <c r="O78">
        <v>0</v>
      </c>
      <c r="P78">
        <v>0</v>
      </c>
      <c r="Q78">
        <v>0</v>
      </c>
      <c r="R78">
        <v>0</v>
      </c>
    </row>
    <row r="79" spans="1:18" x14ac:dyDescent="0.2">
      <c r="A79" t="str">
        <f t="shared" si="3"/>
        <v>ICE.2024.11</v>
      </c>
      <c r="B79" t="s">
        <v>1403</v>
      </c>
      <c r="C79" t="str">
        <f t="shared" si="4"/>
        <v>11</v>
      </c>
      <c r="D79" t="str">
        <f t="shared" si="5"/>
        <v>2024</v>
      </c>
      <c r="E79" s="51" t="s">
        <v>1533</v>
      </c>
      <c r="J79">
        <v>-0.10249999999999999</v>
      </c>
      <c r="K79">
        <v>0</v>
      </c>
      <c r="L79">
        <v>0</v>
      </c>
      <c r="M79">
        <v>16</v>
      </c>
      <c r="N79">
        <v>0</v>
      </c>
      <c r="O79">
        <v>0</v>
      </c>
      <c r="P79">
        <v>0</v>
      </c>
      <c r="Q79">
        <v>0</v>
      </c>
      <c r="R79">
        <v>0</v>
      </c>
    </row>
    <row r="80" spans="1:18" x14ac:dyDescent="0.2">
      <c r="A80" t="str">
        <f t="shared" si="3"/>
        <v>ICE.2024.12</v>
      </c>
      <c r="B80" t="s">
        <v>1403</v>
      </c>
      <c r="C80" t="str">
        <f t="shared" si="4"/>
        <v>12</v>
      </c>
      <c r="D80" t="str">
        <f t="shared" si="5"/>
        <v>2024</v>
      </c>
      <c r="E80" s="51" t="s">
        <v>1534</v>
      </c>
      <c r="J80">
        <v>-0.1075</v>
      </c>
      <c r="K80">
        <v>0</v>
      </c>
      <c r="L80">
        <v>0</v>
      </c>
      <c r="M80">
        <v>17</v>
      </c>
      <c r="N80">
        <v>0</v>
      </c>
      <c r="O80">
        <v>0</v>
      </c>
      <c r="P80">
        <v>0</v>
      </c>
      <c r="Q80">
        <v>0</v>
      </c>
      <c r="R80">
        <v>0</v>
      </c>
    </row>
    <row r="81" spans="1:18" x14ac:dyDescent="0.2">
      <c r="A81" t="str">
        <f t="shared" si="3"/>
        <v>ICE.2025.1</v>
      </c>
      <c r="B81" t="s">
        <v>1403</v>
      </c>
      <c r="C81" t="str">
        <f t="shared" si="4"/>
        <v>1</v>
      </c>
      <c r="D81" t="str">
        <f t="shared" si="5"/>
        <v>2025</v>
      </c>
      <c r="E81" s="51" t="s">
        <v>1538</v>
      </c>
      <c r="J81">
        <v>-0.13250000000000001</v>
      </c>
      <c r="K81">
        <v>0</v>
      </c>
      <c r="L81">
        <v>0</v>
      </c>
      <c r="M81">
        <v>17</v>
      </c>
      <c r="N81">
        <v>0</v>
      </c>
      <c r="O81">
        <v>0</v>
      </c>
      <c r="P81">
        <v>0</v>
      </c>
      <c r="Q81">
        <v>0</v>
      </c>
      <c r="R81">
        <v>0</v>
      </c>
    </row>
    <row r="82" spans="1:18" x14ac:dyDescent="0.2">
      <c r="A82" t="str">
        <f t="shared" si="3"/>
        <v>ICE.2025.2</v>
      </c>
      <c r="B82" t="s">
        <v>1403</v>
      </c>
      <c r="C82" t="str">
        <f t="shared" si="4"/>
        <v>2</v>
      </c>
      <c r="D82" t="str">
        <f t="shared" si="5"/>
        <v>2025</v>
      </c>
      <c r="E82" s="51" t="s">
        <v>1539</v>
      </c>
      <c r="J82">
        <v>-0.13250000000000001</v>
      </c>
      <c r="K82">
        <v>0</v>
      </c>
      <c r="L82">
        <v>0</v>
      </c>
      <c r="M82">
        <v>15</v>
      </c>
      <c r="N82">
        <v>0</v>
      </c>
      <c r="O82">
        <v>0</v>
      </c>
      <c r="P82">
        <v>0</v>
      </c>
      <c r="Q82">
        <v>0</v>
      </c>
      <c r="R82">
        <v>0</v>
      </c>
    </row>
    <row r="83" spans="1:18" x14ac:dyDescent="0.2">
      <c r="A83" t="str">
        <f t="shared" si="3"/>
        <v>ICE.2025.3</v>
      </c>
      <c r="B83" t="s">
        <v>1403</v>
      </c>
      <c r="C83" t="str">
        <f t="shared" si="4"/>
        <v>3</v>
      </c>
      <c r="D83" t="str">
        <f t="shared" si="5"/>
        <v>2025</v>
      </c>
      <c r="E83" s="51" t="s">
        <v>1540</v>
      </c>
      <c r="J83">
        <v>-0.125</v>
      </c>
      <c r="K83">
        <v>0</v>
      </c>
      <c r="L83">
        <v>0</v>
      </c>
      <c r="M83">
        <v>17</v>
      </c>
      <c r="N83">
        <v>0</v>
      </c>
      <c r="O83">
        <v>0</v>
      </c>
      <c r="P83">
        <v>0</v>
      </c>
      <c r="Q83">
        <v>0</v>
      </c>
      <c r="R83">
        <v>0</v>
      </c>
    </row>
    <row r="84" spans="1:18" x14ac:dyDescent="0.2">
      <c r="A84" t="str">
        <f t="shared" si="3"/>
        <v>ICE.2025.4</v>
      </c>
      <c r="B84" t="s">
        <v>1403</v>
      </c>
      <c r="C84" t="str">
        <f t="shared" si="4"/>
        <v>4</v>
      </c>
      <c r="D84" t="str">
        <f t="shared" si="5"/>
        <v>2025</v>
      </c>
      <c r="E84" s="51" t="s">
        <v>1541</v>
      </c>
      <c r="J84">
        <v>-5.7500000000000002E-2</v>
      </c>
      <c r="K84">
        <v>0</v>
      </c>
      <c r="L84">
        <v>0</v>
      </c>
      <c r="M84">
        <v>16</v>
      </c>
      <c r="N84">
        <v>0</v>
      </c>
      <c r="O84">
        <v>0</v>
      </c>
      <c r="P84">
        <v>0</v>
      </c>
      <c r="Q84">
        <v>0</v>
      </c>
      <c r="R84">
        <v>0</v>
      </c>
    </row>
    <row r="85" spans="1:18" x14ac:dyDescent="0.2">
      <c r="A85" t="str">
        <f t="shared" si="3"/>
        <v>ICE.2025.5</v>
      </c>
      <c r="B85" t="s">
        <v>1403</v>
      </c>
      <c r="C85" t="str">
        <f t="shared" si="4"/>
        <v>5</v>
      </c>
      <c r="D85" t="str">
        <f t="shared" si="5"/>
        <v>2025</v>
      </c>
      <c r="E85" s="51" t="s">
        <v>1542</v>
      </c>
      <c r="J85">
        <v>-7.2499999999999995E-2</v>
      </c>
      <c r="K85">
        <v>0</v>
      </c>
      <c r="L85">
        <v>0</v>
      </c>
      <c r="M85">
        <v>17</v>
      </c>
      <c r="N85">
        <v>0</v>
      </c>
      <c r="O85">
        <v>0</v>
      </c>
      <c r="P85">
        <v>0</v>
      </c>
      <c r="Q85">
        <v>0</v>
      </c>
      <c r="R85">
        <v>0</v>
      </c>
    </row>
    <row r="86" spans="1:18" x14ac:dyDescent="0.2">
      <c r="A86" t="str">
        <f t="shared" si="3"/>
        <v>ICE.2025.6</v>
      </c>
      <c r="B86" t="s">
        <v>1403</v>
      </c>
      <c r="C86" t="str">
        <f t="shared" si="4"/>
        <v>6</v>
      </c>
      <c r="D86" t="str">
        <f t="shared" si="5"/>
        <v>2025</v>
      </c>
      <c r="E86" s="51" t="s">
        <v>1543</v>
      </c>
      <c r="J86">
        <v>-7.0000000000000007E-2</v>
      </c>
      <c r="K86">
        <v>0</v>
      </c>
      <c r="L86">
        <v>0</v>
      </c>
      <c r="M86">
        <v>16</v>
      </c>
      <c r="N86">
        <v>0</v>
      </c>
      <c r="O86">
        <v>0</v>
      </c>
      <c r="P86">
        <v>0</v>
      </c>
      <c r="Q86">
        <v>0</v>
      </c>
      <c r="R86">
        <v>0</v>
      </c>
    </row>
    <row r="87" spans="1:18" x14ac:dyDescent="0.2">
      <c r="A87" t="str">
        <f t="shared" si="3"/>
        <v>ICE.2025.7</v>
      </c>
      <c r="B87" t="s">
        <v>1403</v>
      </c>
      <c r="C87" t="str">
        <f t="shared" si="4"/>
        <v>7</v>
      </c>
      <c r="D87" t="str">
        <f t="shared" si="5"/>
        <v>2025</v>
      </c>
      <c r="E87" s="51" t="s">
        <v>1544</v>
      </c>
      <c r="J87">
        <v>-5.7500000000000002E-2</v>
      </c>
      <c r="K87">
        <v>0</v>
      </c>
      <c r="L87">
        <v>0</v>
      </c>
      <c r="M87">
        <v>17</v>
      </c>
      <c r="N87">
        <v>0</v>
      </c>
      <c r="O87">
        <v>0</v>
      </c>
      <c r="P87">
        <v>0</v>
      </c>
      <c r="Q87">
        <v>0</v>
      </c>
      <c r="R87">
        <v>0</v>
      </c>
    </row>
    <row r="88" spans="1:18" x14ac:dyDescent="0.2">
      <c r="A88" t="str">
        <f t="shared" si="3"/>
        <v>ICE.2025.8</v>
      </c>
      <c r="B88" t="s">
        <v>1403</v>
      </c>
      <c r="C88" t="str">
        <f t="shared" si="4"/>
        <v>8</v>
      </c>
      <c r="D88" t="str">
        <f t="shared" si="5"/>
        <v>2025</v>
      </c>
      <c r="E88" s="51" t="s">
        <v>1545</v>
      </c>
      <c r="J88">
        <v>-5.7500000000000002E-2</v>
      </c>
      <c r="K88">
        <v>0</v>
      </c>
      <c r="L88">
        <v>0</v>
      </c>
      <c r="M88">
        <v>17</v>
      </c>
      <c r="N88">
        <v>0</v>
      </c>
      <c r="O88">
        <v>0</v>
      </c>
      <c r="P88">
        <v>0</v>
      </c>
      <c r="Q88">
        <v>0</v>
      </c>
      <c r="R88">
        <v>0</v>
      </c>
    </row>
    <row r="89" spans="1:18" x14ac:dyDescent="0.2">
      <c r="A89" t="str">
        <f t="shared" si="3"/>
        <v>ICE.2025.9</v>
      </c>
      <c r="B89" t="s">
        <v>1403</v>
      </c>
      <c r="C89" t="str">
        <f t="shared" si="4"/>
        <v>9</v>
      </c>
      <c r="D89" t="str">
        <f t="shared" si="5"/>
        <v>2025</v>
      </c>
      <c r="E89" s="51" t="s">
        <v>1546</v>
      </c>
      <c r="J89">
        <v>-0.05</v>
      </c>
      <c r="K89">
        <v>0</v>
      </c>
      <c r="L89">
        <v>0</v>
      </c>
      <c r="M89">
        <v>16</v>
      </c>
      <c r="N89">
        <v>0</v>
      </c>
      <c r="O89">
        <v>0</v>
      </c>
      <c r="P89">
        <v>0</v>
      </c>
      <c r="Q89">
        <v>0</v>
      </c>
      <c r="R89">
        <v>0</v>
      </c>
    </row>
    <row r="90" spans="1:18" x14ac:dyDescent="0.2">
      <c r="A90" t="str">
        <f t="shared" si="3"/>
        <v>ICE.2025.10</v>
      </c>
      <c r="B90" t="s">
        <v>1403</v>
      </c>
      <c r="C90" t="str">
        <f t="shared" si="4"/>
        <v>10</v>
      </c>
      <c r="D90" t="str">
        <f t="shared" si="5"/>
        <v>2025</v>
      </c>
      <c r="E90" s="51" t="s">
        <v>1547</v>
      </c>
      <c r="J90">
        <v>-0.04</v>
      </c>
      <c r="K90">
        <v>0</v>
      </c>
      <c r="L90">
        <v>0</v>
      </c>
      <c r="M90">
        <v>17</v>
      </c>
      <c r="N90">
        <v>0</v>
      </c>
      <c r="O90">
        <v>0</v>
      </c>
      <c r="P90">
        <v>0</v>
      </c>
      <c r="Q90">
        <v>0</v>
      </c>
      <c r="R90">
        <v>0</v>
      </c>
    </row>
    <row r="91" spans="1:18" x14ac:dyDescent="0.2">
      <c r="A91" t="str">
        <f t="shared" si="3"/>
        <v>ICE.2025.11</v>
      </c>
      <c r="B91" t="s">
        <v>1403</v>
      </c>
      <c r="C91" t="str">
        <f t="shared" si="4"/>
        <v>11</v>
      </c>
      <c r="D91" t="str">
        <f t="shared" si="5"/>
        <v>2025</v>
      </c>
      <c r="E91" s="51" t="s">
        <v>1548</v>
      </c>
      <c r="J91">
        <v>-0.10249999999999999</v>
      </c>
      <c r="K91">
        <v>0</v>
      </c>
      <c r="L91">
        <v>0</v>
      </c>
      <c r="M91">
        <v>16</v>
      </c>
      <c r="N91">
        <v>0</v>
      </c>
      <c r="O91">
        <v>0</v>
      </c>
      <c r="P91">
        <v>0</v>
      </c>
      <c r="Q91">
        <v>0</v>
      </c>
      <c r="R91">
        <v>0</v>
      </c>
    </row>
    <row r="92" spans="1:18" x14ac:dyDescent="0.2">
      <c r="A92" t="str">
        <f t="shared" si="3"/>
        <v>ICE.2025.12</v>
      </c>
      <c r="B92" t="s">
        <v>1403</v>
      </c>
      <c r="C92" t="str">
        <f t="shared" si="4"/>
        <v>12</v>
      </c>
      <c r="D92" t="str">
        <f t="shared" si="5"/>
        <v>2025</v>
      </c>
      <c r="E92" s="51" t="s">
        <v>1549</v>
      </c>
      <c r="J92">
        <v>-0.1075</v>
      </c>
      <c r="K92">
        <v>0</v>
      </c>
      <c r="L92">
        <v>0</v>
      </c>
      <c r="M92">
        <v>17</v>
      </c>
      <c r="N92">
        <v>0</v>
      </c>
      <c r="O92">
        <v>0</v>
      </c>
      <c r="P92">
        <v>0</v>
      </c>
      <c r="Q92">
        <v>0</v>
      </c>
      <c r="R92">
        <v>0</v>
      </c>
    </row>
    <row r="93" spans="1:18" x14ac:dyDescent="0.2">
      <c r="A93" t="str">
        <f t="shared" si="3"/>
        <v>ICE.2026.1</v>
      </c>
      <c r="B93" t="s">
        <v>1403</v>
      </c>
      <c r="C93" t="str">
        <f t="shared" si="4"/>
        <v>1</v>
      </c>
      <c r="D93" t="str">
        <f t="shared" si="5"/>
        <v>2026</v>
      </c>
      <c r="E93" s="51" t="s">
        <v>1550</v>
      </c>
      <c r="J93">
        <v>-0.13250000000000001</v>
      </c>
      <c r="K93">
        <v>0</v>
      </c>
      <c r="L93">
        <v>0</v>
      </c>
      <c r="M93">
        <v>17</v>
      </c>
      <c r="N93">
        <v>0</v>
      </c>
      <c r="O93">
        <v>0</v>
      </c>
      <c r="P93">
        <v>0</v>
      </c>
      <c r="Q93">
        <v>0</v>
      </c>
      <c r="R93">
        <v>0</v>
      </c>
    </row>
    <row r="94" spans="1:18" x14ac:dyDescent="0.2">
      <c r="A94" t="str">
        <f t="shared" si="3"/>
        <v>ICE.2026.2</v>
      </c>
      <c r="B94" t="s">
        <v>1403</v>
      </c>
      <c r="C94" t="str">
        <f t="shared" si="4"/>
        <v>2</v>
      </c>
      <c r="D94" t="str">
        <f t="shared" si="5"/>
        <v>2026</v>
      </c>
      <c r="E94" s="51" t="s">
        <v>1551</v>
      </c>
      <c r="J94">
        <v>-0.13250000000000001</v>
      </c>
      <c r="K94">
        <v>0</v>
      </c>
      <c r="L94">
        <v>0</v>
      </c>
      <c r="M94">
        <v>15</v>
      </c>
      <c r="N94">
        <v>0</v>
      </c>
      <c r="O94">
        <v>0</v>
      </c>
      <c r="P94">
        <v>0</v>
      </c>
      <c r="Q94">
        <v>0</v>
      </c>
      <c r="R94">
        <v>0</v>
      </c>
    </row>
    <row r="95" spans="1:18" x14ac:dyDescent="0.2">
      <c r="A95" t="str">
        <f t="shared" si="3"/>
        <v>ICE.2026.3</v>
      </c>
      <c r="B95" t="s">
        <v>1403</v>
      </c>
      <c r="C95" t="str">
        <f t="shared" si="4"/>
        <v>3</v>
      </c>
      <c r="D95" t="str">
        <f t="shared" si="5"/>
        <v>2026</v>
      </c>
      <c r="E95" s="51" t="s">
        <v>1552</v>
      </c>
      <c r="J95">
        <v>-0.125</v>
      </c>
      <c r="K95">
        <v>0</v>
      </c>
      <c r="L95">
        <v>0</v>
      </c>
      <c r="M95">
        <v>16</v>
      </c>
      <c r="N95">
        <v>0</v>
      </c>
      <c r="O95">
        <v>0</v>
      </c>
      <c r="P95">
        <v>0</v>
      </c>
      <c r="Q95">
        <v>0</v>
      </c>
      <c r="R95">
        <v>0</v>
      </c>
    </row>
    <row r="96" spans="1:18" x14ac:dyDescent="0.2">
      <c r="A96" t="str">
        <f t="shared" si="3"/>
        <v>ICE.2026.4</v>
      </c>
      <c r="B96" t="s">
        <v>1403</v>
      </c>
      <c r="C96" t="str">
        <f t="shared" si="4"/>
        <v>4</v>
      </c>
      <c r="D96" t="str">
        <f t="shared" si="5"/>
        <v>2026</v>
      </c>
      <c r="E96" s="51" t="s">
        <v>1553</v>
      </c>
      <c r="J96">
        <v>-0.05</v>
      </c>
      <c r="K96">
        <v>0</v>
      </c>
      <c r="L96">
        <v>0</v>
      </c>
      <c r="M96">
        <v>16</v>
      </c>
      <c r="N96">
        <v>0</v>
      </c>
      <c r="O96">
        <v>0</v>
      </c>
      <c r="P96">
        <v>0</v>
      </c>
      <c r="Q96">
        <v>0</v>
      </c>
      <c r="R96">
        <v>0</v>
      </c>
    </row>
    <row r="97" spans="1:18" x14ac:dyDescent="0.2">
      <c r="A97" t="str">
        <f t="shared" si="3"/>
        <v>ICE.2026.5</v>
      </c>
      <c r="B97" t="s">
        <v>1403</v>
      </c>
      <c r="C97" t="str">
        <f t="shared" si="4"/>
        <v>5</v>
      </c>
      <c r="D97" t="str">
        <f t="shared" si="5"/>
        <v>2026</v>
      </c>
      <c r="E97" s="51" t="s">
        <v>1554</v>
      </c>
      <c r="J97">
        <v>-6.5000000000000002E-2</v>
      </c>
      <c r="K97">
        <v>0</v>
      </c>
      <c r="L97">
        <v>0</v>
      </c>
      <c r="M97">
        <v>16</v>
      </c>
      <c r="N97">
        <v>0</v>
      </c>
      <c r="O97">
        <v>0</v>
      </c>
      <c r="P97">
        <v>0</v>
      </c>
      <c r="Q97">
        <v>0</v>
      </c>
      <c r="R97">
        <v>0</v>
      </c>
    </row>
    <row r="98" spans="1:18" x14ac:dyDescent="0.2">
      <c r="A98" t="str">
        <f t="shared" si="3"/>
        <v>ICE.2026.6</v>
      </c>
      <c r="B98" t="s">
        <v>1403</v>
      </c>
      <c r="C98" t="str">
        <f t="shared" si="4"/>
        <v>6</v>
      </c>
      <c r="D98" t="str">
        <f t="shared" si="5"/>
        <v>2026</v>
      </c>
      <c r="E98" s="51" t="s">
        <v>1555</v>
      </c>
      <c r="J98">
        <v>-6.25E-2</v>
      </c>
      <c r="K98">
        <v>0</v>
      </c>
      <c r="L98">
        <v>0</v>
      </c>
      <c r="M98">
        <v>16</v>
      </c>
      <c r="N98">
        <v>0</v>
      </c>
      <c r="O98">
        <v>0</v>
      </c>
      <c r="P98">
        <v>0</v>
      </c>
      <c r="Q98">
        <v>0</v>
      </c>
      <c r="R98">
        <v>0</v>
      </c>
    </row>
    <row r="99" spans="1:18" x14ac:dyDescent="0.2">
      <c r="A99" t="str">
        <f t="shared" si="3"/>
        <v>ICE.2026.7</v>
      </c>
      <c r="B99" t="s">
        <v>1403</v>
      </c>
      <c r="C99" t="str">
        <f t="shared" si="4"/>
        <v>7</v>
      </c>
      <c r="D99" t="str">
        <f t="shared" si="5"/>
        <v>2026</v>
      </c>
      <c r="E99" s="51" t="s">
        <v>1556</v>
      </c>
      <c r="J99">
        <v>-0.05</v>
      </c>
      <c r="K99">
        <v>0</v>
      </c>
      <c r="L99">
        <v>0</v>
      </c>
      <c r="M99">
        <v>16</v>
      </c>
      <c r="N99">
        <v>0</v>
      </c>
      <c r="O99">
        <v>0</v>
      </c>
      <c r="P99">
        <v>0</v>
      </c>
      <c r="Q99">
        <v>0</v>
      </c>
      <c r="R99">
        <v>0</v>
      </c>
    </row>
    <row r="100" spans="1:18" x14ac:dyDescent="0.2">
      <c r="A100" t="str">
        <f t="shared" si="3"/>
        <v>ICE.2026.8</v>
      </c>
      <c r="B100" t="s">
        <v>1403</v>
      </c>
      <c r="C100" t="str">
        <f t="shared" si="4"/>
        <v>8</v>
      </c>
      <c r="D100" t="str">
        <f t="shared" si="5"/>
        <v>2026</v>
      </c>
      <c r="E100" s="51" t="s">
        <v>1557</v>
      </c>
      <c r="J100">
        <v>-0.05</v>
      </c>
      <c r="K100">
        <v>0</v>
      </c>
      <c r="L100">
        <v>0</v>
      </c>
      <c r="M100">
        <v>16</v>
      </c>
      <c r="N100">
        <v>0</v>
      </c>
      <c r="O100">
        <v>0</v>
      </c>
      <c r="P100">
        <v>0</v>
      </c>
      <c r="Q100">
        <v>0</v>
      </c>
      <c r="R100">
        <v>0</v>
      </c>
    </row>
    <row r="101" spans="1:18" x14ac:dyDescent="0.2">
      <c r="A101" t="str">
        <f t="shared" si="3"/>
        <v>ICE.2026.9</v>
      </c>
      <c r="B101" t="s">
        <v>1403</v>
      </c>
      <c r="C101" t="str">
        <f t="shared" si="4"/>
        <v>9</v>
      </c>
      <c r="D101" t="str">
        <f t="shared" si="5"/>
        <v>2026</v>
      </c>
      <c r="E101" s="51" t="s">
        <v>1558</v>
      </c>
      <c r="J101">
        <v>-4.2500000000000003E-2</v>
      </c>
      <c r="K101">
        <v>0</v>
      </c>
      <c r="L101">
        <v>0</v>
      </c>
      <c r="M101">
        <v>16</v>
      </c>
      <c r="N101">
        <v>0</v>
      </c>
      <c r="O101">
        <v>0</v>
      </c>
      <c r="P101">
        <v>0</v>
      </c>
      <c r="Q101">
        <v>0</v>
      </c>
      <c r="R101">
        <v>0</v>
      </c>
    </row>
    <row r="102" spans="1:18" x14ac:dyDescent="0.2">
      <c r="A102" t="str">
        <f t="shared" si="3"/>
        <v>ICE.2026.10</v>
      </c>
      <c r="B102" t="s">
        <v>1403</v>
      </c>
      <c r="C102" t="str">
        <f t="shared" si="4"/>
        <v>10</v>
      </c>
      <c r="D102" t="str">
        <f t="shared" si="5"/>
        <v>2026</v>
      </c>
      <c r="E102" s="51" t="s">
        <v>1559</v>
      </c>
      <c r="J102">
        <v>-3.2500000000000001E-2</v>
      </c>
      <c r="K102">
        <v>0</v>
      </c>
      <c r="L102">
        <v>0</v>
      </c>
      <c r="M102">
        <v>16</v>
      </c>
      <c r="N102">
        <v>0</v>
      </c>
      <c r="O102">
        <v>0</v>
      </c>
      <c r="P102">
        <v>0</v>
      </c>
      <c r="Q102">
        <v>0</v>
      </c>
      <c r="R102">
        <v>0</v>
      </c>
    </row>
    <row r="103" spans="1:18" x14ac:dyDescent="0.2">
      <c r="A103" t="str">
        <f t="shared" si="3"/>
        <v>ICE.2026.11</v>
      </c>
      <c r="B103" t="s">
        <v>1403</v>
      </c>
      <c r="C103" t="str">
        <f t="shared" si="4"/>
        <v>11</v>
      </c>
      <c r="D103" t="str">
        <f t="shared" si="5"/>
        <v>2026</v>
      </c>
      <c r="E103" s="51" t="s">
        <v>1560</v>
      </c>
      <c r="J103">
        <v>-0.10249999999999999</v>
      </c>
      <c r="K103">
        <v>0</v>
      </c>
      <c r="L103">
        <v>0</v>
      </c>
      <c r="M103">
        <v>16</v>
      </c>
      <c r="N103">
        <v>0</v>
      </c>
      <c r="O103">
        <v>0</v>
      </c>
      <c r="P103">
        <v>0</v>
      </c>
      <c r="Q103">
        <v>0</v>
      </c>
      <c r="R103">
        <v>0</v>
      </c>
    </row>
    <row r="104" spans="1:18" x14ac:dyDescent="0.2">
      <c r="A104" t="str">
        <f t="shared" si="3"/>
        <v>ICE.2026.12</v>
      </c>
      <c r="B104" t="s">
        <v>1403</v>
      </c>
      <c r="C104" t="str">
        <f t="shared" si="4"/>
        <v>12</v>
      </c>
      <c r="D104" t="str">
        <f t="shared" si="5"/>
        <v>2026</v>
      </c>
      <c r="E104" s="51" t="s">
        <v>1561</v>
      </c>
      <c r="J104">
        <v>-0.1075</v>
      </c>
      <c r="K104">
        <v>0</v>
      </c>
      <c r="L104">
        <v>0</v>
      </c>
      <c r="M104">
        <v>16</v>
      </c>
      <c r="N104">
        <v>0</v>
      </c>
      <c r="O104">
        <v>0</v>
      </c>
      <c r="P104">
        <v>0</v>
      </c>
      <c r="Q104">
        <v>0</v>
      </c>
      <c r="R104">
        <v>0</v>
      </c>
    </row>
    <row r="105" spans="1:18" x14ac:dyDescent="0.2">
      <c r="A105" t="str">
        <f t="shared" si="3"/>
        <v>ICE.2027.1</v>
      </c>
      <c r="B105" t="s">
        <v>1403</v>
      </c>
      <c r="C105" t="str">
        <f t="shared" si="4"/>
        <v>1</v>
      </c>
      <c r="D105" t="str">
        <f t="shared" si="5"/>
        <v>2027</v>
      </c>
      <c r="E105" s="51" t="s">
        <v>1562</v>
      </c>
      <c r="J105">
        <v>-0.13250000000000001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</row>
    <row r="106" spans="1:18" x14ac:dyDescent="0.2">
      <c r="A106" t="str">
        <f t="shared" si="3"/>
        <v>ICE.2027.2</v>
      </c>
      <c r="B106" t="s">
        <v>1403</v>
      </c>
      <c r="C106" t="str">
        <f t="shared" si="4"/>
        <v>2</v>
      </c>
      <c r="D106" t="str">
        <f t="shared" si="5"/>
        <v>2027</v>
      </c>
      <c r="E106" s="51" t="s">
        <v>1563</v>
      </c>
      <c r="J106">
        <v>-0.13250000000000001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</row>
    <row r="107" spans="1:18" x14ac:dyDescent="0.2">
      <c r="A107" t="str">
        <f t="shared" si="3"/>
        <v>ICE.2027.3</v>
      </c>
      <c r="B107" t="s">
        <v>1403</v>
      </c>
      <c r="C107" t="str">
        <f t="shared" si="4"/>
        <v>3</v>
      </c>
      <c r="D107" t="str">
        <f t="shared" si="5"/>
        <v>2027</v>
      </c>
      <c r="E107" s="51" t="s">
        <v>1564</v>
      </c>
      <c r="J107">
        <v>-0.125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</row>
    <row r="108" spans="1:18" x14ac:dyDescent="0.2">
      <c r="A108" t="str">
        <f t="shared" si="3"/>
        <v>ICE.2027.4</v>
      </c>
      <c r="B108" t="s">
        <v>1403</v>
      </c>
      <c r="C108" t="str">
        <f t="shared" si="4"/>
        <v>4</v>
      </c>
      <c r="D108" t="str">
        <f t="shared" si="5"/>
        <v>2027</v>
      </c>
      <c r="E108" s="51" t="s">
        <v>1565</v>
      </c>
      <c r="J108">
        <v>-4.2500000000000003E-2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</row>
    <row r="109" spans="1:18" x14ac:dyDescent="0.2">
      <c r="A109" t="str">
        <f t="shared" si="3"/>
        <v>ICE.2027.5</v>
      </c>
      <c r="B109" t="s">
        <v>1403</v>
      </c>
      <c r="C109" t="str">
        <f t="shared" si="4"/>
        <v>5</v>
      </c>
      <c r="D109" t="str">
        <f t="shared" si="5"/>
        <v>2027</v>
      </c>
      <c r="E109" s="51" t="s">
        <v>1566</v>
      </c>
      <c r="J109">
        <v>-5.5E-2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</row>
    <row r="110" spans="1:18" x14ac:dyDescent="0.2">
      <c r="A110" t="str">
        <f t="shared" si="3"/>
        <v>ICE.2027.6</v>
      </c>
      <c r="B110" t="s">
        <v>1403</v>
      </c>
      <c r="C110" t="str">
        <f t="shared" si="4"/>
        <v>6</v>
      </c>
      <c r="D110" t="str">
        <f t="shared" si="5"/>
        <v>2027</v>
      </c>
      <c r="E110" s="51" t="s">
        <v>1567</v>
      </c>
      <c r="J110">
        <v>-5.2499999999999998E-2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</row>
    <row r="111" spans="1:18" x14ac:dyDescent="0.2">
      <c r="A111" t="str">
        <f t="shared" si="3"/>
        <v>ICE.2027.7</v>
      </c>
      <c r="B111" t="s">
        <v>1403</v>
      </c>
      <c r="C111" t="str">
        <f t="shared" si="4"/>
        <v>7</v>
      </c>
      <c r="D111" t="str">
        <f t="shared" si="5"/>
        <v>2027</v>
      </c>
      <c r="E111" s="51" t="s">
        <v>1568</v>
      </c>
      <c r="J111">
        <v>-4.2500000000000003E-2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</row>
    <row r="112" spans="1:18" x14ac:dyDescent="0.2">
      <c r="A112" t="str">
        <f t="shared" si="3"/>
        <v>ICE.2027.8</v>
      </c>
      <c r="B112" t="s">
        <v>1403</v>
      </c>
      <c r="C112" t="str">
        <f t="shared" si="4"/>
        <v>8</v>
      </c>
      <c r="D112" t="str">
        <f t="shared" si="5"/>
        <v>2027</v>
      </c>
      <c r="E112" s="51" t="s">
        <v>1569</v>
      </c>
      <c r="J112">
        <v>-4.2500000000000003E-2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</row>
    <row r="113" spans="1:18" x14ac:dyDescent="0.2">
      <c r="A113" t="str">
        <f t="shared" si="3"/>
        <v>ICE.2027.9</v>
      </c>
      <c r="B113" t="s">
        <v>1403</v>
      </c>
      <c r="C113" t="str">
        <f t="shared" si="4"/>
        <v>9</v>
      </c>
      <c r="D113" t="str">
        <f t="shared" si="5"/>
        <v>2027</v>
      </c>
      <c r="E113" s="51" t="s">
        <v>1570</v>
      </c>
      <c r="J113">
        <v>-3.5000000000000003E-2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</row>
    <row r="114" spans="1:18" x14ac:dyDescent="0.2">
      <c r="A114" t="str">
        <f t="shared" si="3"/>
        <v>ICE.2027.10</v>
      </c>
      <c r="B114" t="s">
        <v>1403</v>
      </c>
      <c r="C114" t="str">
        <f t="shared" si="4"/>
        <v>10</v>
      </c>
      <c r="D114" t="str">
        <f t="shared" si="5"/>
        <v>2027</v>
      </c>
      <c r="E114" s="51" t="s">
        <v>1571</v>
      </c>
      <c r="J114">
        <v>-2.75E-2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</row>
    <row r="115" spans="1:18" x14ac:dyDescent="0.2">
      <c r="A115" t="str">
        <f t="shared" si="3"/>
        <v>ICE.2027.11</v>
      </c>
      <c r="B115" t="s">
        <v>1403</v>
      </c>
      <c r="C115" t="str">
        <f t="shared" si="4"/>
        <v>11</v>
      </c>
      <c r="D115" t="str">
        <f t="shared" si="5"/>
        <v>2027</v>
      </c>
      <c r="E115" s="51" t="s">
        <v>1572</v>
      </c>
      <c r="J115">
        <v>-0.11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</row>
    <row r="116" spans="1:18" x14ac:dyDescent="0.2">
      <c r="A116" t="str">
        <f t="shared" si="3"/>
        <v>ICE.2027.12</v>
      </c>
      <c r="B116" t="s">
        <v>1403</v>
      </c>
      <c r="C116" t="str">
        <f t="shared" si="4"/>
        <v>12</v>
      </c>
      <c r="D116" t="str">
        <f t="shared" si="5"/>
        <v>2027</v>
      </c>
      <c r="E116" s="51" t="s">
        <v>1573</v>
      </c>
      <c r="J116">
        <v>-0.115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SCPrevious"/>
  <dimension ref="A1:F74"/>
  <sheetViews>
    <sheetView workbookViewId="0"/>
  </sheetViews>
  <sheetFormatPr defaultRowHeight="12.75" x14ac:dyDescent="0.2"/>
  <cols>
    <col min="1" max="1" width="81.140625" bestFit="1" customWidth="1"/>
  </cols>
  <sheetData>
    <row r="1" spans="1:6" s="1" customFormat="1" x14ac:dyDescent="0.2">
      <c r="A1" s="1" t="s">
        <v>1020</v>
      </c>
      <c r="C1" s="1" t="s">
        <v>1444</v>
      </c>
      <c r="D1" s="1" t="s">
        <v>1445</v>
      </c>
      <c r="E1" s="1" t="s">
        <v>976</v>
      </c>
      <c r="F1" s="45">
        <v>41221</v>
      </c>
    </row>
    <row r="2" spans="1:6" x14ac:dyDescent="0.2">
      <c r="A2" t="s">
        <v>118</v>
      </c>
      <c r="B2" t="s">
        <v>1446</v>
      </c>
      <c r="C2">
        <v>0</v>
      </c>
      <c r="D2">
        <v>0</v>
      </c>
      <c r="E2">
        <v>1891</v>
      </c>
    </row>
    <row r="3" spans="1:6" x14ac:dyDescent="0.2">
      <c r="A3" t="s">
        <v>119</v>
      </c>
      <c r="B3" t="s">
        <v>1446</v>
      </c>
      <c r="C3">
        <v>0</v>
      </c>
      <c r="D3">
        <v>0</v>
      </c>
      <c r="E3">
        <v>682</v>
      </c>
    </row>
    <row r="4" spans="1:6" x14ac:dyDescent="0.2">
      <c r="A4" t="s">
        <v>120</v>
      </c>
      <c r="B4" t="s">
        <v>1446</v>
      </c>
      <c r="C4">
        <v>0</v>
      </c>
      <c r="D4">
        <v>0</v>
      </c>
      <c r="E4">
        <v>252</v>
      </c>
    </row>
    <row r="5" spans="1:6" x14ac:dyDescent="0.2">
      <c r="A5" t="s">
        <v>121</v>
      </c>
      <c r="B5" t="s">
        <v>1446</v>
      </c>
      <c r="C5">
        <v>0</v>
      </c>
      <c r="D5">
        <v>0</v>
      </c>
      <c r="E5">
        <v>279</v>
      </c>
    </row>
    <row r="6" spans="1:6" x14ac:dyDescent="0.2">
      <c r="A6" t="s">
        <v>122</v>
      </c>
      <c r="B6" t="s">
        <v>1446</v>
      </c>
      <c r="C6">
        <v>0</v>
      </c>
      <c r="D6">
        <v>0</v>
      </c>
      <c r="E6">
        <v>810</v>
      </c>
    </row>
    <row r="7" spans="1:6" x14ac:dyDescent="0.2">
      <c r="A7" t="s">
        <v>123</v>
      </c>
      <c r="B7" t="s">
        <v>1446</v>
      </c>
      <c r="C7">
        <v>0</v>
      </c>
      <c r="D7">
        <v>0</v>
      </c>
      <c r="E7">
        <v>1364</v>
      </c>
    </row>
    <row r="8" spans="1:6" x14ac:dyDescent="0.2">
      <c r="A8" t="s">
        <v>124</v>
      </c>
      <c r="B8" t="s">
        <v>1446</v>
      </c>
      <c r="C8">
        <v>0</v>
      </c>
      <c r="D8">
        <v>0</v>
      </c>
      <c r="E8">
        <v>930</v>
      </c>
    </row>
    <row r="9" spans="1:6" x14ac:dyDescent="0.2">
      <c r="A9" t="s">
        <v>125</v>
      </c>
      <c r="B9" t="s">
        <v>1446</v>
      </c>
      <c r="C9">
        <v>0</v>
      </c>
      <c r="D9">
        <v>0</v>
      </c>
      <c r="E9">
        <v>279</v>
      </c>
    </row>
    <row r="10" spans="1:6" x14ac:dyDescent="0.2">
      <c r="A10" t="s">
        <v>126</v>
      </c>
      <c r="B10" t="s">
        <v>1446</v>
      </c>
      <c r="C10">
        <v>0</v>
      </c>
      <c r="D10">
        <v>0</v>
      </c>
      <c r="E10">
        <v>279</v>
      </c>
    </row>
    <row r="11" spans="1:6" x14ac:dyDescent="0.2">
      <c r="A11" t="s">
        <v>127</v>
      </c>
      <c r="B11" t="s">
        <v>1446</v>
      </c>
      <c r="C11">
        <v>0</v>
      </c>
      <c r="D11">
        <v>0</v>
      </c>
      <c r="E11">
        <v>270</v>
      </c>
    </row>
    <row r="12" spans="1:6" x14ac:dyDescent="0.2">
      <c r="A12" t="s">
        <v>128</v>
      </c>
      <c r="B12" t="s">
        <v>1446</v>
      </c>
      <c r="C12">
        <v>0</v>
      </c>
      <c r="D12">
        <v>0</v>
      </c>
      <c r="E12">
        <v>279</v>
      </c>
    </row>
    <row r="13" spans="1:6" x14ac:dyDescent="0.2">
      <c r="A13" t="s">
        <v>129</v>
      </c>
      <c r="B13" t="s">
        <v>1446</v>
      </c>
      <c r="C13">
        <v>0</v>
      </c>
      <c r="D13">
        <v>0</v>
      </c>
      <c r="E13">
        <v>0</v>
      </c>
    </row>
    <row r="14" spans="1:6" x14ac:dyDescent="0.2">
      <c r="A14" t="s">
        <v>130</v>
      </c>
      <c r="B14" t="s">
        <v>1446</v>
      </c>
      <c r="C14">
        <v>0</v>
      </c>
      <c r="D14">
        <v>0</v>
      </c>
      <c r="E14">
        <v>0</v>
      </c>
    </row>
    <row r="15" spans="1:6" x14ac:dyDescent="0.2">
      <c r="A15" t="s">
        <v>131</v>
      </c>
      <c r="B15" t="s">
        <v>1446</v>
      </c>
      <c r="C15">
        <v>0</v>
      </c>
      <c r="D15">
        <v>0</v>
      </c>
      <c r="E15">
        <v>434</v>
      </c>
    </row>
    <row r="16" spans="1:6" x14ac:dyDescent="0.2">
      <c r="A16" t="s">
        <v>132</v>
      </c>
      <c r="B16" t="s">
        <v>1446</v>
      </c>
      <c r="C16">
        <v>0</v>
      </c>
      <c r="D16">
        <v>0</v>
      </c>
      <c r="E16">
        <v>0</v>
      </c>
    </row>
    <row r="17" spans="1:5" x14ac:dyDescent="0.2">
      <c r="A17" t="s">
        <v>133</v>
      </c>
      <c r="B17" t="s">
        <v>1446</v>
      </c>
      <c r="C17">
        <v>0</v>
      </c>
      <c r="D17">
        <v>0</v>
      </c>
      <c r="E17">
        <v>0</v>
      </c>
    </row>
    <row r="18" spans="1:5" x14ac:dyDescent="0.2">
      <c r="A18" t="s">
        <v>134</v>
      </c>
      <c r="B18" t="s">
        <v>1446</v>
      </c>
      <c r="C18">
        <v>0</v>
      </c>
      <c r="D18">
        <v>0</v>
      </c>
      <c r="E18">
        <v>0</v>
      </c>
    </row>
    <row r="19" spans="1:5" x14ac:dyDescent="0.2">
      <c r="A19" t="s">
        <v>135</v>
      </c>
      <c r="B19" t="s">
        <v>1446</v>
      </c>
      <c r="C19">
        <v>0</v>
      </c>
      <c r="D19">
        <v>0</v>
      </c>
      <c r="E19">
        <v>0</v>
      </c>
    </row>
    <row r="20" spans="1:5" x14ac:dyDescent="0.2">
      <c r="A20" t="s">
        <v>136</v>
      </c>
      <c r="B20" t="s">
        <v>1446</v>
      </c>
      <c r="C20">
        <v>0</v>
      </c>
      <c r="D20">
        <v>0</v>
      </c>
      <c r="E20">
        <v>0</v>
      </c>
    </row>
    <row r="21" spans="1:5" x14ac:dyDescent="0.2">
      <c r="A21" t="s">
        <v>137</v>
      </c>
      <c r="B21" t="s">
        <v>1446</v>
      </c>
      <c r="C21">
        <v>0</v>
      </c>
      <c r="D21">
        <v>0</v>
      </c>
      <c r="E21">
        <v>0</v>
      </c>
    </row>
    <row r="22" spans="1:5" x14ac:dyDescent="0.2">
      <c r="A22" t="s">
        <v>908</v>
      </c>
      <c r="B22" t="s">
        <v>1446</v>
      </c>
      <c r="C22">
        <v>0</v>
      </c>
      <c r="D22">
        <v>0</v>
      </c>
      <c r="E22">
        <v>0</v>
      </c>
    </row>
    <row r="23" spans="1:5" x14ac:dyDescent="0.2">
      <c r="A23" t="s">
        <v>909</v>
      </c>
      <c r="B23" t="s">
        <v>1446</v>
      </c>
      <c r="C23">
        <v>0</v>
      </c>
      <c r="D23">
        <v>0</v>
      </c>
      <c r="E23">
        <v>0</v>
      </c>
    </row>
    <row r="24" spans="1:5" x14ac:dyDescent="0.2">
      <c r="A24" t="s">
        <v>910</v>
      </c>
      <c r="B24" t="s">
        <v>1446</v>
      </c>
      <c r="C24">
        <v>0</v>
      </c>
      <c r="D24">
        <v>0</v>
      </c>
      <c r="E24">
        <v>0</v>
      </c>
    </row>
    <row r="25" spans="1:5" x14ac:dyDescent="0.2">
      <c r="A25" t="s">
        <v>911</v>
      </c>
      <c r="B25" t="s">
        <v>1446</v>
      </c>
      <c r="C25">
        <v>0</v>
      </c>
      <c r="D25">
        <v>0</v>
      </c>
      <c r="E25">
        <v>0</v>
      </c>
    </row>
    <row r="26" spans="1:5" x14ac:dyDescent="0.2">
      <c r="A26" t="s">
        <v>912</v>
      </c>
      <c r="B26" t="s">
        <v>1446</v>
      </c>
      <c r="C26">
        <v>0</v>
      </c>
      <c r="D26">
        <v>0</v>
      </c>
      <c r="E26">
        <v>0</v>
      </c>
    </row>
    <row r="27" spans="1:5" x14ac:dyDescent="0.2">
      <c r="A27" t="s">
        <v>913</v>
      </c>
      <c r="B27" t="s">
        <v>1446</v>
      </c>
      <c r="C27">
        <v>0</v>
      </c>
      <c r="D27">
        <v>0</v>
      </c>
      <c r="E27">
        <v>0</v>
      </c>
    </row>
    <row r="28" spans="1:5" x14ac:dyDescent="0.2">
      <c r="A28" t="s">
        <v>914</v>
      </c>
      <c r="B28" t="s">
        <v>1446</v>
      </c>
      <c r="C28">
        <v>0</v>
      </c>
      <c r="D28">
        <v>0</v>
      </c>
      <c r="E28">
        <v>0</v>
      </c>
    </row>
    <row r="29" spans="1:5" x14ac:dyDescent="0.2">
      <c r="A29" t="s">
        <v>915</v>
      </c>
      <c r="B29" t="s">
        <v>1446</v>
      </c>
      <c r="C29">
        <v>0</v>
      </c>
      <c r="D29">
        <v>0</v>
      </c>
      <c r="E29">
        <v>0</v>
      </c>
    </row>
    <row r="30" spans="1:5" x14ac:dyDescent="0.2">
      <c r="A30" t="s">
        <v>916</v>
      </c>
      <c r="B30" t="s">
        <v>1446</v>
      </c>
      <c r="C30">
        <v>0</v>
      </c>
      <c r="D30">
        <v>0</v>
      </c>
      <c r="E30">
        <v>0</v>
      </c>
    </row>
    <row r="31" spans="1:5" x14ac:dyDescent="0.2">
      <c r="A31" t="s">
        <v>917</v>
      </c>
      <c r="B31" t="s">
        <v>1446</v>
      </c>
      <c r="C31">
        <v>0</v>
      </c>
      <c r="D31">
        <v>0</v>
      </c>
      <c r="E31">
        <v>0</v>
      </c>
    </row>
    <row r="32" spans="1:5" x14ac:dyDescent="0.2">
      <c r="A32" t="s">
        <v>918</v>
      </c>
      <c r="B32" t="s">
        <v>1446</v>
      </c>
      <c r="C32">
        <v>0</v>
      </c>
      <c r="D32">
        <v>0</v>
      </c>
      <c r="E32">
        <v>0</v>
      </c>
    </row>
    <row r="33" spans="1:5" x14ac:dyDescent="0.2">
      <c r="A33" t="s">
        <v>919</v>
      </c>
      <c r="B33" t="s">
        <v>1446</v>
      </c>
      <c r="C33">
        <v>0</v>
      </c>
      <c r="D33">
        <v>0</v>
      </c>
      <c r="E33">
        <v>0</v>
      </c>
    </row>
    <row r="34" spans="1:5" x14ac:dyDescent="0.2">
      <c r="A34" t="s">
        <v>920</v>
      </c>
      <c r="B34" t="s">
        <v>1446</v>
      </c>
      <c r="C34">
        <v>0</v>
      </c>
      <c r="D34">
        <v>0</v>
      </c>
      <c r="E34">
        <v>0</v>
      </c>
    </row>
    <row r="35" spans="1:5" x14ac:dyDescent="0.2">
      <c r="A35" t="s">
        <v>921</v>
      </c>
      <c r="B35" t="s">
        <v>1446</v>
      </c>
      <c r="C35">
        <v>0</v>
      </c>
      <c r="D35">
        <v>0</v>
      </c>
      <c r="E35">
        <v>0</v>
      </c>
    </row>
    <row r="36" spans="1:5" x14ac:dyDescent="0.2">
      <c r="A36" t="s">
        <v>922</v>
      </c>
      <c r="B36" t="s">
        <v>1446</v>
      </c>
      <c r="C36">
        <v>0</v>
      </c>
      <c r="D36">
        <v>0</v>
      </c>
      <c r="E36">
        <v>0</v>
      </c>
    </row>
    <row r="37" spans="1:5" x14ac:dyDescent="0.2">
      <c r="A37" t="s">
        <v>923</v>
      </c>
      <c r="B37" t="s">
        <v>1446</v>
      </c>
      <c r="C37">
        <v>0</v>
      </c>
      <c r="D37">
        <v>0</v>
      </c>
      <c r="E37">
        <v>0</v>
      </c>
    </row>
    <row r="38" spans="1:5" x14ac:dyDescent="0.2">
      <c r="A38" t="s">
        <v>924</v>
      </c>
      <c r="B38" t="s">
        <v>1446</v>
      </c>
      <c r="C38">
        <v>0</v>
      </c>
      <c r="D38">
        <v>0</v>
      </c>
      <c r="E38">
        <v>0</v>
      </c>
    </row>
    <row r="39" spans="1:5" x14ac:dyDescent="0.2">
      <c r="A39" t="s">
        <v>925</v>
      </c>
      <c r="B39" t="s">
        <v>1446</v>
      </c>
      <c r="C39">
        <v>0</v>
      </c>
      <c r="D39">
        <v>0</v>
      </c>
      <c r="E39">
        <v>0</v>
      </c>
    </row>
    <row r="40" spans="1:5" x14ac:dyDescent="0.2">
      <c r="A40" t="s">
        <v>926</v>
      </c>
      <c r="B40" t="s">
        <v>1446</v>
      </c>
      <c r="C40">
        <v>0</v>
      </c>
      <c r="D40">
        <v>0</v>
      </c>
      <c r="E40">
        <v>0</v>
      </c>
    </row>
    <row r="41" spans="1:5" x14ac:dyDescent="0.2">
      <c r="A41" t="s">
        <v>927</v>
      </c>
      <c r="B41" t="s">
        <v>1446</v>
      </c>
      <c r="C41">
        <v>0</v>
      </c>
      <c r="D41">
        <v>0</v>
      </c>
      <c r="E41">
        <v>0</v>
      </c>
    </row>
    <row r="42" spans="1:5" x14ac:dyDescent="0.2">
      <c r="A42" t="s">
        <v>928</v>
      </c>
      <c r="B42" t="s">
        <v>1446</v>
      </c>
      <c r="C42">
        <v>0</v>
      </c>
      <c r="D42">
        <v>0</v>
      </c>
      <c r="E42">
        <v>0</v>
      </c>
    </row>
    <row r="43" spans="1:5" x14ac:dyDescent="0.2">
      <c r="A43" t="s">
        <v>929</v>
      </c>
      <c r="B43" t="s">
        <v>1446</v>
      </c>
      <c r="C43">
        <v>0</v>
      </c>
      <c r="D43">
        <v>0</v>
      </c>
      <c r="E43">
        <v>0</v>
      </c>
    </row>
    <row r="44" spans="1:5" x14ac:dyDescent="0.2">
      <c r="A44" t="s">
        <v>930</v>
      </c>
      <c r="B44" t="s">
        <v>1446</v>
      </c>
      <c r="C44">
        <v>0</v>
      </c>
      <c r="D44">
        <v>0</v>
      </c>
      <c r="E44">
        <v>0</v>
      </c>
    </row>
    <row r="45" spans="1:5" x14ac:dyDescent="0.2">
      <c r="A45" t="s">
        <v>931</v>
      </c>
      <c r="B45" t="s">
        <v>1446</v>
      </c>
      <c r="C45">
        <v>0</v>
      </c>
      <c r="D45">
        <v>0</v>
      </c>
      <c r="E45">
        <v>0</v>
      </c>
    </row>
    <row r="46" spans="1:5" x14ac:dyDescent="0.2">
      <c r="A46" t="s">
        <v>932</v>
      </c>
      <c r="B46" t="s">
        <v>1446</v>
      </c>
      <c r="C46">
        <v>0</v>
      </c>
      <c r="D46">
        <v>0</v>
      </c>
      <c r="E46">
        <v>0</v>
      </c>
    </row>
    <row r="47" spans="1:5" x14ac:dyDescent="0.2">
      <c r="A47" t="s">
        <v>933</v>
      </c>
      <c r="B47" t="s">
        <v>1446</v>
      </c>
      <c r="C47">
        <v>0</v>
      </c>
      <c r="D47">
        <v>0</v>
      </c>
      <c r="E47">
        <v>0</v>
      </c>
    </row>
    <row r="48" spans="1:5" x14ac:dyDescent="0.2">
      <c r="A48" t="s">
        <v>934</v>
      </c>
      <c r="B48" t="s">
        <v>1446</v>
      </c>
      <c r="C48">
        <v>0</v>
      </c>
      <c r="D48">
        <v>0</v>
      </c>
      <c r="E48">
        <v>0</v>
      </c>
    </row>
    <row r="49" spans="1:5" x14ac:dyDescent="0.2">
      <c r="A49" t="s">
        <v>935</v>
      </c>
      <c r="B49" t="s">
        <v>1446</v>
      </c>
      <c r="C49">
        <v>0</v>
      </c>
      <c r="D49">
        <v>0</v>
      </c>
      <c r="E49">
        <v>0</v>
      </c>
    </row>
    <row r="50" spans="1:5" x14ac:dyDescent="0.2">
      <c r="A50" t="s">
        <v>936</v>
      </c>
      <c r="B50" t="s">
        <v>1446</v>
      </c>
      <c r="C50">
        <v>0</v>
      </c>
      <c r="D50">
        <v>0</v>
      </c>
      <c r="E50">
        <v>0</v>
      </c>
    </row>
    <row r="51" spans="1:5" x14ac:dyDescent="0.2">
      <c r="A51" t="s">
        <v>937</v>
      </c>
      <c r="B51" t="s">
        <v>1446</v>
      </c>
      <c r="C51">
        <v>0</v>
      </c>
      <c r="D51">
        <v>0</v>
      </c>
      <c r="E51">
        <v>0</v>
      </c>
    </row>
    <row r="52" spans="1:5" x14ac:dyDescent="0.2">
      <c r="A52" t="s">
        <v>938</v>
      </c>
      <c r="B52" t="s">
        <v>1446</v>
      </c>
      <c r="C52">
        <v>0</v>
      </c>
      <c r="D52">
        <v>0</v>
      </c>
      <c r="E52">
        <v>0</v>
      </c>
    </row>
    <row r="53" spans="1:5" x14ac:dyDescent="0.2">
      <c r="A53" t="s">
        <v>939</v>
      </c>
      <c r="B53" t="s">
        <v>1446</v>
      </c>
      <c r="C53">
        <v>0</v>
      </c>
      <c r="D53">
        <v>0</v>
      </c>
      <c r="E53">
        <v>0</v>
      </c>
    </row>
    <row r="54" spans="1:5" x14ac:dyDescent="0.2">
      <c r="A54" t="s">
        <v>940</v>
      </c>
      <c r="B54" t="s">
        <v>1446</v>
      </c>
      <c r="C54">
        <v>0</v>
      </c>
      <c r="D54">
        <v>0</v>
      </c>
      <c r="E54">
        <v>0</v>
      </c>
    </row>
    <row r="55" spans="1:5" x14ac:dyDescent="0.2">
      <c r="A55" t="s">
        <v>941</v>
      </c>
      <c r="B55" t="s">
        <v>1446</v>
      </c>
      <c r="C55">
        <v>0</v>
      </c>
      <c r="D55">
        <v>0</v>
      </c>
      <c r="E55">
        <v>0</v>
      </c>
    </row>
    <row r="56" spans="1:5" x14ac:dyDescent="0.2">
      <c r="A56" t="s">
        <v>942</v>
      </c>
      <c r="B56" t="s">
        <v>1446</v>
      </c>
      <c r="C56">
        <v>0</v>
      </c>
      <c r="D56">
        <v>0</v>
      </c>
      <c r="E56">
        <v>0</v>
      </c>
    </row>
    <row r="57" spans="1:5" x14ac:dyDescent="0.2">
      <c r="A57" t="s">
        <v>943</v>
      </c>
      <c r="B57" t="s">
        <v>1446</v>
      </c>
      <c r="C57">
        <v>0</v>
      </c>
      <c r="D57">
        <v>0</v>
      </c>
      <c r="E57">
        <v>0</v>
      </c>
    </row>
    <row r="58" spans="1:5" x14ac:dyDescent="0.2">
      <c r="A58" t="s">
        <v>944</v>
      </c>
      <c r="B58" t="s">
        <v>1446</v>
      </c>
      <c r="C58">
        <v>0</v>
      </c>
      <c r="D58">
        <v>0</v>
      </c>
      <c r="E58">
        <v>0</v>
      </c>
    </row>
    <row r="59" spans="1:5" x14ac:dyDescent="0.2">
      <c r="A59" t="s">
        <v>945</v>
      </c>
      <c r="B59" t="s">
        <v>1446</v>
      </c>
      <c r="C59">
        <v>0</v>
      </c>
      <c r="D59">
        <v>0</v>
      </c>
      <c r="E59">
        <v>0</v>
      </c>
    </row>
    <row r="60" spans="1:5" x14ac:dyDescent="0.2">
      <c r="A60" t="s">
        <v>946</v>
      </c>
      <c r="B60" t="s">
        <v>1446</v>
      </c>
      <c r="C60">
        <v>0</v>
      </c>
      <c r="D60">
        <v>0</v>
      </c>
      <c r="E60">
        <v>0</v>
      </c>
    </row>
    <row r="61" spans="1:5" x14ac:dyDescent="0.2">
      <c r="A61" t="s">
        <v>947</v>
      </c>
      <c r="B61" t="s">
        <v>1446</v>
      </c>
      <c r="C61">
        <v>0</v>
      </c>
      <c r="D61">
        <v>0</v>
      </c>
      <c r="E61">
        <v>0</v>
      </c>
    </row>
    <row r="62" spans="1:5" x14ac:dyDescent="0.2">
      <c r="A62" t="s">
        <v>948</v>
      </c>
      <c r="B62" t="s">
        <v>1446</v>
      </c>
      <c r="C62">
        <v>0</v>
      </c>
      <c r="D62">
        <v>0</v>
      </c>
      <c r="E62">
        <v>0</v>
      </c>
    </row>
    <row r="63" spans="1:5" x14ac:dyDescent="0.2">
      <c r="A63" t="s">
        <v>949</v>
      </c>
      <c r="B63" t="s">
        <v>1446</v>
      </c>
      <c r="C63">
        <v>0</v>
      </c>
      <c r="D63">
        <v>0</v>
      </c>
      <c r="E63">
        <v>0</v>
      </c>
    </row>
    <row r="64" spans="1:5" x14ac:dyDescent="0.2">
      <c r="A64" t="s">
        <v>950</v>
      </c>
      <c r="B64" t="s">
        <v>1446</v>
      </c>
      <c r="C64">
        <v>0</v>
      </c>
      <c r="D64">
        <v>0</v>
      </c>
      <c r="E64">
        <v>0</v>
      </c>
    </row>
    <row r="65" spans="1:5" x14ac:dyDescent="0.2">
      <c r="A65" t="s">
        <v>951</v>
      </c>
      <c r="B65" t="s">
        <v>1446</v>
      </c>
      <c r="C65">
        <v>0</v>
      </c>
      <c r="D65">
        <v>0</v>
      </c>
      <c r="E65">
        <v>0</v>
      </c>
    </row>
    <row r="66" spans="1:5" x14ac:dyDescent="0.2">
      <c r="A66" t="s">
        <v>952</v>
      </c>
      <c r="B66" t="s">
        <v>1446</v>
      </c>
      <c r="C66">
        <v>0</v>
      </c>
      <c r="D66">
        <v>0</v>
      </c>
      <c r="E66">
        <v>0</v>
      </c>
    </row>
    <row r="67" spans="1:5" x14ac:dyDescent="0.2">
      <c r="A67" t="s">
        <v>953</v>
      </c>
      <c r="B67" t="s">
        <v>1446</v>
      </c>
      <c r="C67">
        <v>0</v>
      </c>
      <c r="D67">
        <v>0</v>
      </c>
      <c r="E67">
        <v>0</v>
      </c>
    </row>
    <row r="68" spans="1:5" x14ac:dyDescent="0.2">
      <c r="A68" t="s">
        <v>954</v>
      </c>
      <c r="B68" t="s">
        <v>1446</v>
      </c>
      <c r="C68">
        <v>0</v>
      </c>
      <c r="D68">
        <v>0</v>
      </c>
      <c r="E68">
        <v>0</v>
      </c>
    </row>
    <row r="69" spans="1:5" x14ac:dyDescent="0.2">
      <c r="A69" t="s">
        <v>955</v>
      </c>
      <c r="B69" t="s">
        <v>1446</v>
      </c>
      <c r="C69">
        <v>0</v>
      </c>
      <c r="D69">
        <v>0</v>
      </c>
      <c r="E69">
        <v>0</v>
      </c>
    </row>
    <row r="70" spans="1:5" x14ac:dyDescent="0.2">
      <c r="A70" t="s">
        <v>956</v>
      </c>
      <c r="B70" t="s">
        <v>1446</v>
      </c>
      <c r="C70">
        <v>0</v>
      </c>
      <c r="D70">
        <v>0</v>
      </c>
      <c r="E70">
        <v>0</v>
      </c>
    </row>
    <row r="71" spans="1:5" x14ac:dyDescent="0.2">
      <c r="A71" t="s">
        <v>957</v>
      </c>
      <c r="B71" t="s">
        <v>1446</v>
      </c>
      <c r="C71">
        <v>0</v>
      </c>
      <c r="D71">
        <v>0</v>
      </c>
      <c r="E71">
        <v>0</v>
      </c>
    </row>
    <row r="72" spans="1:5" x14ac:dyDescent="0.2">
      <c r="A72" t="s">
        <v>958</v>
      </c>
      <c r="B72" t="s">
        <v>1446</v>
      </c>
      <c r="C72">
        <v>0</v>
      </c>
      <c r="D72">
        <v>0</v>
      </c>
      <c r="E72">
        <v>0</v>
      </c>
    </row>
    <row r="73" spans="1:5" x14ac:dyDescent="0.2">
      <c r="A73" t="s">
        <v>959</v>
      </c>
      <c r="B73" t="s">
        <v>1446</v>
      </c>
      <c r="C73">
        <v>0</v>
      </c>
      <c r="D73">
        <v>0</v>
      </c>
      <c r="E73">
        <v>0</v>
      </c>
    </row>
    <row r="74" spans="1:5" x14ac:dyDescent="0.2">
      <c r="A74" t="s">
        <v>960</v>
      </c>
      <c r="B74" t="s">
        <v>1446</v>
      </c>
      <c r="C74">
        <v>0</v>
      </c>
      <c r="D74">
        <v>0</v>
      </c>
      <c r="E74"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JMOnPeak"/>
  <dimension ref="A1:T81"/>
  <sheetViews>
    <sheetView topLeftCell="F80" workbookViewId="0">
      <selection activeCell="L2" sqref="L2:L108"/>
    </sheetView>
  </sheetViews>
  <sheetFormatPr defaultRowHeight="12.75" x14ac:dyDescent="0.2"/>
  <cols>
    <col min="1" max="1" width="11.140625" bestFit="1" customWidth="1"/>
    <col min="2" max="2" width="8.5703125" bestFit="1" customWidth="1"/>
    <col min="3" max="3" width="5.7109375" bestFit="1" customWidth="1"/>
    <col min="4" max="4" width="5.140625" bestFit="1" customWidth="1"/>
    <col min="5" max="5" width="7.7109375" bestFit="1" customWidth="1"/>
    <col min="6" max="6" width="5.85546875" bestFit="1" customWidth="1"/>
    <col min="7" max="7" width="5.140625" bestFit="1" customWidth="1"/>
    <col min="8" max="8" width="4.85546875" bestFit="1" customWidth="1"/>
    <col min="9" max="9" width="6" bestFit="1" customWidth="1"/>
    <col min="10" max="10" width="10.85546875" bestFit="1" customWidth="1"/>
    <col min="11" max="12" width="8" bestFit="1" customWidth="1"/>
    <col min="13" max="13" width="8.7109375" bestFit="1" customWidth="1"/>
    <col min="14" max="14" width="10.5703125" bestFit="1" customWidth="1"/>
    <col min="15" max="16" width="4.5703125" bestFit="1" customWidth="1"/>
    <col min="17" max="17" width="9.5703125" bestFit="1" customWidth="1"/>
    <col min="18" max="18" width="11.140625" bestFit="1" customWidth="1"/>
  </cols>
  <sheetData>
    <row r="1" spans="1:20" s="1" customFormat="1" x14ac:dyDescent="0.2">
      <c r="A1" s="1" t="s">
        <v>1404</v>
      </c>
      <c r="B1" s="1" t="s">
        <v>1402</v>
      </c>
      <c r="C1" s="1" t="s">
        <v>974</v>
      </c>
      <c r="D1" s="1" t="s">
        <v>980</v>
      </c>
      <c r="E1" s="50" t="s">
        <v>1364</v>
      </c>
      <c r="F1" s="45" t="s">
        <v>1365</v>
      </c>
      <c r="G1" s="1" t="s">
        <v>1366</v>
      </c>
      <c r="H1" s="1" t="s">
        <v>1367</v>
      </c>
      <c r="I1" s="1" t="s">
        <v>1368</v>
      </c>
      <c r="J1" s="1" t="s">
        <v>978</v>
      </c>
      <c r="K1" s="1" t="s">
        <v>1369</v>
      </c>
      <c r="L1" s="1" t="s">
        <v>975</v>
      </c>
      <c r="M1" s="1" t="s">
        <v>979</v>
      </c>
      <c r="N1" s="1" t="s">
        <v>969</v>
      </c>
      <c r="O1" s="1" t="s">
        <v>1444</v>
      </c>
      <c r="P1" s="1" t="s">
        <v>1445</v>
      </c>
      <c r="Q1" s="1" t="s">
        <v>976</v>
      </c>
      <c r="R1" s="1" t="s">
        <v>1510</v>
      </c>
      <c r="T1" s="45">
        <v>43236</v>
      </c>
    </row>
    <row r="2" spans="1:20" x14ac:dyDescent="0.2">
      <c r="A2" t="str">
        <f>B2&amp;"."&amp;D2&amp;"."&amp;C2</f>
        <v>ICE.2018.5</v>
      </c>
      <c r="B2" t="s">
        <v>1403</v>
      </c>
      <c r="C2" t="str">
        <f>TEXT(DATEVALUE("1"&amp;E2),"M")</f>
        <v>5</v>
      </c>
      <c r="D2" t="str">
        <f>TEXT(DATEVALUE("1"&amp;E2),"YYYY")</f>
        <v>2018</v>
      </c>
      <c r="E2" s="51" t="s">
        <v>1370</v>
      </c>
      <c r="J2">
        <v>41.02</v>
      </c>
      <c r="K2">
        <v>0.83</v>
      </c>
      <c r="L2">
        <v>0</v>
      </c>
      <c r="M2">
        <v>3674</v>
      </c>
      <c r="N2">
        <v>0</v>
      </c>
      <c r="O2">
        <v>0</v>
      </c>
      <c r="P2">
        <v>0</v>
      </c>
      <c r="Q2">
        <v>0</v>
      </c>
      <c r="R2">
        <v>0</v>
      </c>
    </row>
    <row r="3" spans="1:20" x14ac:dyDescent="0.2">
      <c r="A3" t="str">
        <f t="shared" ref="A3:A66" si="0">B3&amp;"."&amp;D3&amp;"."&amp;C3</f>
        <v>ICE.2018.6</v>
      </c>
      <c r="B3" t="s">
        <v>1403</v>
      </c>
      <c r="C3" t="str">
        <f t="shared" ref="C3:C66" si="1">TEXT(DATEVALUE("1"&amp;E3),"M")</f>
        <v>6</v>
      </c>
      <c r="D3" t="str">
        <f t="shared" ref="D3:D66" si="2">TEXT(DATEVALUE("1"&amp;E3),"YYYY")</f>
        <v>2018</v>
      </c>
      <c r="E3" s="51" t="s">
        <v>1371</v>
      </c>
      <c r="J3">
        <v>34.549999999999997</v>
      </c>
      <c r="K3">
        <v>-0.35</v>
      </c>
      <c r="L3">
        <v>0</v>
      </c>
      <c r="M3">
        <v>2940</v>
      </c>
      <c r="N3">
        <v>0</v>
      </c>
      <c r="O3">
        <v>0</v>
      </c>
      <c r="P3">
        <v>0</v>
      </c>
      <c r="Q3">
        <v>0</v>
      </c>
      <c r="R3">
        <v>0</v>
      </c>
    </row>
    <row r="4" spans="1:20" x14ac:dyDescent="0.2">
      <c r="A4" t="str">
        <f t="shared" si="0"/>
        <v>ICE.2018.7</v>
      </c>
      <c r="B4" t="s">
        <v>1403</v>
      </c>
      <c r="C4" t="str">
        <f t="shared" si="1"/>
        <v>7</v>
      </c>
      <c r="D4" t="str">
        <f t="shared" si="2"/>
        <v>2018</v>
      </c>
      <c r="E4" s="51" t="s">
        <v>1372</v>
      </c>
      <c r="J4">
        <v>39.1</v>
      </c>
      <c r="K4">
        <v>-0.2</v>
      </c>
      <c r="L4">
        <v>0</v>
      </c>
      <c r="M4">
        <v>3003</v>
      </c>
      <c r="N4">
        <v>0</v>
      </c>
      <c r="O4">
        <v>0</v>
      </c>
      <c r="P4">
        <v>0</v>
      </c>
      <c r="Q4">
        <v>0</v>
      </c>
      <c r="R4">
        <v>0</v>
      </c>
    </row>
    <row r="5" spans="1:20" x14ac:dyDescent="0.2">
      <c r="A5" t="str">
        <f t="shared" si="0"/>
        <v>ICE.2018.8</v>
      </c>
      <c r="B5" t="s">
        <v>1403</v>
      </c>
      <c r="C5" t="str">
        <f t="shared" si="1"/>
        <v>8</v>
      </c>
      <c r="D5" t="str">
        <f t="shared" si="2"/>
        <v>2018</v>
      </c>
      <c r="E5" s="51" t="s">
        <v>1373</v>
      </c>
      <c r="J5">
        <v>36.75</v>
      </c>
      <c r="K5">
        <v>-0.05</v>
      </c>
      <c r="L5">
        <v>0</v>
      </c>
      <c r="M5">
        <v>3312</v>
      </c>
      <c r="N5">
        <v>0</v>
      </c>
      <c r="O5">
        <v>0</v>
      </c>
      <c r="P5">
        <v>0</v>
      </c>
      <c r="Q5">
        <v>0</v>
      </c>
      <c r="R5">
        <v>0</v>
      </c>
    </row>
    <row r="6" spans="1:20" x14ac:dyDescent="0.2">
      <c r="A6" t="str">
        <f t="shared" si="0"/>
        <v>ICE.2018.9</v>
      </c>
      <c r="B6" t="s">
        <v>1403</v>
      </c>
      <c r="C6" t="str">
        <f t="shared" si="1"/>
        <v>9</v>
      </c>
      <c r="D6" t="str">
        <f t="shared" si="2"/>
        <v>2018</v>
      </c>
      <c r="E6" s="51" t="s">
        <v>1374</v>
      </c>
      <c r="J6">
        <v>34.65</v>
      </c>
      <c r="K6">
        <v>-0.2</v>
      </c>
      <c r="L6">
        <v>0</v>
      </c>
      <c r="M6">
        <v>2527</v>
      </c>
      <c r="N6">
        <v>0</v>
      </c>
      <c r="O6">
        <v>0</v>
      </c>
      <c r="P6">
        <v>0</v>
      </c>
      <c r="Q6">
        <v>0</v>
      </c>
      <c r="R6">
        <v>0</v>
      </c>
    </row>
    <row r="7" spans="1:20" x14ac:dyDescent="0.2">
      <c r="A7" t="str">
        <f t="shared" si="0"/>
        <v>ICE.2018.10</v>
      </c>
      <c r="B7" t="s">
        <v>1403</v>
      </c>
      <c r="C7" t="str">
        <f t="shared" si="1"/>
        <v>10</v>
      </c>
      <c r="D7" t="str">
        <f t="shared" si="2"/>
        <v>2018</v>
      </c>
      <c r="E7" s="51" t="s">
        <v>1375</v>
      </c>
      <c r="J7">
        <v>33.799999999999997</v>
      </c>
      <c r="K7">
        <v>-0.05</v>
      </c>
      <c r="L7">
        <v>0</v>
      </c>
      <c r="M7">
        <v>4025</v>
      </c>
      <c r="N7">
        <v>0</v>
      </c>
      <c r="O7">
        <v>0</v>
      </c>
      <c r="P7">
        <v>0</v>
      </c>
      <c r="Q7">
        <v>0</v>
      </c>
      <c r="R7">
        <v>0</v>
      </c>
    </row>
    <row r="8" spans="1:20" x14ac:dyDescent="0.2">
      <c r="A8" t="str">
        <f t="shared" si="0"/>
        <v>ICE.2018.11</v>
      </c>
      <c r="B8" t="s">
        <v>1403</v>
      </c>
      <c r="C8" t="str">
        <f t="shared" si="1"/>
        <v>11</v>
      </c>
      <c r="D8" t="str">
        <f t="shared" si="2"/>
        <v>2018</v>
      </c>
      <c r="E8" s="51" t="s">
        <v>1376</v>
      </c>
      <c r="J8">
        <v>33.6</v>
      </c>
      <c r="K8">
        <v>-0.1</v>
      </c>
      <c r="L8">
        <v>0</v>
      </c>
      <c r="M8">
        <v>3213</v>
      </c>
      <c r="N8">
        <v>0</v>
      </c>
      <c r="O8">
        <v>0</v>
      </c>
      <c r="P8">
        <v>0</v>
      </c>
      <c r="Q8">
        <v>0</v>
      </c>
      <c r="R8">
        <v>0</v>
      </c>
    </row>
    <row r="9" spans="1:20" x14ac:dyDescent="0.2">
      <c r="A9" t="str">
        <f t="shared" si="0"/>
        <v>ICE.2018.12</v>
      </c>
      <c r="B9" t="s">
        <v>1403</v>
      </c>
      <c r="C9" t="str">
        <f t="shared" si="1"/>
        <v>12</v>
      </c>
      <c r="D9" t="str">
        <f t="shared" si="2"/>
        <v>2018</v>
      </c>
      <c r="E9" s="51" t="s">
        <v>1377</v>
      </c>
      <c r="J9">
        <v>36.700000000000003</v>
      </c>
      <c r="K9">
        <v>-0.15</v>
      </c>
      <c r="L9">
        <v>0</v>
      </c>
      <c r="M9">
        <v>3280</v>
      </c>
      <c r="N9">
        <v>0</v>
      </c>
      <c r="O9">
        <v>0</v>
      </c>
      <c r="P9">
        <v>0</v>
      </c>
      <c r="Q9">
        <v>0</v>
      </c>
      <c r="R9">
        <v>0</v>
      </c>
    </row>
    <row r="10" spans="1:20" x14ac:dyDescent="0.2">
      <c r="A10" t="str">
        <f t="shared" si="0"/>
        <v>ICE.2019.1</v>
      </c>
      <c r="B10" t="s">
        <v>1403</v>
      </c>
      <c r="C10" t="str">
        <f t="shared" si="1"/>
        <v>1</v>
      </c>
      <c r="D10" t="str">
        <f t="shared" si="2"/>
        <v>2019</v>
      </c>
      <c r="E10" s="51" t="s">
        <v>1378</v>
      </c>
      <c r="J10">
        <v>49.85</v>
      </c>
      <c r="K10">
        <v>-0.15</v>
      </c>
      <c r="L10">
        <v>0</v>
      </c>
      <c r="M10">
        <v>1188</v>
      </c>
      <c r="N10">
        <v>0</v>
      </c>
      <c r="O10">
        <v>0</v>
      </c>
      <c r="P10">
        <v>0</v>
      </c>
      <c r="Q10">
        <v>0</v>
      </c>
      <c r="R10">
        <v>0</v>
      </c>
    </row>
    <row r="11" spans="1:20" x14ac:dyDescent="0.2">
      <c r="A11" t="str">
        <f t="shared" si="0"/>
        <v>ICE.2019.2</v>
      </c>
      <c r="B11" t="s">
        <v>1403</v>
      </c>
      <c r="C11" t="str">
        <f t="shared" si="1"/>
        <v>2</v>
      </c>
      <c r="D11" t="str">
        <f t="shared" si="2"/>
        <v>2019</v>
      </c>
      <c r="E11" s="51" t="s">
        <v>1379</v>
      </c>
      <c r="J11">
        <v>45.95</v>
      </c>
      <c r="K11">
        <v>-0.15</v>
      </c>
      <c r="L11">
        <v>0</v>
      </c>
      <c r="M11">
        <v>1080</v>
      </c>
      <c r="N11">
        <v>0</v>
      </c>
      <c r="O11">
        <v>0</v>
      </c>
      <c r="P11">
        <v>0</v>
      </c>
      <c r="Q11">
        <v>0</v>
      </c>
      <c r="R11">
        <v>0</v>
      </c>
    </row>
    <row r="12" spans="1:20" x14ac:dyDescent="0.2">
      <c r="A12" t="str">
        <f t="shared" si="0"/>
        <v>ICE.2019.3</v>
      </c>
      <c r="B12" t="s">
        <v>1403</v>
      </c>
      <c r="C12" t="str">
        <f t="shared" si="1"/>
        <v>3</v>
      </c>
      <c r="D12" t="str">
        <f t="shared" si="2"/>
        <v>2019</v>
      </c>
      <c r="E12" s="51" t="s">
        <v>1380</v>
      </c>
      <c r="J12">
        <v>37.200000000000003</v>
      </c>
      <c r="K12">
        <v>-0.05</v>
      </c>
      <c r="L12">
        <v>0</v>
      </c>
      <c r="M12">
        <v>798</v>
      </c>
      <c r="N12">
        <v>0</v>
      </c>
      <c r="O12">
        <v>0</v>
      </c>
      <c r="P12">
        <v>0</v>
      </c>
      <c r="Q12">
        <v>0</v>
      </c>
      <c r="R12">
        <v>0</v>
      </c>
    </row>
    <row r="13" spans="1:20" x14ac:dyDescent="0.2">
      <c r="A13" t="str">
        <f t="shared" si="0"/>
        <v>ICE.2019.4</v>
      </c>
      <c r="B13" t="s">
        <v>1403</v>
      </c>
      <c r="C13" t="str">
        <f t="shared" si="1"/>
        <v>4</v>
      </c>
      <c r="D13" t="str">
        <f t="shared" si="2"/>
        <v>2019</v>
      </c>
      <c r="E13" s="51" t="s">
        <v>1381</v>
      </c>
      <c r="J13">
        <v>32.5</v>
      </c>
      <c r="K13">
        <v>-0.1</v>
      </c>
      <c r="L13">
        <v>0</v>
      </c>
      <c r="M13">
        <v>814</v>
      </c>
      <c r="N13">
        <v>0</v>
      </c>
      <c r="O13">
        <v>0</v>
      </c>
      <c r="P13">
        <v>0</v>
      </c>
      <c r="Q13">
        <v>0</v>
      </c>
      <c r="R13">
        <v>0</v>
      </c>
    </row>
    <row r="14" spans="1:20" x14ac:dyDescent="0.2">
      <c r="A14" t="str">
        <f t="shared" si="0"/>
        <v>ICE.2019.5</v>
      </c>
      <c r="B14" t="s">
        <v>1403</v>
      </c>
      <c r="C14" t="str">
        <f t="shared" si="1"/>
        <v>5</v>
      </c>
      <c r="D14" t="str">
        <f t="shared" si="2"/>
        <v>2019</v>
      </c>
      <c r="E14" s="51" t="s">
        <v>1382</v>
      </c>
      <c r="J14">
        <v>32.25</v>
      </c>
      <c r="K14">
        <v>-0.05</v>
      </c>
      <c r="L14">
        <v>0</v>
      </c>
      <c r="M14">
        <v>792</v>
      </c>
      <c r="N14">
        <v>0</v>
      </c>
      <c r="O14">
        <v>0</v>
      </c>
      <c r="P14">
        <v>0</v>
      </c>
      <c r="Q14">
        <v>0</v>
      </c>
      <c r="R14">
        <v>0</v>
      </c>
    </row>
    <row r="15" spans="1:20" x14ac:dyDescent="0.2">
      <c r="A15" t="str">
        <f t="shared" si="0"/>
        <v>ICE.2019.6</v>
      </c>
      <c r="B15" t="s">
        <v>1403</v>
      </c>
      <c r="C15" t="str">
        <f t="shared" si="1"/>
        <v>6</v>
      </c>
      <c r="D15" t="str">
        <f t="shared" si="2"/>
        <v>2019</v>
      </c>
      <c r="E15" s="51" t="s">
        <v>1383</v>
      </c>
      <c r="J15">
        <v>32.049999999999997</v>
      </c>
      <c r="K15">
        <v>-0.05</v>
      </c>
      <c r="L15">
        <v>0</v>
      </c>
      <c r="M15">
        <v>720</v>
      </c>
      <c r="N15">
        <v>0</v>
      </c>
      <c r="O15">
        <v>0</v>
      </c>
      <c r="P15">
        <v>0</v>
      </c>
      <c r="Q15">
        <v>0</v>
      </c>
      <c r="R15">
        <v>0</v>
      </c>
    </row>
    <row r="16" spans="1:20" x14ac:dyDescent="0.2">
      <c r="A16" t="str">
        <f t="shared" si="0"/>
        <v>ICE.2019.7</v>
      </c>
      <c r="B16" t="s">
        <v>1403</v>
      </c>
      <c r="C16" t="str">
        <f t="shared" si="1"/>
        <v>7</v>
      </c>
      <c r="D16" t="str">
        <f t="shared" si="2"/>
        <v>2019</v>
      </c>
      <c r="E16" s="51" t="s">
        <v>1384</v>
      </c>
      <c r="J16">
        <v>38.049999999999997</v>
      </c>
      <c r="K16">
        <v>-0.1</v>
      </c>
      <c r="L16">
        <v>0</v>
      </c>
      <c r="M16">
        <v>836</v>
      </c>
      <c r="N16">
        <v>0</v>
      </c>
      <c r="O16">
        <v>0</v>
      </c>
      <c r="P16">
        <v>0</v>
      </c>
      <c r="Q16">
        <v>0</v>
      </c>
      <c r="R16">
        <v>0</v>
      </c>
    </row>
    <row r="17" spans="1:18" x14ac:dyDescent="0.2">
      <c r="A17" t="str">
        <f t="shared" si="0"/>
        <v>ICE.2019.8</v>
      </c>
      <c r="B17" t="s">
        <v>1403</v>
      </c>
      <c r="C17" t="str">
        <f t="shared" si="1"/>
        <v>8</v>
      </c>
      <c r="D17" t="str">
        <f t="shared" si="2"/>
        <v>2019</v>
      </c>
      <c r="E17" s="51" t="s">
        <v>1385</v>
      </c>
      <c r="J17">
        <v>35.049999999999997</v>
      </c>
      <c r="K17">
        <v>-0.1</v>
      </c>
      <c r="L17">
        <v>0</v>
      </c>
      <c r="M17">
        <v>836</v>
      </c>
      <c r="N17">
        <v>0</v>
      </c>
      <c r="O17">
        <v>0</v>
      </c>
      <c r="P17">
        <v>0</v>
      </c>
      <c r="Q17">
        <v>0</v>
      </c>
      <c r="R17">
        <v>0</v>
      </c>
    </row>
    <row r="18" spans="1:18" x14ac:dyDescent="0.2">
      <c r="A18" t="str">
        <f t="shared" si="0"/>
        <v>ICE.2019.9</v>
      </c>
      <c r="B18" t="s">
        <v>1403</v>
      </c>
      <c r="C18" t="str">
        <f t="shared" si="1"/>
        <v>9</v>
      </c>
      <c r="D18" t="str">
        <f t="shared" si="2"/>
        <v>2019</v>
      </c>
      <c r="E18" s="51" t="s">
        <v>1386</v>
      </c>
      <c r="J18">
        <v>32.1</v>
      </c>
      <c r="K18">
        <v>-0.05</v>
      </c>
      <c r="L18">
        <v>0</v>
      </c>
      <c r="M18">
        <v>720</v>
      </c>
      <c r="N18">
        <v>0</v>
      </c>
      <c r="O18">
        <v>0</v>
      </c>
      <c r="P18">
        <v>0</v>
      </c>
      <c r="Q18">
        <v>0</v>
      </c>
      <c r="R18">
        <v>0</v>
      </c>
    </row>
    <row r="19" spans="1:18" x14ac:dyDescent="0.2">
      <c r="A19" t="str">
        <f t="shared" si="0"/>
        <v>ICE.2019.10</v>
      </c>
      <c r="B19" t="s">
        <v>1403</v>
      </c>
      <c r="C19" t="str">
        <f t="shared" si="1"/>
        <v>10</v>
      </c>
      <c r="D19" t="str">
        <f t="shared" si="2"/>
        <v>2019</v>
      </c>
      <c r="E19" s="51" t="s">
        <v>1387</v>
      </c>
      <c r="J19">
        <v>31.5</v>
      </c>
      <c r="K19">
        <v>-0.1</v>
      </c>
      <c r="L19">
        <v>0</v>
      </c>
      <c r="M19">
        <v>987</v>
      </c>
      <c r="N19">
        <v>0</v>
      </c>
      <c r="O19">
        <v>0</v>
      </c>
      <c r="P19">
        <v>0</v>
      </c>
      <c r="Q19">
        <v>0</v>
      </c>
      <c r="R19">
        <v>0</v>
      </c>
    </row>
    <row r="20" spans="1:18" x14ac:dyDescent="0.2">
      <c r="A20" t="str">
        <f t="shared" si="0"/>
        <v>ICE.2019.11</v>
      </c>
      <c r="B20" t="s">
        <v>1403</v>
      </c>
      <c r="C20" t="str">
        <f t="shared" si="1"/>
        <v>11</v>
      </c>
      <c r="D20" t="str">
        <f t="shared" si="2"/>
        <v>2019</v>
      </c>
      <c r="E20" s="51" t="s">
        <v>1388</v>
      </c>
      <c r="J20">
        <v>31.05</v>
      </c>
      <c r="K20">
        <v>-0.1</v>
      </c>
      <c r="L20">
        <v>0</v>
      </c>
      <c r="M20">
        <v>858</v>
      </c>
      <c r="N20">
        <v>0</v>
      </c>
      <c r="O20">
        <v>0</v>
      </c>
      <c r="P20">
        <v>0</v>
      </c>
      <c r="Q20">
        <v>0</v>
      </c>
      <c r="R20">
        <v>0</v>
      </c>
    </row>
    <row r="21" spans="1:18" x14ac:dyDescent="0.2">
      <c r="A21" t="str">
        <f t="shared" si="0"/>
        <v>ICE.2019.12</v>
      </c>
      <c r="B21" t="s">
        <v>1403</v>
      </c>
      <c r="C21" t="str">
        <f t="shared" si="1"/>
        <v>12</v>
      </c>
      <c r="D21" t="str">
        <f t="shared" si="2"/>
        <v>2019</v>
      </c>
      <c r="E21" s="51" t="s">
        <v>1389</v>
      </c>
      <c r="J21">
        <v>33.85</v>
      </c>
      <c r="K21">
        <v>-0.1</v>
      </c>
      <c r="L21">
        <v>0</v>
      </c>
      <c r="M21">
        <v>901</v>
      </c>
      <c r="N21">
        <v>0</v>
      </c>
      <c r="O21">
        <v>0</v>
      </c>
      <c r="P21">
        <v>0</v>
      </c>
      <c r="Q21">
        <v>0</v>
      </c>
      <c r="R21">
        <v>0</v>
      </c>
    </row>
    <row r="22" spans="1:18" x14ac:dyDescent="0.2">
      <c r="A22" t="str">
        <f t="shared" si="0"/>
        <v>ICE.2020.1</v>
      </c>
      <c r="B22" t="s">
        <v>1403</v>
      </c>
      <c r="C22" t="str">
        <f t="shared" si="1"/>
        <v>1</v>
      </c>
      <c r="D22" t="str">
        <f t="shared" si="2"/>
        <v>2020</v>
      </c>
      <c r="E22" s="51" t="s">
        <v>1390</v>
      </c>
      <c r="J22">
        <v>47.5</v>
      </c>
      <c r="K22">
        <v>-0.05</v>
      </c>
      <c r="L22">
        <v>0</v>
      </c>
      <c r="M22">
        <v>792</v>
      </c>
      <c r="N22">
        <v>0</v>
      </c>
      <c r="O22">
        <v>0</v>
      </c>
      <c r="P22">
        <v>0</v>
      </c>
      <c r="Q22">
        <v>0</v>
      </c>
      <c r="R22">
        <v>0</v>
      </c>
    </row>
    <row r="23" spans="1:18" x14ac:dyDescent="0.2">
      <c r="A23" t="str">
        <f t="shared" si="0"/>
        <v>ICE.2020.2</v>
      </c>
      <c r="B23" t="s">
        <v>1403</v>
      </c>
      <c r="C23" t="str">
        <f t="shared" si="1"/>
        <v>2</v>
      </c>
      <c r="D23" t="str">
        <f t="shared" si="2"/>
        <v>2020</v>
      </c>
      <c r="E23" s="51" t="s">
        <v>1391</v>
      </c>
      <c r="J23">
        <v>44.65</v>
      </c>
      <c r="K23">
        <v>-0.05</v>
      </c>
      <c r="L23">
        <v>0</v>
      </c>
      <c r="M23">
        <v>720</v>
      </c>
      <c r="N23">
        <v>0</v>
      </c>
      <c r="O23">
        <v>0</v>
      </c>
      <c r="P23">
        <v>0</v>
      </c>
      <c r="Q23">
        <v>0</v>
      </c>
      <c r="R23">
        <v>0</v>
      </c>
    </row>
    <row r="24" spans="1:18" x14ac:dyDescent="0.2">
      <c r="A24" t="str">
        <f t="shared" si="0"/>
        <v>ICE.2020.3</v>
      </c>
      <c r="B24" t="s">
        <v>1403</v>
      </c>
      <c r="C24" t="str">
        <f t="shared" si="1"/>
        <v>3</v>
      </c>
      <c r="D24" t="str">
        <f t="shared" si="2"/>
        <v>2020</v>
      </c>
      <c r="E24" s="51" t="s">
        <v>1392</v>
      </c>
      <c r="J24">
        <v>36.15</v>
      </c>
      <c r="K24">
        <v>-0.05</v>
      </c>
      <c r="L24">
        <v>0</v>
      </c>
      <c r="M24">
        <v>748</v>
      </c>
      <c r="N24">
        <v>0</v>
      </c>
      <c r="O24">
        <v>0</v>
      </c>
      <c r="P24">
        <v>0</v>
      </c>
      <c r="Q24">
        <v>0</v>
      </c>
      <c r="R24">
        <v>0</v>
      </c>
    </row>
    <row r="25" spans="1:18" x14ac:dyDescent="0.2">
      <c r="A25" t="str">
        <f t="shared" si="0"/>
        <v>ICE.2020.4</v>
      </c>
      <c r="B25" t="s">
        <v>1403</v>
      </c>
      <c r="C25" t="str">
        <f t="shared" si="1"/>
        <v>4</v>
      </c>
      <c r="D25" t="str">
        <f t="shared" si="2"/>
        <v>2020</v>
      </c>
      <c r="E25" s="51" t="s">
        <v>1393</v>
      </c>
      <c r="J25">
        <v>31.35</v>
      </c>
      <c r="K25">
        <v>-0.05</v>
      </c>
      <c r="L25">
        <v>0</v>
      </c>
      <c r="M25">
        <v>748</v>
      </c>
      <c r="N25">
        <v>0</v>
      </c>
      <c r="O25">
        <v>0</v>
      </c>
      <c r="P25">
        <v>0</v>
      </c>
      <c r="Q25">
        <v>0</v>
      </c>
      <c r="R25">
        <v>0</v>
      </c>
    </row>
    <row r="26" spans="1:18" x14ac:dyDescent="0.2">
      <c r="A26" t="str">
        <f t="shared" si="0"/>
        <v>ICE.2020.5</v>
      </c>
      <c r="B26" t="s">
        <v>1403</v>
      </c>
      <c r="C26" t="str">
        <f t="shared" si="1"/>
        <v>5</v>
      </c>
      <c r="D26" t="str">
        <f t="shared" si="2"/>
        <v>2020</v>
      </c>
      <c r="E26" s="51" t="s">
        <v>1394</v>
      </c>
      <c r="J26">
        <v>31.05</v>
      </c>
      <c r="K26">
        <v>-0.05</v>
      </c>
      <c r="L26">
        <v>0</v>
      </c>
      <c r="M26">
        <v>680</v>
      </c>
      <c r="N26">
        <v>0</v>
      </c>
      <c r="O26">
        <v>0</v>
      </c>
      <c r="P26">
        <v>0</v>
      </c>
      <c r="Q26">
        <v>0</v>
      </c>
      <c r="R26">
        <v>0</v>
      </c>
    </row>
    <row r="27" spans="1:18" x14ac:dyDescent="0.2">
      <c r="A27" t="str">
        <f t="shared" si="0"/>
        <v>ICE.2020.6</v>
      </c>
      <c r="B27" t="s">
        <v>1403</v>
      </c>
      <c r="C27" t="str">
        <f t="shared" si="1"/>
        <v>6</v>
      </c>
      <c r="D27" t="str">
        <f t="shared" si="2"/>
        <v>2020</v>
      </c>
      <c r="E27" s="51" t="s">
        <v>1395</v>
      </c>
      <c r="J27">
        <v>31.4</v>
      </c>
      <c r="K27">
        <v>-0.05</v>
      </c>
      <c r="L27">
        <v>0</v>
      </c>
      <c r="M27">
        <v>682</v>
      </c>
      <c r="N27">
        <v>0</v>
      </c>
      <c r="O27">
        <v>0</v>
      </c>
      <c r="P27">
        <v>0</v>
      </c>
      <c r="Q27">
        <v>0</v>
      </c>
      <c r="R27">
        <v>0</v>
      </c>
    </row>
    <row r="28" spans="1:18" x14ac:dyDescent="0.2">
      <c r="A28" t="str">
        <f t="shared" si="0"/>
        <v>ICE.2020.7</v>
      </c>
      <c r="B28" t="s">
        <v>1403</v>
      </c>
      <c r="C28" t="str">
        <f t="shared" si="1"/>
        <v>7</v>
      </c>
      <c r="D28" t="str">
        <f t="shared" si="2"/>
        <v>2020</v>
      </c>
      <c r="E28" s="51" t="s">
        <v>1396</v>
      </c>
      <c r="J28">
        <v>37.75</v>
      </c>
      <c r="K28">
        <v>-0.05</v>
      </c>
      <c r="L28">
        <v>0</v>
      </c>
      <c r="M28">
        <v>690</v>
      </c>
      <c r="N28">
        <v>0</v>
      </c>
      <c r="O28">
        <v>0</v>
      </c>
      <c r="P28">
        <v>0</v>
      </c>
      <c r="Q28">
        <v>0</v>
      </c>
      <c r="R28">
        <v>0</v>
      </c>
    </row>
    <row r="29" spans="1:18" x14ac:dyDescent="0.2">
      <c r="A29" t="str">
        <f t="shared" si="0"/>
        <v>ICE.2020.8</v>
      </c>
      <c r="B29" t="s">
        <v>1403</v>
      </c>
      <c r="C29" t="str">
        <f t="shared" si="1"/>
        <v>8</v>
      </c>
      <c r="D29" t="str">
        <f t="shared" si="2"/>
        <v>2020</v>
      </c>
      <c r="E29" s="51" t="s">
        <v>1397</v>
      </c>
      <c r="J29">
        <v>34.5</v>
      </c>
      <c r="K29">
        <v>-0.05</v>
      </c>
      <c r="L29">
        <v>0</v>
      </c>
      <c r="M29">
        <v>630</v>
      </c>
      <c r="N29">
        <v>0</v>
      </c>
      <c r="O29">
        <v>0</v>
      </c>
      <c r="P29">
        <v>0</v>
      </c>
      <c r="Q29">
        <v>0</v>
      </c>
      <c r="R29">
        <v>0</v>
      </c>
    </row>
    <row r="30" spans="1:18" x14ac:dyDescent="0.2">
      <c r="A30" t="str">
        <f t="shared" si="0"/>
        <v>ICE.2020.9</v>
      </c>
      <c r="B30" t="s">
        <v>1403</v>
      </c>
      <c r="C30" t="str">
        <f t="shared" si="1"/>
        <v>9</v>
      </c>
      <c r="D30" t="str">
        <f t="shared" si="2"/>
        <v>2020</v>
      </c>
      <c r="E30" s="51" t="s">
        <v>1398</v>
      </c>
      <c r="J30">
        <v>30.9</v>
      </c>
      <c r="K30">
        <v>-0.05</v>
      </c>
      <c r="L30">
        <v>0</v>
      </c>
      <c r="M30">
        <v>651</v>
      </c>
      <c r="N30">
        <v>0</v>
      </c>
      <c r="O30">
        <v>0</v>
      </c>
      <c r="P30">
        <v>0</v>
      </c>
      <c r="Q30">
        <v>0</v>
      </c>
      <c r="R30">
        <v>0</v>
      </c>
    </row>
    <row r="31" spans="1:18" x14ac:dyDescent="0.2">
      <c r="A31" t="str">
        <f t="shared" si="0"/>
        <v>ICE.2020.10</v>
      </c>
      <c r="B31" t="s">
        <v>1403</v>
      </c>
      <c r="C31" t="str">
        <f t="shared" si="1"/>
        <v>10</v>
      </c>
      <c r="D31" t="str">
        <f t="shared" si="2"/>
        <v>2020</v>
      </c>
      <c r="E31" s="51" t="s">
        <v>1399</v>
      </c>
      <c r="J31">
        <v>30.2</v>
      </c>
      <c r="K31">
        <v>-0.05</v>
      </c>
      <c r="L31">
        <v>0</v>
      </c>
      <c r="M31">
        <v>682</v>
      </c>
      <c r="N31">
        <v>0</v>
      </c>
      <c r="O31">
        <v>0</v>
      </c>
      <c r="P31">
        <v>0</v>
      </c>
      <c r="Q31">
        <v>0</v>
      </c>
      <c r="R31">
        <v>0</v>
      </c>
    </row>
    <row r="32" spans="1:18" x14ac:dyDescent="0.2">
      <c r="A32" t="str">
        <f t="shared" si="0"/>
        <v>ICE.2020.11</v>
      </c>
      <c r="B32" t="s">
        <v>1403</v>
      </c>
      <c r="C32" t="str">
        <f t="shared" si="1"/>
        <v>11</v>
      </c>
      <c r="D32" t="str">
        <f t="shared" si="2"/>
        <v>2020</v>
      </c>
      <c r="E32" s="51" t="s">
        <v>1400</v>
      </c>
      <c r="J32">
        <v>30.2</v>
      </c>
      <c r="K32">
        <v>-0.05</v>
      </c>
      <c r="L32">
        <v>0</v>
      </c>
      <c r="M32">
        <v>620</v>
      </c>
      <c r="N32">
        <v>0</v>
      </c>
      <c r="O32">
        <v>0</v>
      </c>
      <c r="P32">
        <v>0</v>
      </c>
      <c r="Q32">
        <v>0</v>
      </c>
      <c r="R32">
        <v>0</v>
      </c>
    </row>
    <row r="33" spans="1:18" x14ac:dyDescent="0.2">
      <c r="A33" t="str">
        <f t="shared" si="0"/>
        <v>ICE.2020.12</v>
      </c>
      <c r="B33" t="s">
        <v>1403</v>
      </c>
      <c r="C33" t="str">
        <f t="shared" si="1"/>
        <v>12</v>
      </c>
      <c r="D33" t="str">
        <f t="shared" si="2"/>
        <v>2020</v>
      </c>
      <c r="E33" s="51" t="s">
        <v>1401</v>
      </c>
      <c r="J33">
        <v>33.549999999999997</v>
      </c>
      <c r="K33">
        <v>-0.05</v>
      </c>
      <c r="L33">
        <v>0</v>
      </c>
      <c r="M33">
        <v>682</v>
      </c>
      <c r="N33">
        <v>0</v>
      </c>
      <c r="O33">
        <v>0</v>
      </c>
      <c r="P33">
        <v>0</v>
      </c>
      <c r="Q33">
        <v>0</v>
      </c>
      <c r="R33">
        <v>0</v>
      </c>
    </row>
    <row r="34" spans="1:18" x14ac:dyDescent="0.2">
      <c r="A34" t="str">
        <f t="shared" si="0"/>
        <v>ICE.2021.1</v>
      </c>
      <c r="B34" t="s">
        <v>1403</v>
      </c>
      <c r="C34" t="str">
        <f t="shared" si="1"/>
        <v>1</v>
      </c>
      <c r="D34" t="str">
        <f t="shared" si="2"/>
        <v>2021</v>
      </c>
      <c r="E34" s="51" t="s">
        <v>1405</v>
      </c>
      <c r="J34">
        <v>46.3</v>
      </c>
      <c r="K34">
        <v>-0.05</v>
      </c>
      <c r="L34">
        <v>0</v>
      </c>
      <c r="M34">
        <v>160</v>
      </c>
      <c r="N34">
        <v>0</v>
      </c>
      <c r="O34">
        <v>0</v>
      </c>
      <c r="P34">
        <v>0</v>
      </c>
      <c r="Q34">
        <v>0</v>
      </c>
      <c r="R34">
        <v>0</v>
      </c>
    </row>
    <row r="35" spans="1:18" x14ac:dyDescent="0.2">
      <c r="A35" t="str">
        <f t="shared" si="0"/>
        <v>ICE.2021.2</v>
      </c>
      <c r="B35" t="s">
        <v>1403</v>
      </c>
      <c r="C35" t="str">
        <f t="shared" si="1"/>
        <v>2</v>
      </c>
      <c r="D35" t="str">
        <f t="shared" si="2"/>
        <v>2021</v>
      </c>
      <c r="E35" s="51" t="s">
        <v>1406</v>
      </c>
      <c r="J35">
        <v>43.5</v>
      </c>
      <c r="K35">
        <v>-0.05</v>
      </c>
      <c r="L35">
        <v>0</v>
      </c>
      <c r="M35">
        <v>160</v>
      </c>
      <c r="N35">
        <v>0</v>
      </c>
      <c r="O35">
        <v>0</v>
      </c>
      <c r="P35">
        <v>0</v>
      </c>
      <c r="Q35">
        <v>0</v>
      </c>
      <c r="R35">
        <v>0</v>
      </c>
    </row>
    <row r="36" spans="1:18" x14ac:dyDescent="0.2">
      <c r="A36" t="str">
        <f t="shared" si="0"/>
        <v>ICE.2021.3</v>
      </c>
      <c r="B36" t="s">
        <v>1403</v>
      </c>
      <c r="C36" t="str">
        <f t="shared" si="1"/>
        <v>3</v>
      </c>
      <c r="D36" t="str">
        <f t="shared" si="2"/>
        <v>2021</v>
      </c>
      <c r="E36" s="51" t="s">
        <v>1407</v>
      </c>
      <c r="J36">
        <v>35.5</v>
      </c>
      <c r="K36">
        <v>-0.05</v>
      </c>
      <c r="L36">
        <v>0</v>
      </c>
      <c r="M36">
        <v>207</v>
      </c>
      <c r="N36">
        <v>0</v>
      </c>
      <c r="O36">
        <v>0</v>
      </c>
      <c r="P36">
        <v>0</v>
      </c>
      <c r="Q36">
        <v>0</v>
      </c>
      <c r="R36">
        <v>0</v>
      </c>
    </row>
    <row r="37" spans="1:18" x14ac:dyDescent="0.2">
      <c r="A37" t="str">
        <f t="shared" si="0"/>
        <v>ICE.2021.4</v>
      </c>
      <c r="B37" t="s">
        <v>1403</v>
      </c>
      <c r="C37" t="str">
        <f t="shared" si="1"/>
        <v>4</v>
      </c>
      <c r="D37" t="str">
        <f t="shared" si="2"/>
        <v>2021</v>
      </c>
      <c r="E37" s="51" t="s">
        <v>1408</v>
      </c>
      <c r="J37">
        <v>30.85</v>
      </c>
      <c r="K37">
        <v>-0.05</v>
      </c>
      <c r="L37">
        <v>0</v>
      </c>
      <c r="M37">
        <v>198</v>
      </c>
      <c r="N37">
        <v>0</v>
      </c>
      <c r="O37">
        <v>0</v>
      </c>
      <c r="P37">
        <v>0</v>
      </c>
      <c r="Q37">
        <v>0</v>
      </c>
      <c r="R37">
        <v>0</v>
      </c>
    </row>
    <row r="38" spans="1:18" x14ac:dyDescent="0.2">
      <c r="A38" t="str">
        <f t="shared" si="0"/>
        <v>ICE.2021.5</v>
      </c>
      <c r="B38" t="s">
        <v>1403</v>
      </c>
      <c r="C38" t="str">
        <f t="shared" si="1"/>
        <v>5</v>
      </c>
      <c r="D38" t="str">
        <f t="shared" si="2"/>
        <v>2021</v>
      </c>
      <c r="E38" s="51" t="s">
        <v>1409</v>
      </c>
      <c r="J38">
        <v>30.75</v>
      </c>
      <c r="K38">
        <v>-0.05</v>
      </c>
      <c r="L38">
        <v>0</v>
      </c>
      <c r="M38">
        <v>180</v>
      </c>
      <c r="N38">
        <v>0</v>
      </c>
      <c r="O38">
        <v>0</v>
      </c>
      <c r="P38">
        <v>0</v>
      </c>
      <c r="Q38">
        <v>0</v>
      </c>
      <c r="R38">
        <v>0</v>
      </c>
    </row>
    <row r="39" spans="1:18" x14ac:dyDescent="0.2">
      <c r="A39" t="str">
        <f t="shared" si="0"/>
        <v>ICE.2021.6</v>
      </c>
      <c r="B39" t="s">
        <v>1403</v>
      </c>
      <c r="C39" t="str">
        <f t="shared" si="1"/>
        <v>6</v>
      </c>
      <c r="D39" t="str">
        <f t="shared" si="2"/>
        <v>2021</v>
      </c>
      <c r="E39" s="51" t="s">
        <v>1410</v>
      </c>
      <c r="J39">
        <v>30.95</v>
      </c>
      <c r="K39">
        <v>-0.05</v>
      </c>
      <c r="L39">
        <v>0</v>
      </c>
      <c r="M39">
        <v>198</v>
      </c>
      <c r="N39">
        <v>0</v>
      </c>
      <c r="O39">
        <v>0</v>
      </c>
      <c r="P39">
        <v>0</v>
      </c>
      <c r="Q39">
        <v>0</v>
      </c>
      <c r="R39">
        <v>0</v>
      </c>
    </row>
    <row r="40" spans="1:18" x14ac:dyDescent="0.2">
      <c r="A40" t="str">
        <f t="shared" si="0"/>
        <v>ICE.2021.7</v>
      </c>
      <c r="B40" t="s">
        <v>1403</v>
      </c>
      <c r="C40" t="str">
        <f t="shared" si="1"/>
        <v>7</v>
      </c>
      <c r="D40" t="str">
        <f t="shared" si="2"/>
        <v>2021</v>
      </c>
      <c r="E40" s="51" t="s">
        <v>1411</v>
      </c>
      <c r="J40">
        <v>36.85</v>
      </c>
      <c r="K40">
        <v>-0.05</v>
      </c>
      <c r="L40">
        <v>0</v>
      </c>
      <c r="M40">
        <v>210</v>
      </c>
      <c r="N40">
        <v>0</v>
      </c>
      <c r="O40">
        <v>0</v>
      </c>
      <c r="P40">
        <v>0</v>
      </c>
      <c r="Q40">
        <v>0</v>
      </c>
      <c r="R40">
        <v>0</v>
      </c>
    </row>
    <row r="41" spans="1:18" x14ac:dyDescent="0.2">
      <c r="A41" t="str">
        <f t="shared" si="0"/>
        <v>ICE.2021.8</v>
      </c>
      <c r="B41" t="s">
        <v>1403</v>
      </c>
      <c r="C41" t="str">
        <f t="shared" si="1"/>
        <v>8</v>
      </c>
      <c r="D41" t="str">
        <f t="shared" si="2"/>
        <v>2021</v>
      </c>
      <c r="E41" s="51" t="s">
        <v>1412</v>
      </c>
      <c r="J41">
        <v>33.65</v>
      </c>
      <c r="K41">
        <v>-0.05</v>
      </c>
      <c r="L41">
        <v>0</v>
      </c>
      <c r="M41">
        <v>220</v>
      </c>
      <c r="N41">
        <v>0</v>
      </c>
      <c r="O41">
        <v>0</v>
      </c>
      <c r="P41">
        <v>0</v>
      </c>
      <c r="Q41">
        <v>0</v>
      </c>
      <c r="R41">
        <v>0</v>
      </c>
    </row>
    <row r="42" spans="1:18" x14ac:dyDescent="0.2">
      <c r="A42" t="str">
        <f t="shared" si="0"/>
        <v>ICE.2021.9</v>
      </c>
      <c r="B42" t="s">
        <v>1403</v>
      </c>
      <c r="C42" t="str">
        <f t="shared" si="1"/>
        <v>9</v>
      </c>
      <c r="D42" t="str">
        <f t="shared" si="2"/>
        <v>2021</v>
      </c>
      <c r="E42" s="51" t="s">
        <v>1413</v>
      </c>
      <c r="J42">
        <v>30.55</v>
      </c>
      <c r="K42">
        <v>-0.05</v>
      </c>
      <c r="L42">
        <v>0</v>
      </c>
      <c r="M42">
        <v>189</v>
      </c>
      <c r="N42">
        <v>0</v>
      </c>
      <c r="O42">
        <v>0</v>
      </c>
      <c r="P42">
        <v>0</v>
      </c>
      <c r="Q42">
        <v>0</v>
      </c>
      <c r="R42">
        <v>0</v>
      </c>
    </row>
    <row r="43" spans="1:18" x14ac:dyDescent="0.2">
      <c r="A43" t="str">
        <f t="shared" si="0"/>
        <v>ICE.2021.10</v>
      </c>
      <c r="B43" t="s">
        <v>1403</v>
      </c>
      <c r="C43" t="str">
        <f t="shared" si="1"/>
        <v>10</v>
      </c>
      <c r="D43" t="str">
        <f t="shared" si="2"/>
        <v>2021</v>
      </c>
      <c r="E43" s="51" t="s">
        <v>1414</v>
      </c>
      <c r="J43">
        <v>29.1</v>
      </c>
      <c r="K43">
        <v>-0.05</v>
      </c>
      <c r="L43">
        <v>0</v>
      </c>
      <c r="M43">
        <v>189</v>
      </c>
      <c r="N43">
        <v>0</v>
      </c>
      <c r="O43">
        <v>0</v>
      </c>
      <c r="P43">
        <v>0</v>
      </c>
      <c r="Q43">
        <v>0</v>
      </c>
      <c r="R43">
        <v>0</v>
      </c>
    </row>
    <row r="44" spans="1:18" x14ac:dyDescent="0.2">
      <c r="A44" t="str">
        <f t="shared" si="0"/>
        <v>ICE.2021.11</v>
      </c>
      <c r="B44" t="s">
        <v>1403</v>
      </c>
      <c r="C44" t="str">
        <f t="shared" si="1"/>
        <v>11</v>
      </c>
      <c r="D44" t="str">
        <f t="shared" si="2"/>
        <v>2021</v>
      </c>
      <c r="E44" s="51" t="s">
        <v>1415</v>
      </c>
      <c r="J44">
        <v>29.1</v>
      </c>
      <c r="K44">
        <v>-0.05</v>
      </c>
      <c r="L44">
        <v>0</v>
      </c>
      <c r="M44">
        <v>189</v>
      </c>
      <c r="N44">
        <v>0</v>
      </c>
      <c r="O44">
        <v>0</v>
      </c>
      <c r="P44">
        <v>0</v>
      </c>
      <c r="Q44">
        <v>0</v>
      </c>
      <c r="R44">
        <v>0</v>
      </c>
    </row>
    <row r="45" spans="1:18" x14ac:dyDescent="0.2">
      <c r="A45" t="str">
        <f t="shared" si="0"/>
        <v>ICE.2021.12</v>
      </c>
      <c r="B45" t="s">
        <v>1403</v>
      </c>
      <c r="C45" t="str">
        <f t="shared" si="1"/>
        <v>12</v>
      </c>
      <c r="D45" t="str">
        <f t="shared" si="2"/>
        <v>2021</v>
      </c>
      <c r="E45" s="51" t="s">
        <v>1416</v>
      </c>
      <c r="J45">
        <v>32.4</v>
      </c>
      <c r="K45">
        <v>-0.05</v>
      </c>
      <c r="L45">
        <v>0</v>
      </c>
      <c r="M45">
        <v>207</v>
      </c>
      <c r="N45">
        <v>0</v>
      </c>
      <c r="O45">
        <v>0</v>
      </c>
      <c r="P45">
        <v>0</v>
      </c>
      <c r="Q45">
        <v>0</v>
      </c>
      <c r="R45">
        <v>0</v>
      </c>
    </row>
    <row r="46" spans="1:18" x14ac:dyDescent="0.2">
      <c r="A46" t="str">
        <f t="shared" si="0"/>
        <v>ICE.2022.1</v>
      </c>
      <c r="B46" t="s">
        <v>1403</v>
      </c>
      <c r="C46" t="str">
        <f t="shared" si="1"/>
        <v>1</v>
      </c>
      <c r="D46" t="str">
        <f t="shared" si="2"/>
        <v>2022</v>
      </c>
      <c r="E46" s="51" t="s">
        <v>1485</v>
      </c>
      <c r="J46">
        <v>47.65</v>
      </c>
      <c r="K46">
        <v>-0.05</v>
      </c>
      <c r="L46">
        <v>0</v>
      </c>
      <c r="M46">
        <v>42</v>
      </c>
      <c r="N46">
        <v>0</v>
      </c>
      <c r="O46">
        <v>0</v>
      </c>
      <c r="P46">
        <v>0</v>
      </c>
      <c r="Q46">
        <v>0</v>
      </c>
      <c r="R46">
        <v>0</v>
      </c>
    </row>
    <row r="47" spans="1:18" x14ac:dyDescent="0.2">
      <c r="A47" t="str">
        <f t="shared" si="0"/>
        <v>ICE.2022.2</v>
      </c>
      <c r="B47" t="s">
        <v>1403</v>
      </c>
      <c r="C47" t="str">
        <f t="shared" si="1"/>
        <v>2</v>
      </c>
      <c r="D47" t="str">
        <f t="shared" si="2"/>
        <v>2022</v>
      </c>
      <c r="E47" s="51" t="s">
        <v>1486</v>
      </c>
      <c r="J47">
        <v>44.5</v>
      </c>
      <c r="K47">
        <v>-0.05</v>
      </c>
      <c r="L47">
        <v>0</v>
      </c>
      <c r="M47">
        <v>40</v>
      </c>
      <c r="N47">
        <v>0</v>
      </c>
      <c r="O47">
        <v>0</v>
      </c>
      <c r="P47">
        <v>0</v>
      </c>
      <c r="Q47">
        <v>0</v>
      </c>
      <c r="R47">
        <v>0</v>
      </c>
    </row>
    <row r="48" spans="1:18" x14ac:dyDescent="0.2">
      <c r="A48" t="str">
        <f t="shared" si="0"/>
        <v>ICE.2022.3</v>
      </c>
      <c r="B48" t="s">
        <v>1403</v>
      </c>
      <c r="C48" t="str">
        <f t="shared" si="1"/>
        <v>3</v>
      </c>
      <c r="D48" t="str">
        <f t="shared" si="2"/>
        <v>2022</v>
      </c>
      <c r="E48" s="51" t="s">
        <v>1487</v>
      </c>
      <c r="J48">
        <v>34.85</v>
      </c>
      <c r="K48">
        <v>-0.05</v>
      </c>
      <c r="L48">
        <v>0</v>
      </c>
      <c r="M48">
        <v>46</v>
      </c>
      <c r="N48">
        <v>0</v>
      </c>
      <c r="O48">
        <v>0</v>
      </c>
      <c r="P48">
        <v>0</v>
      </c>
      <c r="Q48">
        <v>0</v>
      </c>
      <c r="R48">
        <v>0</v>
      </c>
    </row>
    <row r="49" spans="1:18" x14ac:dyDescent="0.2">
      <c r="A49" t="str">
        <f t="shared" si="0"/>
        <v>ICE.2022.4</v>
      </c>
      <c r="B49" t="s">
        <v>1403</v>
      </c>
      <c r="C49" t="str">
        <f t="shared" si="1"/>
        <v>4</v>
      </c>
      <c r="D49" t="str">
        <f t="shared" si="2"/>
        <v>2022</v>
      </c>
      <c r="E49" s="51" t="s">
        <v>1488</v>
      </c>
      <c r="J49">
        <v>30.55</v>
      </c>
      <c r="K49">
        <v>-0.05</v>
      </c>
      <c r="L49">
        <v>0</v>
      </c>
      <c r="M49">
        <v>42</v>
      </c>
      <c r="N49">
        <v>0</v>
      </c>
      <c r="O49">
        <v>0</v>
      </c>
      <c r="P49">
        <v>0</v>
      </c>
      <c r="Q49">
        <v>0</v>
      </c>
      <c r="R49">
        <v>0</v>
      </c>
    </row>
    <row r="50" spans="1:18" x14ac:dyDescent="0.2">
      <c r="A50" t="str">
        <f t="shared" si="0"/>
        <v>ICE.2022.5</v>
      </c>
      <c r="B50" t="s">
        <v>1403</v>
      </c>
      <c r="C50" t="str">
        <f t="shared" si="1"/>
        <v>5</v>
      </c>
      <c r="D50" t="str">
        <f t="shared" si="2"/>
        <v>2022</v>
      </c>
      <c r="E50" s="51" t="s">
        <v>1489</v>
      </c>
      <c r="J50">
        <v>29.75</v>
      </c>
      <c r="K50">
        <v>-0.05</v>
      </c>
      <c r="L50">
        <v>0</v>
      </c>
      <c r="M50">
        <v>42</v>
      </c>
      <c r="N50">
        <v>0</v>
      </c>
      <c r="O50">
        <v>0</v>
      </c>
      <c r="P50">
        <v>0</v>
      </c>
      <c r="Q50">
        <v>0</v>
      </c>
      <c r="R50">
        <v>0</v>
      </c>
    </row>
    <row r="51" spans="1:18" x14ac:dyDescent="0.2">
      <c r="A51" t="str">
        <f t="shared" si="0"/>
        <v>ICE.2022.6</v>
      </c>
      <c r="B51" t="s">
        <v>1403</v>
      </c>
      <c r="C51" t="str">
        <f t="shared" si="1"/>
        <v>6</v>
      </c>
      <c r="D51" t="str">
        <f t="shared" si="2"/>
        <v>2022</v>
      </c>
      <c r="E51" s="51" t="s">
        <v>1490</v>
      </c>
      <c r="J51">
        <v>30.45</v>
      </c>
      <c r="K51">
        <v>-0.05</v>
      </c>
      <c r="L51">
        <v>0</v>
      </c>
      <c r="M51">
        <v>44</v>
      </c>
      <c r="N51">
        <v>0</v>
      </c>
      <c r="O51">
        <v>0</v>
      </c>
      <c r="P51">
        <v>0</v>
      </c>
      <c r="Q51">
        <v>0</v>
      </c>
      <c r="R51">
        <v>0</v>
      </c>
    </row>
    <row r="52" spans="1:18" x14ac:dyDescent="0.2">
      <c r="A52" t="str">
        <f t="shared" si="0"/>
        <v>ICE.2022.7</v>
      </c>
      <c r="B52" t="s">
        <v>1403</v>
      </c>
      <c r="C52" t="str">
        <f t="shared" si="1"/>
        <v>7</v>
      </c>
      <c r="D52" t="str">
        <f t="shared" si="2"/>
        <v>2022</v>
      </c>
      <c r="E52" s="51" t="s">
        <v>1491</v>
      </c>
      <c r="J52">
        <v>36.4</v>
      </c>
      <c r="K52">
        <v>-0.05</v>
      </c>
      <c r="L52">
        <v>0</v>
      </c>
      <c r="M52">
        <v>40</v>
      </c>
      <c r="N52">
        <v>0</v>
      </c>
      <c r="O52">
        <v>0</v>
      </c>
      <c r="P52">
        <v>0</v>
      </c>
      <c r="Q52">
        <v>0</v>
      </c>
      <c r="R52">
        <v>0</v>
      </c>
    </row>
    <row r="53" spans="1:18" x14ac:dyDescent="0.2">
      <c r="A53" t="str">
        <f t="shared" si="0"/>
        <v>ICE.2022.8</v>
      </c>
      <c r="B53" t="s">
        <v>1403</v>
      </c>
      <c r="C53" t="str">
        <f t="shared" si="1"/>
        <v>8</v>
      </c>
      <c r="D53" t="str">
        <f t="shared" si="2"/>
        <v>2022</v>
      </c>
      <c r="E53" s="51" t="s">
        <v>1492</v>
      </c>
      <c r="J53">
        <v>33.15</v>
      </c>
      <c r="K53">
        <v>-0.05</v>
      </c>
      <c r="L53">
        <v>0</v>
      </c>
      <c r="M53">
        <v>46</v>
      </c>
      <c r="N53">
        <v>0</v>
      </c>
      <c r="O53">
        <v>0</v>
      </c>
      <c r="P53">
        <v>0</v>
      </c>
      <c r="Q53">
        <v>0</v>
      </c>
      <c r="R53">
        <v>0</v>
      </c>
    </row>
    <row r="54" spans="1:18" x14ac:dyDescent="0.2">
      <c r="A54" t="str">
        <f t="shared" si="0"/>
        <v>ICE.2022.9</v>
      </c>
      <c r="B54" t="s">
        <v>1403</v>
      </c>
      <c r="C54" t="str">
        <f t="shared" si="1"/>
        <v>9</v>
      </c>
      <c r="D54" t="str">
        <f t="shared" si="2"/>
        <v>2022</v>
      </c>
      <c r="E54" s="51" t="s">
        <v>1493</v>
      </c>
      <c r="J54">
        <v>30.2</v>
      </c>
      <c r="K54">
        <v>-0.05</v>
      </c>
      <c r="L54">
        <v>0</v>
      </c>
      <c r="M54">
        <v>42</v>
      </c>
      <c r="N54">
        <v>0</v>
      </c>
      <c r="O54">
        <v>0</v>
      </c>
      <c r="P54">
        <v>0</v>
      </c>
      <c r="Q54">
        <v>0</v>
      </c>
      <c r="R54">
        <v>0</v>
      </c>
    </row>
    <row r="55" spans="1:18" x14ac:dyDescent="0.2">
      <c r="A55" t="str">
        <f t="shared" si="0"/>
        <v>ICE.2022.10</v>
      </c>
      <c r="B55" t="s">
        <v>1403</v>
      </c>
      <c r="C55" t="str">
        <f t="shared" si="1"/>
        <v>10</v>
      </c>
      <c r="D55" t="str">
        <f t="shared" si="2"/>
        <v>2022</v>
      </c>
      <c r="E55" s="51" t="s">
        <v>1494</v>
      </c>
      <c r="J55">
        <v>28.8</v>
      </c>
      <c r="K55">
        <v>-0.05</v>
      </c>
      <c r="L55">
        <v>0</v>
      </c>
      <c r="M55">
        <v>42</v>
      </c>
      <c r="N55">
        <v>0</v>
      </c>
      <c r="O55">
        <v>0</v>
      </c>
      <c r="P55">
        <v>0</v>
      </c>
      <c r="Q55">
        <v>0</v>
      </c>
      <c r="R55">
        <v>0</v>
      </c>
    </row>
    <row r="56" spans="1:18" x14ac:dyDescent="0.2">
      <c r="A56" t="str">
        <f t="shared" si="0"/>
        <v>ICE.2022.11</v>
      </c>
      <c r="B56" t="s">
        <v>1403</v>
      </c>
      <c r="C56" t="str">
        <f t="shared" si="1"/>
        <v>11</v>
      </c>
      <c r="D56" t="str">
        <f t="shared" si="2"/>
        <v>2022</v>
      </c>
      <c r="E56" s="51" t="s">
        <v>1495</v>
      </c>
      <c r="J56">
        <v>28.85</v>
      </c>
      <c r="K56">
        <v>-0.05</v>
      </c>
      <c r="L56">
        <v>0</v>
      </c>
      <c r="M56">
        <v>42</v>
      </c>
      <c r="N56">
        <v>0</v>
      </c>
      <c r="O56">
        <v>0</v>
      </c>
      <c r="P56">
        <v>0</v>
      </c>
      <c r="Q56">
        <v>0</v>
      </c>
      <c r="R56">
        <v>0</v>
      </c>
    </row>
    <row r="57" spans="1:18" x14ac:dyDescent="0.2">
      <c r="A57" t="str">
        <f t="shared" si="0"/>
        <v>ICE.2022.12</v>
      </c>
      <c r="B57" t="s">
        <v>1403</v>
      </c>
      <c r="C57" t="str">
        <f t="shared" si="1"/>
        <v>12</v>
      </c>
      <c r="D57" t="str">
        <f t="shared" si="2"/>
        <v>2022</v>
      </c>
      <c r="E57" s="51" t="s">
        <v>1496</v>
      </c>
      <c r="J57">
        <v>32.049999999999997</v>
      </c>
      <c r="K57">
        <v>-0.05</v>
      </c>
      <c r="L57">
        <v>0</v>
      </c>
      <c r="M57">
        <v>42</v>
      </c>
      <c r="N57">
        <v>0</v>
      </c>
      <c r="O57">
        <v>0</v>
      </c>
      <c r="P57">
        <v>0</v>
      </c>
      <c r="Q57">
        <v>0</v>
      </c>
      <c r="R57">
        <v>0</v>
      </c>
    </row>
    <row r="58" spans="1:18" x14ac:dyDescent="0.2">
      <c r="A58" t="str">
        <f t="shared" si="0"/>
        <v>ICE.2023.1</v>
      </c>
      <c r="B58" t="s">
        <v>1403</v>
      </c>
      <c r="C58" t="str">
        <f t="shared" si="1"/>
        <v>1</v>
      </c>
      <c r="D58" t="str">
        <f t="shared" si="2"/>
        <v>2023</v>
      </c>
      <c r="E58" s="51" t="s">
        <v>1511</v>
      </c>
      <c r="J58">
        <v>47.55</v>
      </c>
      <c r="K58">
        <v>-0.05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</row>
    <row r="59" spans="1:18" x14ac:dyDescent="0.2">
      <c r="A59" t="str">
        <f t="shared" si="0"/>
        <v>ICE.2023.2</v>
      </c>
      <c r="B59" t="s">
        <v>1403</v>
      </c>
      <c r="C59" t="str">
        <f t="shared" si="1"/>
        <v>2</v>
      </c>
      <c r="D59" t="str">
        <f t="shared" si="2"/>
        <v>2023</v>
      </c>
      <c r="E59" s="51" t="s">
        <v>1512</v>
      </c>
      <c r="J59">
        <v>44.2</v>
      </c>
      <c r="K59">
        <v>-0.05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</row>
    <row r="60" spans="1:18" x14ac:dyDescent="0.2">
      <c r="A60" t="str">
        <f t="shared" si="0"/>
        <v>ICE.2023.3</v>
      </c>
      <c r="B60" t="s">
        <v>1403</v>
      </c>
      <c r="C60" t="str">
        <f t="shared" si="1"/>
        <v>3</v>
      </c>
      <c r="D60" t="str">
        <f t="shared" si="2"/>
        <v>2023</v>
      </c>
      <c r="E60" s="51" t="s">
        <v>1513</v>
      </c>
      <c r="J60">
        <v>35</v>
      </c>
      <c r="K60">
        <v>-0.05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</row>
    <row r="61" spans="1:18" x14ac:dyDescent="0.2">
      <c r="A61" t="str">
        <f t="shared" si="0"/>
        <v>ICE.2023.4</v>
      </c>
      <c r="B61" t="s">
        <v>1403</v>
      </c>
      <c r="C61" t="str">
        <f t="shared" si="1"/>
        <v>4</v>
      </c>
      <c r="D61" t="str">
        <f t="shared" si="2"/>
        <v>2023</v>
      </c>
      <c r="E61" s="51" t="s">
        <v>1514</v>
      </c>
      <c r="J61">
        <v>30.6</v>
      </c>
      <c r="K61">
        <v>-0.05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</row>
    <row r="62" spans="1:18" x14ac:dyDescent="0.2">
      <c r="A62" t="str">
        <f t="shared" si="0"/>
        <v>ICE.2023.5</v>
      </c>
      <c r="B62" t="s">
        <v>1403</v>
      </c>
      <c r="C62" t="str">
        <f t="shared" si="1"/>
        <v>5</v>
      </c>
      <c r="D62" t="str">
        <f t="shared" si="2"/>
        <v>2023</v>
      </c>
      <c r="E62" s="51" t="s">
        <v>1515</v>
      </c>
      <c r="J62">
        <v>30.2</v>
      </c>
      <c r="K62">
        <v>-0.05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</row>
    <row r="63" spans="1:18" x14ac:dyDescent="0.2">
      <c r="A63" t="str">
        <f t="shared" si="0"/>
        <v>ICE.2023.6</v>
      </c>
      <c r="B63" t="s">
        <v>1403</v>
      </c>
      <c r="C63" t="str">
        <f t="shared" si="1"/>
        <v>6</v>
      </c>
      <c r="D63" t="str">
        <f t="shared" si="2"/>
        <v>2023</v>
      </c>
      <c r="E63" s="51" t="s">
        <v>1516</v>
      </c>
      <c r="J63">
        <v>30.85</v>
      </c>
      <c r="K63">
        <v>-0.05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</row>
    <row r="64" spans="1:18" x14ac:dyDescent="0.2">
      <c r="A64" t="str">
        <f t="shared" si="0"/>
        <v>ICE.2023.7</v>
      </c>
      <c r="B64" t="s">
        <v>1403</v>
      </c>
      <c r="C64" t="str">
        <f t="shared" si="1"/>
        <v>7</v>
      </c>
      <c r="D64" t="str">
        <f t="shared" si="2"/>
        <v>2023</v>
      </c>
      <c r="E64" s="51" t="s">
        <v>1517</v>
      </c>
      <c r="J64">
        <v>36.450000000000003</v>
      </c>
      <c r="K64">
        <v>-0.05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</row>
    <row r="65" spans="1:18" x14ac:dyDescent="0.2">
      <c r="A65" t="str">
        <f t="shared" si="0"/>
        <v>ICE.2023.8</v>
      </c>
      <c r="B65" t="s">
        <v>1403</v>
      </c>
      <c r="C65" t="str">
        <f t="shared" si="1"/>
        <v>8</v>
      </c>
      <c r="D65" t="str">
        <f t="shared" si="2"/>
        <v>2023</v>
      </c>
      <c r="E65" s="51" t="s">
        <v>1518</v>
      </c>
      <c r="J65">
        <v>33.1</v>
      </c>
      <c r="K65">
        <v>-0.05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</row>
    <row r="66" spans="1:18" x14ac:dyDescent="0.2">
      <c r="A66" t="str">
        <f t="shared" si="0"/>
        <v>ICE.2023.9</v>
      </c>
      <c r="B66" t="s">
        <v>1403</v>
      </c>
      <c r="C66" t="str">
        <f t="shared" si="1"/>
        <v>9</v>
      </c>
      <c r="D66" t="str">
        <f t="shared" si="2"/>
        <v>2023</v>
      </c>
      <c r="E66" s="51" t="s">
        <v>1519</v>
      </c>
      <c r="J66">
        <v>30.2</v>
      </c>
      <c r="K66">
        <v>-0.05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</row>
    <row r="67" spans="1:18" x14ac:dyDescent="0.2">
      <c r="A67" t="str">
        <f t="shared" ref="A67:A81" si="3">B67&amp;"."&amp;D67&amp;"."&amp;C67</f>
        <v>ICE.2023.10</v>
      </c>
      <c r="B67" t="s">
        <v>1403</v>
      </c>
      <c r="C67" t="str">
        <f t="shared" ref="C67:C81" si="4">TEXT(DATEVALUE("1"&amp;E67),"M")</f>
        <v>10</v>
      </c>
      <c r="D67" t="str">
        <f t="shared" ref="D67:D81" si="5">TEXT(DATEVALUE("1"&amp;E67),"YYYY")</f>
        <v>2023</v>
      </c>
      <c r="E67" s="51" t="s">
        <v>1520</v>
      </c>
      <c r="J67">
        <v>28.8</v>
      </c>
      <c r="K67">
        <v>-0.05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</row>
    <row r="68" spans="1:18" x14ac:dyDescent="0.2">
      <c r="A68" t="str">
        <f t="shared" si="3"/>
        <v>ICE.2023.11</v>
      </c>
      <c r="B68" t="s">
        <v>1403</v>
      </c>
      <c r="C68" t="str">
        <f t="shared" si="4"/>
        <v>11</v>
      </c>
      <c r="D68" t="str">
        <f t="shared" si="5"/>
        <v>2023</v>
      </c>
      <c r="E68" s="51" t="s">
        <v>1521</v>
      </c>
      <c r="J68">
        <v>28.85</v>
      </c>
      <c r="K68">
        <v>-0.05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</row>
    <row r="69" spans="1:18" x14ac:dyDescent="0.2">
      <c r="A69" t="str">
        <f t="shared" si="3"/>
        <v>ICE.2023.12</v>
      </c>
      <c r="B69" t="s">
        <v>1403</v>
      </c>
      <c r="C69" t="str">
        <f t="shared" si="4"/>
        <v>12</v>
      </c>
      <c r="D69" t="str">
        <f t="shared" si="5"/>
        <v>2023</v>
      </c>
      <c r="E69" s="51" t="s">
        <v>1522</v>
      </c>
      <c r="J69">
        <v>32.15</v>
      </c>
      <c r="K69">
        <v>-0.05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</row>
    <row r="70" spans="1:18" x14ac:dyDescent="0.2">
      <c r="A70" t="str">
        <f t="shared" si="3"/>
        <v>ICE.2024.1</v>
      </c>
      <c r="B70" t="s">
        <v>1403</v>
      </c>
      <c r="C70" t="str">
        <f t="shared" si="4"/>
        <v>1</v>
      </c>
      <c r="D70" t="str">
        <f t="shared" si="5"/>
        <v>2024</v>
      </c>
      <c r="E70" s="51" t="s">
        <v>1523</v>
      </c>
      <c r="J70">
        <v>48.15</v>
      </c>
      <c r="K70">
        <v>-0.05</v>
      </c>
      <c r="L70">
        <v>0</v>
      </c>
      <c r="M70">
        <v>22</v>
      </c>
      <c r="N70">
        <v>0</v>
      </c>
      <c r="O70">
        <v>0</v>
      </c>
      <c r="P70">
        <v>0</v>
      </c>
      <c r="Q70">
        <v>0</v>
      </c>
      <c r="R70">
        <v>0</v>
      </c>
    </row>
    <row r="71" spans="1:18" x14ac:dyDescent="0.2">
      <c r="A71" t="str">
        <f t="shared" si="3"/>
        <v>ICE.2024.2</v>
      </c>
      <c r="B71" t="s">
        <v>1403</v>
      </c>
      <c r="C71" t="str">
        <f t="shared" si="4"/>
        <v>2</v>
      </c>
      <c r="D71" t="str">
        <f t="shared" si="5"/>
        <v>2024</v>
      </c>
      <c r="E71" s="51" t="s">
        <v>1524</v>
      </c>
      <c r="J71">
        <v>44.8</v>
      </c>
      <c r="K71">
        <v>-0.05</v>
      </c>
      <c r="L71">
        <v>0</v>
      </c>
      <c r="M71">
        <v>21</v>
      </c>
      <c r="N71">
        <v>0</v>
      </c>
      <c r="O71">
        <v>0</v>
      </c>
      <c r="P71">
        <v>0</v>
      </c>
      <c r="Q71">
        <v>0</v>
      </c>
      <c r="R71">
        <v>0</v>
      </c>
    </row>
    <row r="72" spans="1:18" x14ac:dyDescent="0.2">
      <c r="A72" t="str">
        <f t="shared" si="3"/>
        <v>ICE.2024.3</v>
      </c>
      <c r="B72" t="s">
        <v>1403</v>
      </c>
      <c r="C72" t="str">
        <f t="shared" si="4"/>
        <v>3</v>
      </c>
      <c r="D72" t="str">
        <f t="shared" si="5"/>
        <v>2024</v>
      </c>
      <c r="E72" s="51" t="s">
        <v>1525</v>
      </c>
      <c r="J72">
        <v>35.549999999999997</v>
      </c>
      <c r="K72">
        <v>-0.05</v>
      </c>
      <c r="L72">
        <v>0</v>
      </c>
      <c r="M72">
        <v>21</v>
      </c>
      <c r="N72">
        <v>0</v>
      </c>
      <c r="O72">
        <v>0</v>
      </c>
      <c r="P72">
        <v>0</v>
      </c>
      <c r="Q72">
        <v>0</v>
      </c>
      <c r="R72">
        <v>0</v>
      </c>
    </row>
    <row r="73" spans="1:18" x14ac:dyDescent="0.2">
      <c r="A73" t="str">
        <f t="shared" si="3"/>
        <v>ICE.2024.4</v>
      </c>
      <c r="B73" t="s">
        <v>1403</v>
      </c>
      <c r="C73" t="str">
        <f t="shared" si="4"/>
        <v>4</v>
      </c>
      <c r="D73" t="str">
        <f t="shared" si="5"/>
        <v>2024</v>
      </c>
      <c r="E73" s="51" t="s">
        <v>1526</v>
      </c>
      <c r="J73">
        <v>31.1</v>
      </c>
      <c r="K73">
        <v>-0.05</v>
      </c>
      <c r="L73">
        <v>0</v>
      </c>
      <c r="M73">
        <v>22</v>
      </c>
      <c r="N73">
        <v>0</v>
      </c>
      <c r="O73">
        <v>0</v>
      </c>
      <c r="P73">
        <v>0</v>
      </c>
      <c r="Q73">
        <v>0</v>
      </c>
      <c r="R73">
        <v>0</v>
      </c>
    </row>
    <row r="74" spans="1:18" x14ac:dyDescent="0.2">
      <c r="A74" t="str">
        <f t="shared" si="3"/>
        <v>ICE.2024.5</v>
      </c>
      <c r="B74" t="s">
        <v>1403</v>
      </c>
      <c r="C74" t="str">
        <f t="shared" si="4"/>
        <v>5</v>
      </c>
      <c r="D74" t="str">
        <f t="shared" si="5"/>
        <v>2024</v>
      </c>
      <c r="E74" s="51" t="s">
        <v>1527</v>
      </c>
      <c r="J74">
        <v>30.65</v>
      </c>
      <c r="K74">
        <v>-0.05</v>
      </c>
      <c r="L74">
        <v>0</v>
      </c>
      <c r="M74">
        <v>22</v>
      </c>
      <c r="N74">
        <v>0</v>
      </c>
      <c r="O74">
        <v>0</v>
      </c>
      <c r="P74">
        <v>0</v>
      </c>
      <c r="Q74">
        <v>0</v>
      </c>
      <c r="R74">
        <v>0</v>
      </c>
    </row>
    <row r="75" spans="1:18" x14ac:dyDescent="0.2">
      <c r="A75" t="str">
        <f t="shared" si="3"/>
        <v>ICE.2024.6</v>
      </c>
      <c r="B75" t="s">
        <v>1403</v>
      </c>
      <c r="C75" t="str">
        <f t="shared" si="4"/>
        <v>6</v>
      </c>
      <c r="D75" t="str">
        <f t="shared" si="5"/>
        <v>2024</v>
      </c>
      <c r="E75" s="51" t="s">
        <v>1528</v>
      </c>
      <c r="J75">
        <v>31.4</v>
      </c>
      <c r="K75">
        <v>-0.05</v>
      </c>
      <c r="L75">
        <v>0</v>
      </c>
      <c r="M75">
        <v>20</v>
      </c>
      <c r="N75">
        <v>0</v>
      </c>
      <c r="O75">
        <v>0</v>
      </c>
      <c r="P75">
        <v>0</v>
      </c>
      <c r="Q75">
        <v>0</v>
      </c>
      <c r="R75">
        <v>0</v>
      </c>
    </row>
    <row r="76" spans="1:18" x14ac:dyDescent="0.2">
      <c r="A76" t="str">
        <f t="shared" si="3"/>
        <v>ICE.2024.7</v>
      </c>
      <c r="B76" t="s">
        <v>1403</v>
      </c>
      <c r="C76" t="str">
        <f t="shared" si="4"/>
        <v>7</v>
      </c>
      <c r="D76" t="str">
        <f t="shared" si="5"/>
        <v>2024</v>
      </c>
      <c r="E76" s="51" t="s">
        <v>1529</v>
      </c>
      <c r="J76">
        <v>36.450000000000003</v>
      </c>
      <c r="K76">
        <v>-0.05</v>
      </c>
      <c r="L76">
        <v>0</v>
      </c>
      <c r="M76">
        <v>22</v>
      </c>
      <c r="N76">
        <v>0</v>
      </c>
      <c r="O76">
        <v>0</v>
      </c>
      <c r="P76">
        <v>0</v>
      </c>
      <c r="Q76">
        <v>0</v>
      </c>
      <c r="R76">
        <v>0</v>
      </c>
    </row>
    <row r="77" spans="1:18" x14ac:dyDescent="0.2">
      <c r="A77" t="str">
        <f t="shared" si="3"/>
        <v>ICE.2024.8</v>
      </c>
      <c r="B77" t="s">
        <v>1403</v>
      </c>
      <c r="C77" t="str">
        <f t="shared" si="4"/>
        <v>8</v>
      </c>
      <c r="D77" t="str">
        <f t="shared" si="5"/>
        <v>2024</v>
      </c>
      <c r="E77" s="51" t="s">
        <v>1530</v>
      </c>
      <c r="J77">
        <v>33.75</v>
      </c>
      <c r="K77">
        <v>-0.05</v>
      </c>
      <c r="L77">
        <v>0</v>
      </c>
      <c r="M77">
        <v>22</v>
      </c>
      <c r="N77">
        <v>0</v>
      </c>
      <c r="O77">
        <v>0</v>
      </c>
      <c r="P77">
        <v>0</v>
      </c>
      <c r="Q77">
        <v>0</v>
      </c>
      <c r="R77">
        <v>0</v>
      </c>
    </row>
    <row r="78" spans="1:18" x14ac:dyDescent="0.2">
      <c r="A78" t="str">
        <f t="shared" si="3"/>
        <v>ICE.2024.9</v>
      </c>
      <c r="B78" t="s">
        <v>1403</v>
      </c>
      <c r="C78" t="str">
        <f t="shared" si="4"/>
        <v>9</v>
      </c>
      <c r="D78" t="str">
        <f t="shared" si="5"/>
        <v>2024</v>
      </c>
      <c r="E78" s="51" t="s">
        <v>1531</v>
      </c>
      <c r="J78">
        <v>30.7</v>
      </c>
      <c r="K78">
        <v>-0.05</v>
      </c>
      <c r="L78">
        <v>0</v>
      </c>
      <c r="M78">
        <v>20</v>
      </c>
      <c r="N78">
        <v>0</v>
      </c>
      <c r="O78">
        <v>0</v>
      </c>
      <c r="P78">
        <v>0</v>
      </c>
      <c r="Q78">
        <v>0</v>
      </c>
      <c r="R78">
        <v>0</v>
      </c>
    </row>
    <row r="79" spans="1:18" x14ac:dyDescent="0.2">
      <c r="A79" t="str">
        <f t="shared" si="3"/>
        <v>ICE.2024.10</v>
      </c>
      <c r="B79" t="s">
        <v>1403</v>
      </c>
      <c r="C79" t="str">
        <f t="shared" si="4"/>
        <v>10</v>
      </c>
      <c r="D79" t="str">
        <f t="shared" si="5"/>
        <v>2024</v>
      </c>
      <c r="E79" s="51" t="s">
        <v>1532</v>
      </c>
      <c r="J79">
        <v>29.45</v>
      </c>
      <c r="K79">
        <v>-0.05</v>
      </c>
      <c r="L79">
        <v>0</v>
      </c>
      <c r="M79">
        <v>23</v>
      </c>
      <c r="N79">
        <v>0</v>
      </c>
      <c r="O79">
        <v>0</v>
      </c>
      <c r="P79">
        <v>0</v>
      </c>
      <c r="Q79">
        <v>0</v>
      </c>
      <c r="R79">
        <v>0</v>
      </c>
    </row>
    <row r="80" spans="1:18" x14ac:dyDescent="0.2">
      <c r="A80" t="str">
        <f t="shared" si="3"/>
        <v>ICE.2024.11</v>
      </c>
      <c r="B80" t="s">
        <v>1403</v>
      </c>
      <c r="C80" t="str">
        <f t="shared" si="4"/>
        <v>11</v>
      </c>
      <c r="D80" t="str">
        <f t="shared" si="5"/>
        <v>2024</v>
      </c>
      <c r="E80" s="51" t="s">
        <v>1533</v>
      </c>
      <c r="J80">
        <v>29.45</v>
      </c>
      <c r="K80">
        <v>-0.05</v>
      </c>
      <c r="L80">
        <v>0</v>
      </c>
      <c r="M80">
        <v>20</v>
      </c>
      <c r="N80">
        <v>0</v>
      </c>
      <c r="O80">
        <v>0</v>
      </c>
      <c r="P80">
        <v>0</v>
      </c>
      <c r="Q80">
        <v>0</v>
      </c>
      <c r="R80">
        <v>0</v>
      </c>
    </row>
    <row r="81" spans="1:18" x14ac:dyDescent="0.2">
      <c r="A81" t="str">
        <f t="shared" si="3"/>
        <v>ICE.2024.12</v>
      </c>
      <c r="B81" t="s">
        <v>1403</v>
      </c>
      <c r="C81" t="str">
        <f t="shared" si="4"/>
        <v>12</v>
      </c>
      <c r="D81" t="str">
        <f t="shared" si="5"/>
        <v>2024</v>
      </c>
      <c r="E81" s="51" t="s">
        <v>1534</v>
      </c>
      <c r="J81">
        <v>32.6</v>
      </c>
      <c r="K81">
        <v>-0.05</v>
      </c>
      <c r="L81">
        <v>0</v>
      </c>
      <c r="M81">
        <v>21</v>
      </c>
      <c r="N81">
        <v>0</v>
      </c>
      <c r="O81">
        <v>0</v>
      </c>
      <c r="P81">
        <v>0</v>
      </c>
      <c r="Q81">
        <v>0</v>
      </c>
      <c r="R81">
        <v>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JMOnPeakPrevious"/>
  <dimension ref="A1:B111"/>
  <sheetViews>
    <sheetView workbookViewId="0">
      <selection activeCell="T1" sqref="T1"/>
    </sheetView>
  </sheetViews>
  <sheetFormatPr defaultRowHeight="12.75" x14ac:dyDescent="0.2"/>
  <cols>
    <col min="1" max="1" width="81.140625" bestFit="1" customWidth="1"/>
  </cols>
  <sheetData>
    <row r="1" spans="1:2" s="1" customFormat="1" x14ac:dyDescent="0.2">
      <c r="A1" s="1" t="s">
        <v>1020</v>
      </c>
      <c r="B1" s="45">
        <v>41221</v>
      </c>
    </row>
    <row r="2" spans="1:2" x14ac:dyDescent="0.2">
      <c r="A2" t="s">
        <v>326</v>
      </c>
    </row>
    <row r="3" spans="1:2" x14ac:dyDescent="0.2">
      <c r="A3" t="s">
        <v>327</v>
      </c>
    </row>
    <row r="4" spans="1:2" x14ac:dyDescent="0.2">
      <c r="A4" t="s">
        <v>328</v>
      </c>
    </row>
    <row r="5" spans="1:2" x14ac:dyDescent="0.2">
      <c r="A5" t="s">
        <v>329</v>
      </c>
    </row>
    <row r="6" spans="1:2" x14ac:dyDescent="0.2">
      <c r="A6" t="s">
        <v>330</v>
      </c>
    </row>
    <row r="7" spans="1:2" x14ac:dyDescent="0.2">
      <c r="A7" t="s">
        <v>331</v>
      </c>
    </row>
    <row r="8" spans="1:2" x14ac:dyDescent="0.2">
      <c r="A8" t="s">
        <v>332</v>
      </c>
    </row>
    <row r="9" spans="1:2" x14ac:dyDescent="0.2">
      <c r="A9" t="s">
        <v>333</v>
      </c>
    </row>
    <row r="10" spans="1:2" x14ac:dyDescent="0.2">
      <c r="A10" t="s">
        <v>334</v>
      </c>
    </row>
    <row r="11" spans="1:2" x14ac:dyDescent="0.2">
      <c r="A11" t="s">
        <v>335</v>
      </c>
    </row>
    <row r="12" spans="1:2" x14ac:dyDescent="0.2">
      <c r="A12" t="s">
        <v>336</v>
      </c>
    </row>
    <row r="13" spans="1:2" x14ac:dyDescent="0.2">
      <c r="A13" t="s">
        <v>337</v>
      </c>
    </row>
    <row r="14" spans="1:2" x14ac:dyDescent="0.2">
      <c r="A14" t="s">
        <v>338</v>
      </c>
    </row>
    <row r="15" spans="1:2" x14ac:dyDescent="0.2">
      <c r="A15" t="s">
        <v>339</v>
      </c>
    </row>
    <row r="16" spans="1:2" x14ac:dyDescent="0.2">
      <c r="A16" t="s">
        <v>340</v>
      </c>
    </row>
    <row r="17" spans="1:1" x14ac:dyDescent="0.2">
      <c r="A17" t="s">
        <v>341</v>
      </c>
    </row>
    <row r="18" spans="1:1" x14ac:dyDescent="0.2">
      <c r="A18" t="s">
        <v>342</v>
      </c>
    </row>
    <row r="19" spans="1:1" x14ac:dyDescent="0.2">
      <c r="A19" t="s">
        <v>343</v>
      </c>
    </row>
    <row r="20" spans="1:1" x14ac:dyDescent="0.2">
      <c r="A20" t="s">
        <v>344</v>
      </c>
    </row>
    <row r="21" spans="1:1" x14ac:dyDescent="0.2">
      <c r="A21" t="s">
        <v>345</v>
      </c>
    </row>
    <row r="22" spans="1:1" x14ac:dyDescent="0.2">
      <c r="A22" t="s">
        <v>346</v>
      </c>
    </row>
    <row r="23" spans="1:1" x14ac:dyDescent="0.2">
      <c r="A23" t="s">
        <v>347</v>
      </c>
    </row>
    <row r="24" spans="1:1" x14ac:dyDescent="0.2">
      <c r="A24" t="s">
        <v>348</v>
      </c>
    </row>
    <row r="25" spans="1:1" x14ac:dyDescent="0.2">
      <c r="A25" t="s">
        <v>349</v>
      </c>
    </row>
    <row r="26" spans="1:1" x14ac:dyDescent="0.2">
      <c r="A26" t="s">
        <v>350</v>
      </c>
    </row>
    <row r="27" spans="1:1" x14ac:dyDescent="0.2">
      <c r="A27" t="s">
        <v>351</v>
      </c>
    </row>
    <row r="28" spans="1:1" x14ac:dyDescent="0.2">
      <c r="A28" t="s">
        <v>352</v>
      </c>
    </row>
    <row r="29" spans="1:1" x14ac:dyDescent="0.2">
      <c r="A29" t="s">
        <v>353</v>
      </c>
    </row>
    <row r="30" spans="1:1" x14ac:dyDescent="0.2">
      <c r="A30" t="s">
        <v>354</v>
      </c>
    </row>
    <row r="31" spans="1:1" x14ac:dyDescent="0.2">
      <c r="A31" t="s">
        <v>355</v>
      </c>
    </row>
    <row r="32" spans="1:1" x14ac:dyDescent="0.2">
      <c r="A32" t="s">
        <v>356</v>
      </c>
    </row>
    <row r="33" spans="1:1" x14ac:dyDescent="0.2">
      <c r="A33" t="s">
        <v>357</v>
      </c>
    </row>
    <row r="34" spans="1:1" x14ac:dyDescent="0.2">
      <c r="A34" t="s">
        <v>358</v>
      </c>
    </row>
    <row r="35" spans="1:1" x14ac:dyDescent="0.2">
      <c r="A35" t="s">
        <v>359</v>
      </c>
    </row>
    <row r="36" spans="1:1" x14ac:dyDescent="0.2">
      <c r="A36" t="s">
        <v>360</v>
      </c>
    </row>
    <row r="37" spans="1:1" x14ac:dyDescent="0.2">
      <c r="A37" t="s">
        <v>361</v>
      </c>
    </row>
    <row r="38" spans="1:1" x14ac:dyDescent="0.2">
      <c r="A38" t="s">
        <v>362</v>
      </c>
    </row>
    <row r="39" spans="1:1" x14ac:dyDescent="0.2">
      <c r="A39" t="s">
        <v>363</v>
      </c>
    </row>
    <row r="40" spans="1:1" x14ac:dyDescent="0.2">
      <c r="A40" t="s">
        <v>364</v>
      </c>
    </row>
    <row r="41" spans="1:1" x14ac:dyDescent="0.2">
      <c r="A41" t="s">
        <v>365</v>
      </c>
    </row>
    <row r="42" spans="1:1" x14ac:dyDescent="0.2">
      <c r="A42" t="s">
        <v>366</v>
      </c>
    </row>
    <row r="43" spans="1:1" x14ac:dyDescent="0.2">
      <c r="A43" t="s">
        <v>367</v>
      </c>
    </row>
    <row r="44" spans="1:1" x14ac:dyDescent="0.2">
      <c r="A44" t="s">
        <v>368</v>
      </c>
    </row>
    <row r="45" spans="1:1" x14ac:dyDescent="0.2">
      <c r="A45" t="s">
        <v>369</v>
      </c>
    </row>
    <row r="46" spans="1:1" x14ac:dyDescent="0.2">
      <c r="A46" t="s">
        <v>370</v>
      </c>
    </row>
    <row r="47" spans="1:1" x14ac:dyDescent="0.2">
      <c r="A47" t="s">
        <v>371</v>
      </c>
    </row>
    <row r="48" spans="1:1" x14ac:dyDescent="0.2">
      <c r="A48" t="s">
        <v>372</v>
      </c>
    </row>
    <row r="49" spans="1:1" x14ac:dyDescent="0.2">
      <c r="A49" t="s">
        <v>373</v>
      </c>
    </row>
    <row r="50" spans="1:1" x14ac:dyDescent="0.2">
      <c r="A50" t="s">
        <v>374</v>
      </c>
    </row>
    <row r="51" spans="1:1" x14ac:dyDescent="0.2">
      <c r="A51" t="s">
        <v>375</v>
      </c>
    </row>
    <row r="52" spans="1:1" x14ac:dyDescent="0.2">
      <c r="A52" t="s">
        <v>376</v>
      </c>
    </row>
    <row r="53" spans="1:1" x14ac:dyDescent="0.2">
      <c r="A53" t="s">
        <v>377</v>
      </c>
    </row>
    <row r="54" spans="1:1" x14ac:dyDescent="0.2">
      <c r="A54" t="s">
        <v>378</v>
      </c>
    </row>
    <row r="55" spans="1:1" x14ac:dyDescent="0.2">
      <c r="A55" t="s">
        <v>379</v>
      </c>
    </row>
    <row r="56" spans="1:1" x14ac:dyDescent="0.2">
      <c r="A56" t="s">
        <v>380</v>
      </c>
    </row>
    <row r="57" spans="1:1" x14ac:dyDescent="0.2">
      <c r="A57" t="s">
        <v>381</v>
      </c>
    </row>
    <row r="58" spans="1:1" x14ac:dyDescent="0.2">
      <c r="A58" t="s">
        <v>382</v>
      </c>
    </row>
    <row r="59" spans="1:1" x14ac:dyDescent="0.2">
      <c r="A59" t="s">
        <v>383</v>
      </c>
    </row>
    <row r="60" spans="1:1" x14ac:dyDescent="0.2">
      <c r="A60" t="s">
        <v>384</v>
      </c>
    </row>
    <row r="61" spans="1:1" x14ac:dyDescent="0.2">
      <c r="A61" t="s">
        <v>385</v>
      </c>
    </row>
    <row r="62" spans="1:1" x14ac:dyDescent="0.2">
      <c r="A62" t="s">
        <v>386</v>
      </c>
    </row>
    <row r="63" spans="1:1" x14ac:dyDescent="0.2">
      <c r="A63" t="s">
        <v>387</v>
      </c>
    </row>
    <row r="64" spans="1:1" x14ac:dyDescent="0.2">
      <c r="A64" t="s">
        <v>388</v>
      </c>
    </row>
    <row r="65" spans="1:1" x14ac:dyDescent="0.2">
      <c r="A65" t="s">
        <v>389</v>
      </c>
    </row>
    <row r="66" spans="1:1" x14ac:dyDescent="0.2">
      <c r="A66" t="s">
        <v>390</v>
      </c>
    </row>
    <row r="67" spans="1:1" x14ac:dyDescent="0.2">
      <c r="A67" t="s">
        <v>391</v>
      </c>
    </row>
    <row r="68" spans="1:1" x14ac:dyDescent="0.2">
      <c r="A68" t="s">
        <v>392</v>
      </c>
    </row>
    <row r="69" spans="1:1" x14ac:dyDescent="0.2">
      <c r="A69" t="s">
        <v>393</v>
      </c>
    </row>
    <row r="70" spans="1:1" x14ac:dyDescent="0.2">
      <c r="A70" t="s">
        <v>394</v>
      </c>
    </row>
    <row r="71" spans="1:1" x14ac:dyDescent="0.2">
      <c r="A71" t="s">
        <v>395</v>
      </c>
    </row>
    <row r="72" spans="1:1" x14ac:dyDescent="0.2">
      <c r="A72" t="s">
        <v>396</v>
      </c>
    </row>
    <row r="73" spans="1:1" x14ac:dyDescent="0.2">
      <c r="A73" t="s">
        <v>397</v>
      </c>
    </row>
    <row r="74" spans="1:1" x14ac:dyDescent="0.2">
      <c r="A74" t="s">
        <v>398</v>
      </c>
    </row>
    <row r="75" spans="1:1" x14ac:dyDescent="0.2">
      <c r="A75" t="s">
        <v>399</v>
      </c>
    </row>
    <row r="76" spans="1:1" x14ac:dyDescent="0.2">
      <c r="A76" t="s">
        <v>400</v>
      </c>
    </row>
    <row r="77" spans="1:1" x14ac:dyDescent="0.2">
      <c r="A77" t="s">
        <v>401</v>
      </c>
    </row>
    <row r="78" spans="1:1" x14ac:dyDescent="0.2">
      <c r="A78" t="s">
        <v>402</v>
      </c>
    </row>
    <row r="79" spans="1:1" x14ac:dyDescent="0.2">
      <c r="A79" t="s">
        <v>403</v>
      </c>
    </row>
    <row r="80" spans="1:1" x14ac:dyDescent="0.2">
      <c r="A80" t="s">
        <v>404</v>
      </c>
    </row>
    <row r="81" spans="1:1" x14ac:dyDescent="0.2">
      <c r="A81" t="s">
        <v>405</v>
      </c>
    </row>
    <row r="82" spans="1:1" x14ac:dyDescent="0.2">
      <c r="A82" t="s">
        <v>406</v>
      </c>
    </row>
    <row r="83" spans="1:1" x14ac:dyDescent="0.2">
      <c r="A83" t="s">
        <v>407</v>
      </c>
    </row>
    <row r="84" spans="1:1" x14ac:dyDescent="0.2">
      <c r="A84" t="s">
        <v>408</v>
      </c>
    </row>
    <row r="85" spans="1:1" x14ac:dyDescent="0.2">
      <c r="A85" t="s">
        <v>409</v>
      </c>
    </row>
    <row r="86" spans="1:1" x14ac:dyDescent="0.2">
      <c r="A86" t="s">
        <v>410</v>
      </c>
    </row>
    <row r="87" spans="1:1" x14ac:dyDescent="0.2">
      <c r="A87" t="s">
        <v>411</v>
      </c>
    </row>
    <row r="88" spans="1:1" x14ac:dyDescent="0.2">
      <c r="A88" t="s">
        <v>412</v>
      </c>
    </row>
    <row r="89" spans="1:1" x14ac:dyDescent="0.2">
      <c r="A89" t="s">
        <v>413</v>
      </c>
    </row>
    <row r="90" spans="1:1" x14ac:dyDescent="0.2">
      <c r="A90" t="s">
        <v>414</v>
      </c>
    </row>
    <row r="91" spans="1:1" x14ac:dyDescent="0.2">
      <c r="A91" t="s">
        <v>415</v>
      </c>
    </row>
    <row r="92" spans="1:1" x14ac:dyDescent="0.2">
      <c r="A92" t="s">
        <v>416</v>
      </c>
    </row>
    <row r="93" spans="1:1" x14ac:dyDescent="0.2">
      <c r="A93" t="s">
        <v>417</v>
      </c>
    </row>
    <row r="94" spans="1:1" x14ac:dyDescent="0.2">
      <c r="A94" t="s">
        <v>418</v>
      </c>
    </row>
    <row r="95" spans="1:1" x14ac:dyDescent="0.2">
      <c r="A95" t="s">
        <v>419</v>
      </c>
    </row>
    <row r="96" spans="1:1" x14ac:dyDescent="0.2">
      <c r="A96" t="s">
        <v>420</v>
      </c>
    </row>
    <row r="97" spans="1:1" x14ac:dyDescent="0.2">
      <c r="A97" t="s">
        <v>421</v>
      </c>
    </row>
    <row r="98" spans="1:1" x14ac:dyDescent="0.2">
      <c r="A98" t="s">
        <v>422</v>
      </c>
    </row>
    <row r="99" spans="1:1" x14ac:dyDescent="0.2">
      <c r="A99" t="s">
        <v>423</v>
      </c>
    </row>
    <row r="100" spans="1:1" x14ac:dyDescent="0.2">
      <c r="A100" t="s">
        <v>424</v>
      </c>
    </row>
    <row r="101" spans="1:1" x14ac:dyDescent="0.2">
      <c r="A101" t="s">
        <v>425</v>
      </c>
    </row>
    <row r="102" spans="1:1" x14ac:dyDescent="0.2">
      <c r="A102" t="s">
        <v>426</v>
      </c>
    </row>
    <row r="103" spans="1:1" x14ac:dyDescent="0.2">
      <c r="A103" t="s">
        <v>427</v>
      </c>
    </row>
    <row r="104" spans="1:1" x14ac:dyDescent="0.2">
      <c r="A104" t="s">
        <v>428</v>
      </c>
    </row>
    <row r="105" spans="1:1" x14ac:dyDescent="0.2">
      <c r="A105" t="s">
        <v>429</v>
      </c>
    </row>
    <row r="106" spans="1:1" x14ac:dyDescent="0.2">
      <c r="A106" t="s">
        <v>430</v>
      </c>
    </row>
    <row r="107" spans="1:1" x14ac:dyDescent="0.2">
      <c r="A107" t="s">
        <v>431</v>
      </c>
    </row>
    <row r="108" spans="1:1" x14ac:dyDescent="0.2">
      <c r="A108" t="s">
        <v>432</v>
      </c>
    </row>
    <row r="109" spans="1:1" x14ac:dyDescent="0.2">
      <c r="A109" t="s">
        <v>433</v>
      </c>
    </row>
    <row r="110" spans="1:1" x14ac:dyDescent="0.2">
      <c r="A110" t="s">
        <v>434</v>
      </c>
    </row>
    <row r="111" spans="1:1" x14ac:dyDescent="0.2">
      <c r="A111" t="s">
        <v>435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JMOffPeak"/>
  <dimension ref="A1:T129"/>
  <sheetViews>
    <sheetView workbookViewId="0">
      <selection sqref="A1:IV65536"/>
    </sheetView>
  </sheetViews>
  <sheetFormatPr defaultRowHeight="12.75" x14ac:dyDescent="0.2"/>
  <cols>
    <col min="1" max="1" width="11.140625" bestFit="1" customWidth="1"/>
    <col min="2" max="2" width="8.5703125" bestFit="1" customWidth="1"/>
    <col min="3" max="3" width="5.7109375" bestFit="1" customWidth="1"/>
    <col min="4" max="4" width="5.140625" bestFit="1" customWidth="1"/>
    <col min="5" max="5" width="7.7109375" bestFit="1" customWidth="1"/>
    <col min="6" max="9" width="6" bestFit="1" customWidth="1"/>
    <col min="10" max="10" width="10.85546875" bestFit="1" customWidth="1"/>
    <col min="11" max="12" width="8" bestFit="1" customWidth="1"/>
    <col min="13" max="13" width="8.7109375" bestFit="1" customWidth="1"/>
    <col min="14" max="14" width="10.5703125" bestFit="1" customWidth="1"/>
    <col min="15" max="16" width="4.5703125" bestFit="1" customWidth="1"/>
    <col min="17" max="17" width="9.5703125" bestFit="1" customWidth="1"/>
    <col min="18" max="18" width="11.140625" bestFit="1" customWidth="1"/>
  </cols>
  <sheetData>
    <row r="1" spans="1:20" s="1" customFormat="1" x14ac:dyDescent="0.2">
      <c r="A1" s="1" t="s">
        <v>1404</v>
      </c>
      <c r="B1" s="1" t="s">
        <v>1402</v>
      </c>
      <c r="C1" s="1" t="s">
        <v>974</v>
      </c>
      <c r="D1" s="1" t="s">
        <v>980</v>
      </c>
      <c r="E1" s="50" t="s">
        <v>1364</v>
      </c>
      <c r="F1" s="45" t="s">
        <v>1365</v>
      </c>
      <c r="G1" s="1" t="s">
        <v>1366</v>
      </c>
      <c r="H1" s="1" t="s">
        <v>1367</v>
      </c>
      <c r="I1" s="1" t="s">
        <v>1368</v>
      </c>
      <c r="J1" s="1" t="s">
        <v>978</v>
      </c>
      <c r="K1" s="1" t="s">
        <v>1369</v>
      </c>
      <c r="L1" s="1" t="s">
        <v>975</v>
      </c>
      <c r="M1" s="1" t="s">
        <v>979</v>
      </c>
      <c r="N1" s="1" t="s">
        <v>969</v>
      </c>
      <c r="O1" s="1" t="s">
        <v>1444</v>
      </c>
      <c r="P1" s="1" t="s">
        <v>1445</v>
      </c>
      <c r="Q1" s="1" t="s">
        <v>976</v>
      </c>
      <c r="R1" s="1" t="s">
        <v>1510</v>
      </c>
      <c r="T1" s="45">
        <v>43236</v>
      </c>
    </row>
    <row r="2" spans="1:20" x14ac:dyDescent="0.2">
      <c r="A2" t="str">
        <f>B2&amp;"."&amp;D2&amp;"."&amp;C2</f>
        <v>ICE.2018.5</v>
      </c>
      <c r="B2" t="s">
        <v>1403</v>
      </c>
      <c r="C2" t="str">
        <f>TEXT(DATEVALUE("1"&amp;E2),"M")</f>
        <v>5</v>
      </c>
      <c r="D2" t="str">
        <f>TEXT(DATEVALUE("1"&amp;E2),"YYYY")</f>
        <v>2018</v>
      </c>
      <c r="E2" s="51" t="s">
        <v>1370</v>
      </c>
      <c r="J2">
        <v>26.28</v>
      </c>
      <c r="K2">
        <v>-0.11</v>
      </c>
      <c r="L2">
        <v>0</v>
      </c>
      <c r="M2">
        <v>6112</v>
      </c>
      <c r="N2">
        <v>0</v>
      </c>
      <c r="O2">
        <v>0</v>
      </c>
      <c r="P2">
        <v>0</v>
      </c>
      <c r="Q2">
        <v>0</v>
      </c>
      <c r="R2">
        <v>0</v>
      </c>
    </row>
    <row r="3" spans="1:20" x14ac:dyDescent="0.2">
      <c r="A3" t="str">
        <f t="shared" ref="A3:A66" si="0">B3&amp;"."&amp;D3&amp;"."&amp;C3</f>
        <v>ICE.2018.6</v>
      </c>
      <c r="B3" t="s">
        <v>1403</v>
      </c>
      <c r="C3" t="str">
        <f t="shared" ref="C3:C66" si="1">TEXT(DATEVALUE("1"&amp;E3),"M")</f>
        <v>6</v>
      </c>
      <c r="D3" t="str">
        <f t="shared" ref="D3:D66" si="2">TEXT(DATEVALUE("1"&amp;E3),"YYYY")</f>
        <v>2018</v>
      </c>
      <c r="E3" s="51" t="s">
        <v>1371</v>
      </c>
      <c r="F3">
        <v>24.15</v>
      </c>
      <c r="G3">
        <v>24.15</v>
      </c>
      <c r="H3">
        <v>24.15</v>
      </c>
      <c r="I3">
        <v>24.15</v>
      </c>
      <c r="J3">
        <v>24.1</v>
      </c>
      <c r="K3">
        <v>-0.1</v>
      </c>
      <c r="L3">
        <v>310</v>
      </c>
      <c r="M3">
        <v>7807</v>
      </c>
      <c r="N3">
        <v>35</v>
      </c>
      <c r="O3">
        <v>0</v>
      </c>
      <c r="P3">
        <v>0</v>
      </c>
      <c r="Q3">
        <v>110</v>
      </c>
      <c r="R3">
        <v>0</v>
      </c>
    </row>
    <row r="4" spans="1:20" x14ac:dyDescent="0.2">
      <c r="A4" t="str">
        <f t="shared" si="0"/>
        <v>ICE.2018.7</v>
      </c>
      <c r="B4" t="s">
        <v>1403</v>
      </c>
      <c r="C4" t="str">
        <f t="shared" si="1"/>
        <v>7</v>
      </c>
      <c r="D4" t="str">
        <f t="shared" si="2"/>
        <v>2018</v>
      </c>
      <c r="E4" s="51" t="s">
        <v>1372</v>
      </c>
      <c r="J4">
        <v>26.55</v>
      </c>
      <c r="K4">
        <v>0</v>
      </c>
      <c r="L4">
        <v>100</v>
      </c>
      <c r="M4">
        <v>6883</v>
      </c>
      <c r="N4">
        <v>-75</v>
      </c>
      <c r="O4">
        <v>0</v>
      </c>
      <c r="P4">
        <v>0</v>
      </c>
      <c r="Q4">
        <v>100</v>
      </c>
      <c r="R4">
        <v>0</v>
      </c>
    </row>
    <row r="5" spans="1:20" x14ac:dyDescent="0.2">
      <c r="A5" t="str">
        <f t="shared" si="0"/>
        <v>ICE.2018.8</v>
      </c>
      <c r="B5" t="s">
        <v>1403</v>
      </c>
      <c r="C5" t="str">
        <f t="shared" si="1"/>
        <v>8</v>
      </c>
      <c r="D5" t="str">
        <f t="shared" si="2"/>
        <v>2018</v>
      </c>
      <c r="E5" s="51" t="s">
        <v>1373</v>
      </c>
      <c r="J5">
        <v>24.65</v>
      </c>
      <c r="K5">
        <v>0</v>
      </c>
      <c r="L5">
        <v>100</v>
      </c>
      <c r="M5">
        <v>6863</v>
      </c>
      <c r="N5">
        <v>-75</v>
      </c>
      <c r="O5">
        <v>0</v>
      </c>
      <c r="P5">
        <v>0</v>
      </c>
      <c r="Q5">
        <v>100</v>
      </c>
      <c r="R5">
        <v>0</v>
      </c>
    </row>
    <row r="6" spans="1:20" x14ac:dyDescent="0.2">
      <c r="A6" t="str">
        <f t="shared" si="0"/>
        <v>ICE.2018.9</v>
      </c>
      <c r="B6" t="s">
        <v>1403</v>
      </c>
      <c r="C6" t="str">
        <f t="shared" si="1"/>
        <v>9</v>
      </c>
      <c r="D6" t="str">
        <f t="shared" si="2"/>
        <v>2018</v>
      </c>
      <c r="E6" s="51" t="s">
        <v>1374</v>
      </c>
      <c r="J6">
        <v>24.1</v>
      </c>
      <c r="K6">
        <v>-0.1</v>
      </c>
      <c r="L6">
        <v>525</v>
      </c>
      <c r="M6">
        <v>5679</v>
      </c>
      <c r="N6">
        <v>264</v>
      </c>
      <c r="O6">
        <v>0</v>
      </c>
      <c r="P6">
        <v>0</v>
      </c>
      <c r="Q6">
        <v>525</v>
      </c>
      <c r="R6">
        <v>0</v>
      </c>
    </row>
    <row r="7" spans="1:20" x14ac:dyDescent="0.2">
      <c r="A7" t="str">
        <f t="shared" si="0"/>
        <v>ICE.2018.10</v>
      </c>
      <c r="B7" t="s">
        <v>1403</v>
      </c>
      <c r="C7" t="str">
        <f t="shared" si="1"/>
        <v>10</v>
      </c>
      <c r="D7" t="str">
        <f t="shared" si="2"/>
        <v>2018</v>
      </c>
      <c r="E7" s="51" t="s">
        <v>1375</v>
      </c>
      <c r="J7">
        <v>24.75</v>
      </c>
      <c r="K7">
        <v>-0.1</v>
      </c>
      <c r="L7">
        <v>525</v>
      </c>
      <c r="M7">
        <v>5408</v>
      </c>
      <c r="N7">
        <v>-149</v>
      </c>
      <c r="O7">
        <v>0</v>
      </c>
      <c r="P7">
        <v>0</v>
      </c>
      <c r="Q7">
        <v>525</v>
      </c>
      <c r="R7">
        <v>0</v>
      </c>
    </row>
    <row r="8" spans="1:20" x14ac:dyDescent="0.2">
      <c r="A8" t="str">
        <f t="shared" si="0"/>
        <v>ICE.2018.11</v>
      </c>
      <c r="B8" t="s">
        <v>1403</v>
      </c>
      <c r="C8" t="str">
        <f t="shared" si="1"/>
        <v>11</v>
      </c>
      <c r="D8" t="str">
        <f t="shared" si="2"/>
        <v>2018</v>
      </c>
      <c r="E8" s="51" t="s">
        <v>1376</v>
      </c>
      <c r="J8">
        <v>24.8</v>
      </c>
      <c r="K8">
        <v>-0.15</v>
      </c>
      <c r="L8">
        <v>525</v>
      </c>
      <c r="M8">
        <v>5187</v>
      </c>
      <c r="N8">
        <v>-35</v>
      </c>
      <c r="O8">
        <v>0</v>
      </c>
      <c r="P8">
        <v>0</v>
      </c>
      <c r="Q8">
        <v>525</v>
      </c>
      <c r="R8">
        <v>0</v>
      </c>
    </row>
    <row r="9" spans="1:20" x14ac:dyDescent="0.2">
      <c r="A9" t="str">
        <f t="shared" si="0"/>
        <v>ICE.2018.12</v>
      </c>
      <c r="B9" t="s">
        <v>1403</v>
      </c>
      <c r="C9" t="str">
        <f t="shared" si="1"/>
        <v>12</v>
      </c>
      <c r="D9" t="str">
        <f t="shared" si="2"/>
        <v>2018</v>
      </c>
      <c r="E9" s="51" t="s">
        <v>1377</v>
      </c>
      <c r="J9">
        <v>28.65</v>
      </c>
      <c r="K9">
        <v>-0.1</v>
      </c>
      <c r="L9">
        <v>625</v>
      </c>
      <c r="M9">
        <v>5262</v>
      </c>
      <c r="N9">
        <v>-135</v>
      </c>
      <c r="O9">
        <v>0</v>
      </c>
      <c r="P9">
        <v>0</v>
      </c>
      <c r="Q9">
        <v>625</v>
      </c>
      <c r="R9">
        <v>0</v>
      </c>
    </row>
    <row r="10" spans="1:20" x14ac:dyDescent="0.2">
      <c r="A10" t="str">
        <f t="shared" si="0"/>
        <v>ICE.2019.1</v>
      </c>
      <c r="B10" t="s">
        <v>1403</v>
      </c>
      <c r="C10" t="str">
        <f t="shared" si="1"/>
        <v>1</v>
      </c>
      <c r="D10" t="str">
        <f t="shared" si="2"/>
        <v>2019</v>
      </c>
      <c r="E10" s="51" t="s">
        <v>1378</v>
      </c>
      <c r="J10">
        <v>42.2</v>
      </c>
      <c r="K10">
        <v>-0.1</v>
      </c>
      <c r="L10">
        <v>290</v>
      </c>
      <c r="M10">
        <v>8071</v>
      </c>
      <c r="N10">
        <v>32</v>
      </c>
      <c r="O10">
        <v>0</v>
      </c>
      <c r="P10">
        <v>0</v>
      </c>
      <c r="Q10">
        <v>290</v>
      </c>
      <c r="R10">
        <v>0</v>
      </c>
    </row>
    <row r="11" spans="1:20" x14ac:dyDescent="0.2">
      <c r="A11" t="str">
        <f t="shared" si="0"/>
        <v>ICE.2019.2</v>
      </c>
      <c r="B11" t="s">
        <v>1403</v>
      </c>
      <c r="C11" t="str">
        <f t="shared" si="1"/>
        <v>2</v>
      </c>
      <c r="D11" t="str">
        <f t="shared" si="2"/>
        <v>2019</v>
      </c>
      <c r="E11" s="51" t="s">
        <v>1379</v>
      </c>
      <c r="J11">
        <v>39.4</v>
      </c>
      <c r="K11">
        <v>-0.05</v>
      </c>
      <c r="L11">
        <v>290</v>
      </c>
      <c r="M11">
        <v>8071</v>
      </c>
      <c r="N11">
        <v>32</v>
      </c>
      <c r="O11">
        <v>0</v>
      </c>
      <c r="P11">
        <v>0</v>
      </c>
      <c r="Q11">
        <v>290</v>
      </c>
      <c r="R11">
        <v>0</v>
      </c>
    </row>
    <row r="12" spans="1:20" x14ac:dyDescent="0.2">
      <c r="A12" t="str">
        <f t="shared" si="0"/>
        <v>ICE.2019.3</v>
      </c>
      <c r="B12" t="s">
        <v>1403</v>
      </c>
      <c r="C12" t="str">
        <f t="shared" si="1"/>
        <v>3</v>
      </c>
      <c r="D12" t="str">
        <f t="shared" si="2"/>
        <v>2019</v>
      </c>
      <c r="E12" s="51" t="s">
        <v>1380</v>
      </c>
      <c r="J12">
        <v>30.05</v>
      </c>
      <c r="K12">
        <v>-0.05</v>
      </c>
      <c r="L12">
        <v>290</v>
      </c>
      <c r="M12">
        <v>4639</v>
      </c>
      <c r="N12">
        <v>-113</v>
      </c>
      <c r="O12">
        <v>0</v>
      </c>
      <c r="P12">
        <v>0</v>
      </c>
      <c r="Q12">
        <v>290</v>
      </c>
      <c r="R12">
        <v>0</v>
      </c>
    </row>
    <row r="13" spans="1:20" x14ac:dyDescent="0.2">
      <c r="A13" t="str">
        <f t="shared" si="0"/>
        <v>ICE.2019.4</v>
      </c>
      <c r="B13" t="s">
        <v>1403</v>
      </c>
      <c r="C13" t="str">
        <f t="shared" si="1"/>
        <v>4</v>
      </c>
      <c r="D13" t="str">
        <f t="shared" si="2"/>
        <v>2019</v>
      </c>
      <c r="E13" s="51" t="s">
        <v>1381</v>
      </c>
      <c r="J13">
        <v>24.9</v>
      </c>
      <c r="K13">
        <v>-0.05</v>
      </c>
      <c r="L13">
        <v>290</v>
      </c>
      <c r="M13">
        <v>4659</v>
      </c>
      <c r="N13">
        <v>-113</v>
      </c>
      <c r="O13">
        <v>0</v>
      </c>
      <c r="P13">
        <v>0</v>
      </c>
      <c r="Q13">
        <v>290</v>
      </c>
      <c r="R13">
        <v>0</v>
      </c>
    </row>
    <row r="14" spans="1:20" x14ac:dyDescent="0.2">
      <c r="A14" t="str">
        <f t="shared" si="0"/>
        <v>ICE.2019.5</v>
      </c>
      <c r="B14" t="s">
        <v>1403</v>
      </c>
      <c r="C14" t="str">
        <f t="shared" si="1"/>
        <v>5</v>
      </c>
      <c r="D14" t="str">
        <f t="shared" si="2"/>
        <v>2019</v>
      </c>
      <c r="E14" s="51" t="s">
        <v>1382</v>
      </c>
      <c r="J14">
        <v>22.05</v>
      </c>
      <c r="K14">
        <v>-0.05</v>
      </c>
      <c r="L14">
        <v>290</v>
      </c>
      <c r="M14">
        <v>4476</v>
      </c>
      <c r="N14">
        <v>-113</v>
      </c>
      <c r="O14">
        <v>0</v>
      </c>
      <c r="P14">
        <v>0</v>
      </c>
      <c r="Q14">
        <v>290</v>
      </c>
      <c r="R14">
        <v>0</v>
      </c>
    </row>
    <row r="15" spans="1:20" x14ac:dyDescent="0.2">
      <c r="A15" t="str">
        <f t="shared" si="0"/>
        <v>ICE.2019.6</v>
      </c>
      <c r="B15" t="s">
        <v>1403</v>
      </c>
      <c r="C15" t="str">
        <f t="shared" si="1"/>
        <v>6</v>
      </c>
      <c r="D15" t="str">
        <f t="shared" si="2"/>
        <v>2019</v>
      </c>
      <c r="E15" s="51" t="s">
        <v>1383</v>
      </c>
      <c r="J15">
        <v>22.05</v>
      </c>
      <c r="K15">
        <v>-0.05</v>
      </c>
      <c r="L15">
        <v>290</v>
      </c>
      <c r="M15">
        <v>4442</v>
      </c>
      <c r="N15">
        <v>-138</v>
      </c>
      <c r="O15">
        <v>0</v>
      </c>
      <c r="P15">
        <v>0</v>
      </c>
      <c r="Q15">
        <v>290</v>
      </c>
      <c r="R15">
        <v>0</v>
      </c>
    </row>
    <row r="16" spans="1:20" x14ac:dyDescent="0.2">
      <c r="A16" t="str">
        <f t="shared" si="0"/>
        <v>ICE.2019.7</v>
      </c>
      <c r="B16" t="s">
        <v>1403</v>
      </c>
      <c r="C16" t="str">
        <f t="shared" si="1"/>
        <v>7</v>
      </c>
      <c r="D16" t="str">
        <f t="shared" si="2"/>
        <v>2019</v>
      </c>
      <c r="E16" s="51" t="s">
        <v>1384</v>
      </c>
      <c r="J16">
        <v>25.1</v>
      </c>
      <c r="K16">
        <v>-0.05</v>
      </c>
      <c r="L16">
        <v>290</v>
      </c>
      <c r="M16">
        <v>4785</v>
      </c>
      <c r="N16">
        <v>-145</v>
      </c>
      <c r="O16">
        <v>0</v>
      </c>
      <c r="P16">
        <v>0</v>
      </c>
      <c r="Q16">
        <v>290</v>
      </c>
      <c r="R16">
        <v>0</v>
      </c>
    </row>
    <row r="17" spans="1:18" x14ac:dyDescent="0.2">
      <c r="A17" t="str">
        <f t="shared" si="0"/>
        <v>ICE.2019.8</v>
      </c>
      <c r="B17" t="s">
        <v>1403</v>
      </c>
      <c r="C17" t="str">
        <f t="shared" si="1"/>
        <v>8</v>
      </c>
      <c r="D17" t="str">
        <f t="shared" si="2"/>
        <v>2019</v>
      </c>
      <c r="E17" s="51" t="s">
        <v>1385</v>
      </c>
      <c r="J17">
        <v>22.85</v>
      </c>
      <c r="K17">
        <v>-0.05</v>
      </c>
      <c r="L17">
        <v>290</v>
      </c>
      <c r="M17">
        <v>4785</v>
      </c>
      <c r="N17">
        <v>-145</v>
      </c>
      <c r="O17">
        <v>0</v>
      </c>
      <c r="P17">
        <v>0</v>
      </c>
      <c r="Q17">
        <v>290</v>
      </c>
      <c r="R17">
        <v>0</v>
      </c>
    </row>
    <row r="18" spans="1:18" x14ac:dyDescent="0.2">
      <c r="A18" t="str">
        <f t="shared" si="0"/>
        <v>ICE.2019.9</v>
      </c>
      <c r="B18" t="s">
        <v>1403</v>
      </c>
      <c r="C18" t="str">
        <f t="shared" si="1"/>
        <v>9</v>
      </c>
      <c r="D18" t="str">
        <f t="shared" si="2"/>
        <v>2019</v>
      </c>
      <c r="E18" s="51" t="s">
        <v>1386</v>
      </c>
      <c r="J18">
        <v>21.95</v>
      </c>
      <c r="K18">
        <v>-0.05</v>
      </c>
      <c r="L18">
        <v>290</v>
      </c>
      <c r="M18">
        <v>4453</v>
      </c>
      <c r="N18">
        <v>-140</v>
      </c>
      <c r="O18">
        <v>0</v>
      </c>
      <c r="P18">
        <v>0</v>
      </c>
      <c r="Q18">
        <v>290</v>
      </c>
      <c r="R18">
        <v>0</v>
      </c>
    </row>
    <row r="19" spans="1:18" x14ac:dyDescent="0.2">
      <c r="A19" t="str">
        <f t="shared" si="0"/>
        <v>ICE.2019.10</v>
      </c>
      <c r="B19" t="s">
        <v>1403</v>
      </c>
      <c r="C19" t="str">
        <f t="shared" si="1"/>
        <v>10</v>
      </c>
      <c r="D19" t="str">
        <f t="shared" si="2"/>
        <v>2019</v>
      </c>
      <c r="E19" s="51" t="s">
        <v>1387</v>
      </c>
      <c r="J19">
        <v>22.1</v>
      </c>
      <c r="K19">
        <v>-0.05</v>
      </c>
      <c r="L19">
        <v>290</v>
      </c>
      <c r="M19">
        <v>5317</v>
      </c>
      <c r="N19">
        <v>-140</v>
      </c>
      <c r="O19">
        <v>0</v>
      </c>
      <c r="P19">
        <v>0</v>
      </c>
      <c r="Q19">
        <v>290</v>
      </c>
      <c r="R19">
        <v>0</v>
      </c>
    </row>
    <row r="20" spans="1:18" x14ac:dyDescent="0.2">
      <c r="A20" t="str">
        <f t="shared" si="0"/>
        <v>ICE.2019.11</v>
      </c>
      <c r="B20" t="s">
        <v>1403</v>
      </c>
      <c r="C20" t="str">
        <f t="shared" si="1"/>
        <v>11</v>
      </c>
      <c r="D20" t="str">
        <f t="shared" si="2"/>
        <v>2019</v>
      </c>
      <c r="E20" s="51" t="s">
        <v>1388</v>
      </c>
      <c r="J20">
        <v>23.05</v>
      </c>
      <c r="K20">
        <v>-0.05</v>
      </c>
      <c r="L20">
        <v>290</v>
      </c>
      <c r="M20">
        <v>5152</v>
      </c>
      <c r="N20">
        <v>-140</v>
      </c>
      <c r="O20">
        <v>0</v>
      </c>
      <c r="P20">
        <v>0</v>
      </c>
      <c r="Q20">
        <v>290</v>
      </c>
      <c r="R20">
        <v>0</v>
      </c>
    </row>
    <row r="21" spans="1:18" x14ac:dyDescent="0.2">
      <c r="A21" t="str">
        <f t="shared" si="0"/>
        <v>ICE.2019.12</v>
      </c>
      <c r="B21" t="s">
        <v>1403</v>
      </c>
      <c r="C21" t="str">
        <f t="shared" si="1"/>
        <v>12</v>
      </c>
      <c r="D21" t="str">
        <f t="shared" si="2"/>
        <v>2019</v>
      </c>
      <c r="E21" s="51" t="s">
        <v>1389</v>
      </c>
      <c r="J21">
        <v>26.55</v>
      </c>
      <c r="K21">
        <v>-0.05</v>
      </c>
      <c r="L21">
        <v>290</v>
      </c>
      <c r="M21">
        <v>5117</v>
      </c>
      <c r="N21">
        <v>-140</v>
      </c>
      <c r="O21">
        <v>0</v>
      </c>
      <c r="P21">
        <v>0</v>
      </c>
      <c r="Q21">
        <v>290</v>
      </c>
      <c r="R21">
        <v>0</v>
      </c>
    </row>
    <row r="22" spans="1:18" x14ac:dyDescent="0.2">
      <c r="A22" t="str">
        <f t="shared" si="0"/>
        <v>ICE.2020.1</v>
      </c>
      <c r="B22" t="s">
        <v>1403</v>
      </c>
      <c r="C22" t="str">
        <f t="shared" si="1"/>
        <v>1</v>
      </c>
      <c r="D22" t="str">
        <f t="shared" si="2"/>
        <v>2020</v>
      </c>
      <c r="E22" s="51" t="s">
        <v>1390</v>
      </c>
      <c r="J22">
        <v>39.700000000000003</v>
      </c>
      <c r="K22">
        <v>-0.05</v>
      </c>
      <c r="L22">
        <v>0</v>
      </c>
      <c r="M22">
        <v>3491</v>
      </c>
      <c r="N22">
        <v>0</v>
      </c>
      <c r="O22">
        <v>0</v>
      </c>
      <c r="P22">
        <v>0</v>
      </c>
      <c r="Q22">
        <v>0</v>
      </c>
      <c r="R22">
        <v>0</v>
      </c>
    </row>
    <row r="23" spans="1:18" x14ac:dyDescent="0.2">
      <c r="A23" t="str">
        <f t="shared" si="0"/>
        <v>ICE.2020.2</v>
      </c>
      <c r="B23" t="s">
        <v>1403</v>
      </c>
      <c r="C23" t="str">
        <f t="shared" si="1"/>
        <v>2</v>
      </c>
      <c r="D23" t="str">
        <f t="shared" si="2"/>
        <v>2020</v>
      </c>
      <c r="E23" s="51" t="s">
        <v>1391</v>
      </c>
      <c r="J23">
        <v>36.950000000000003</v>
      </c>
      <c r="K23">
        <v>-0.05</v>
      </c>
      <c r="L23">
        <v>0</v>
      </c>
      <c r="M23">
        <v>3491</v>
      </c>
      <c r="N23">
        <v>0</v>
      </c>
      <c r="O23">
        <v>0</v>
      </c>
      <c r="P23">
        <v>0</v>
      </c>
      <c r="Q23">
        <v>0</v>
      </c>
      <c r="R23">
        <v>0</v>
      </c>
    </row>
    <row r="24" spans="1:18" x14ac:dyDescent="0.2">
      <c r="A24" t="str">
        <f t="shared" si="0"/>
        <v>ICE.2020.3</v>
      </c>
      <c r="B24" t="s">
        <v>1403</v>
      </c>
      <c r="C24" t="str">
        <f t="shared" si="1"/>
        <v>3</v>
      </c>
      <c r="D24" t="str">
        <f t="shared" si="2"/>
        <v>2020</v>
      </c>
      <c r="E24" s="51" t="s">
        <v>1392</v>
      </c>
      <c r="J24">
        <v>29</v>
      </c>
      <c r="K24">
        <v>-0.05</v>
      </c>
      <c r="L24">
        <v>0</v>
      </c>
      <c r="M24">
        <v>3570</v>
      </c>
      <c r="N24">
        <v>0</v>
      </c>
      <c r="O24">
        <v>0</v>
      </c>
      <c r="P24">
        <v>0</v>
      </c>
      <c r="Q24">
        <v>0</v>
      </c>
      <c r="R24">
        <v>0</v>
      </c>
    </row>
    <row r="25" spans="1:18" x14ac:dyDescent="0.2">
      <c r="A25" t="str">
        <f t="shared" si="0"/>
        <v>ICE.2020.4</v>
      </c>
      <c r="B25" t="s">
        <v>1403</v>
      </c>
      <c r="C25" t="str">
        <f t="shared" si="1"/>
        <v>4</v>
      </c>
      <c r="D25" t="str">
        <f t="shared" si="2"/>
        <v>2020</v>
      </c>
      <c r="E25" s="51" t="s">
        <v>1393</v>
      </c>
      <c r="J25">
        <v>24.55</v>
      </c>
      <c r="K25">
        <v>-0.05</v>
      </c>
      <c r="L25">
        <v>0</v>
      </c>
      <c r="M25">
        <v>3575</v>
      </c>
      <c r="N25">
        <v>0</v>
      </c>
      <c r="O25">
        <v>0</v>
      </c>
      <c r="P25">
        <v>0</v>
      </c>
      <c r="Q25">
        <v>0</v>
      </c>
      <c r="R25">
        <v>0</v>
      </c>
    </row>
    <row r="26" spans="1:18" x14ac:dyDescent="0.2">
      <c r="A26" t="str">
        <f t="shared" si="0"/>
        <v>ICE.2020.5</v>
      </c>
      <c r="B26" t="s">
        <v>1403</v>
      </c>
      <c r="C26" t="str">
        <f t="shared" si="1"/>
        <v>5</v>
      </c>
      <c r="D26" t="str">
        <f t="shared" si="2"/>
        <v>2020</v>
      </c>
      <c r="E26" s="51" t="s">
        <v>1394</v>
      </c>
      <c r="J26">
        <v>21.55</v>
      </c>
      <c r="K26">
        <v>-0.05</v>
      </c>
      <c r="L26">
        <v>0</v>
      </c>
      <c r="M26">
        <v>3575</v>
      </c>
      <c r="N26">
        <v>0</v>
      </c>
      <c r="O26">
        <v>0</v>
      </c>
      <c r="P26">
        <v>0</v>
      </c>
      <c r="Q26">
        <v>0</v>
      </c>
      <c r="R26">
        <v>0</v>
      </c>
    </row>
    <row r="27" spans="1:18" x14ac:dyDescent="0.2">
      <c r="A27" t="str">
        <f t="shared" si="0"/>
        <v>ICE.2020.6</v>
      </c>
      <c r="B27" t="s">
        <v>1403</v>
      </c>
      <c r="C27" t="str">
        <f t="shared" si="1"/>
        <v>6</v>
      </c>
      <c r="D27" t="str">
        <f t="shared" si="2"/>
        <v>2020</v>
      </c>
      <c r="E27" s="51" t="s">
        <v>1395</v>
      </c>
      <c r="J27">
        <v>21.7</v>
      </c>
      <c r="K27">
        <v>-0.05</v>
      </c>
      <c r="L27">
        <v>0</v>
      </c>
      <c r="M27">
        <v>3600</v>
      </c>
      <c r="N27">
        <v>0</v>
      </c>
      <c r="O27">
        <v>0</v>
      </c>
      <c r="P27">
        <v>0</v>
      </c>
      <c r="Q27">
        <v>0</v>
      </c>
      <c r="R27">
        <v>0</v>
      </c>
    </row>
    <row r="28" spans="1:18" x14ac:dyDescent="0.2">
      <c r="A28" t="str">
        <f t="shared" si="0"/>
        <v>ICE.2020.7</v>
      </c>
      <c r="B28" t="s">
        <v>1403</v>
      </c>
      <c r="C28" t="str">
        <f t="shared" si="1"/>
        <v>7</v>
      </c>
      <c r="D28" t="str">
        <f t="shared" si="2"/>
        <v>2020</v>
      </c>
      <c r="E28" s="51" t="s">
        <v>1396</v>
      </c>
      <c r="J28">
        <v>24.6</v>
      </c>
      <c r="K28">
        <v>-0.05</v>
      </c>
      <c r="L28">
        <v>0</v>
      </c>
      <c r="M28">
        <v>3440</v>
      </c>
      <c r="N28">
        <v>0</v>
      </c>
      <c r="O28">
        <v>0</v>
      </c>
      <c r="P28">
        <v>0</v>
      </c>
      <c r="Q28">
        <v>0</v>
      </c>
      <c r="R28">
        <v>0</v>
      </c>
    </row>
    <row r="29" spans="1:18" x14ac:dyDescent="0.2">
      <c r="A29" t="str">
        <f t="shared" si="0"/>
        <v>ICE.2020.8</v>
      </c>
      <c r="B29" t="s">
        <v>1403</v>
      </c>
      <c r="C29" t="str">
        <f t="shared" si="1"/>
        <v>8</v>
      </c>
      <c r="D29" t="str">
        <f t="shared" si="2"/>
        <v>2020</v>
      </c>
      <c r="E29" s="51" t="s">
        <v>1397</v>
      </c>
      <c r="J29">
        <v>22.5</v>
      </c>
      <c r="K29">
        <v>-0.05</v>
      </c>
      <c r="L29">
        <v>0</v>
      </c>
      <c r="M29">
        <v>3440</v>
      </c>
      <c r="N29">
        <v>0</v>
      </c>
      <c r="O29">
        <v>0</v>
      </c>
      <c r="P29">
        <v>0</v>
      </c>
      <c r="Q29">
        <v>0</v>
      </c>
      <c r="R29">
        <v>0</v>
      </c>
    </row>
    <row r="30" spans="1:18" x14ac:dyDescent="0.2">
      <c r="A30" t="str">
        <f t="shared" si="0"/>
        <v>ICE.2020.9</v>
      </c>
      <c r="B30" t="s">
        <v>1403</v>
      </c>
      <c r="C30" t="str">
        <f t="shared" si="1"/>
        <v>9</v>
      </c>
      <c r="D30" t="str">
        <f t="shared" si="2"/>
        <v>2020</v>
      </c>
      <c r="E30" s="51" t="s">
        <v>1398</v>
      </c>
      <c r="J30">
        <v>21.6</v>
      </c>
      <c r="K30">
        <v>-0.05</v>
      </c>
      <c r="L30">
        <v>0</v>
      </c>
      <c r="M30">
        <v>3410</v>
      </c>
      <c r="N30">
        <v>0</v>
      </c>
      <c r="O30">
        <v>0</v>
      </c>
      <c r="P30">
        <v>0</v>
      </c>
      <c r="Q30">
        <v>0</v>
      </c>
      <c r="R30">
        <v>0</v>
      </c>
    </row>
    <row r="31" spans="1:18" x14ac:dyDescent="0.2">
      <c r="A31" t="str">
        <f t="shared" si="0"/>
        <v>ICE.2020.10</v>
      </c>
      <c r="B31" t="s">
        <v>1403</v>
      </c>
      <c r="C31" t="str">
        <f t="shared" si="1"/>
        <v>10</v>
      </c>
      <c r="D31" t="str">
        <f t="shared" si="2"/>
        <v>2020</v>
      </c>
      <c r="E31" s="51" t="s">
        <v>1399</v>
      </c>
      <c r="J31">
        <v>21.7</v>
      </c>
      <c r="K31">
        <v>-0.05</v>
      </c>
      <c r="L31">
        <v>0</v>
      </c>
      <c r="M31">
        <v>3405</v>
      </c>
      <c r="N31">
        <v>0</v>
      </c>
      <c r="O31">
        <v>0</v>
      </c>
      <c r="P31">
        <v>0</v>
      </c>
      <c r="Q31">
        <v>0</v>
      </c>
      <c r="R31">
        <v>0</v>
      </c>
    </row>
    <row r="32" spans="1:18" x14ac:dyDescent="0.2">
      <c r="A32" t="str">
        <f t="shared" si="0"/>
        <v>ICE.2020.11</v>
      </c>
      <c r="B32" t="s">
        <v>1403</v>
      </c>
      <c r="C32" t="str">
        <f t="shared" si="1"/>
        <v>11</v>
      </c>
      <c r="D32" t="str">
        <f t="shared" si="2"/>
        <v>2020</v>
      </c>
      <c r="E32" s="51" t="s">
        <v>1400</v>
      </c>
      <c r="J32">
        <v>22.25</v>
      </c>
      <c r="K32">
        <v>-0.05</v>
      </c>
      <c r="L32">
        <v>0</v>
      </c>
      <c r="M32">
        <v>3405</v>
      </c>
      <c r="N32">
        <v>0</v>
      </c>
      <c r="O32">
        <v>0</v>
      </c>
      <c r="P32">
        <v>0</v>
      </c>
      <c r="Q32">
        <v>0</v>
      </c>
      <c r="R32">
        <v>0</v>
      </c>
    </row>
    <row r="33" spans="1:18" x14ac:dyDescent="0.2">
      <c r="A33" t="str">
        <f t="shared" si="0"/>
        <v>ICE.2020.12</v>
      </c>
      <c r="B33" t="s">
        <v>1403</v>
      </c>
      <c r="C33" t="str">
        <f t="shared" si="1"/>
        <v>12</v>
      </c>
      <c r="D33" t="str">
        <f t="shared" si="2"/>
        <v>2020</v>
      </c>
      <c r="E33" s="51" t="s">
        <v>1401</v>
      </c>
      <c r="J33">
        <v>25.65</v>
      </c>
      <c r="K33">
        <v>-0.05</v>
      </c>
      <c r="L33">
        <v>0</v>
      </c>
      <c r="M33">
        <v>3410</v>
      </c>
      <c r="N33">
        <v>0</v>
      </c>
      <c r="O33">
        <v>0</v>
      </c>
      <c r="P33">
        <v>0</v>
      </c>
      <c r="Q33">
        <v>0</v>
      </c>
      <c r="R33">
        <v>0</v>
      </c>
    </row>
    <row r="34" spans="1:18" x14ac:dyDescent="0.2">
      <c r="A34" t="str">
        <f t="shared" si="0"/>
        <v>ICE.2021.1</v>
      </c>
      <c r="B34" t="s">
        <v>1403</v>
      </c>
      <c r="C34" t="str">
        <f t="shared" si="1"/>
        <v>1</v>
      </c>
      <c r="D34" t="str">
        <f t="shared" si="2"/>
        <v>2021</v>
      </c>
      <c r="E34" s="51" t="s">
        <v>1405</v>
      </c>
      <c r="J34">
        <v>37.65</v>
      </c>
      <c r="K34">
        <v>-0.05</v>
      </c>
      <c r="L34">
        <v>0</v>
      </c>
      <c r="M34">
        <v>757</v>
      </c>
      <c r="N34">
        <v>0</v>
      </c>
      <c r="O34">
        <v>0</v>
      </c>
      <c r="P34">
        <v>0</v>
      </c>
      <c r="Q34">
        <v>0</v>
      </c>
      <c r="R34">
        <v>0</v>
      </c>
    </row>
    <row r="35" spans="1:18" x14ac:dyDescent="0.2">
      <c r="A35" t="str">
        <f t="shared" si="0"/>
        <v>ICE.2021.2</v>
      </c>
      <c r="B35" t="s">
        <v>1403</v>
      </c>
      <c r="C35" t="str">
        <f t="shared" si="1"/>
        <v>2</v>
      </c>
      <c r="D35" t="str">
        <f t="shared" si="2"/>
        <v>2021</v>
      </c>
      <c r="E35" s="51" t="s">
        <v>1406</v>
      </c>
      <c r="J35">
        <v>34.950000000000003</v>
      </c>
      <c r="K35">
        <v>-0.05</v>
      </c>
      <c r="L35">
        <v>0</v>
      </c>
      <c r="M35">
        <v>757</v>
      </c>
      <c r="N35">
        <v>0</v>
      </c>
      <c r="O35">
        <v>0</v>
      </c>
      <c r="P35">
        <v>0</v>
      </c>
      <c r="Q35">
        <v>0</v>
      </c>
      <c r="R35">
        <v>0</v>
      </c>
    </row>
    <row r="36" spans="1:18" x14ac:dyDescent="0.2">
      <c r="A36" t="str">
        <f t="shared" si="0"/>
        <v>ICE.2021.3</v>
      </c>
      <c r="B36" t="s">
        <v>1403</v>
      </c>
      <c r="C36" t="str">
        <f t="shared" si="1"/>
        <v>3</v>
      </c>
      <c r="D36" t="str">
        <f t="shared" si="2"/>
        <v>2021</v>
      </c>
      <c r="E36" s="51" t="s">
        <v>1407</v>
      </c>
      <c r="J36">
        <v>28.3</v>
      </c>
      <c r="K36">
        <v>-0.05</v>
      </c>
      <c r="L36">
        <v>0</v>
      </c>
      <c r="M36">
        <v>737</v>
      </c>
      <c r="N36">
        <v>0</v>
      </c>
      <c r="O36">
        <v>0</v>
      </c>
      <c r="P36">
        <v>0</v>
      </c>
      <c r="Q36">
        <v>0</v>
      </c>
      <c r="R36">
        <v>0</v>
      </c>
    </row>
    <row r="37" spans="1:18" x14ac:dyDescent="0.2">
      <c r="A37" t="str">
        <f t="shared" si="0"/>
        <v>ICE.2021.4</v>
      </c>
      <c r="B37" t="s">
        <v>1403</v>
      </c>
      <c r="C37" t="str">
        <f t="shared" si="1"/>
        <v>4</v>
      </c>
      <c r="D37" t="str">
        <f t="shared" si="2"/>
        <v>2021</v>
      </c>
      <c r="E37" s="51" t="s">
        <v>1408</v>
      </c>
      <c r="J37">
        <v>23.8</v>
      </c>
      <c r="K37">
        <v>-0.05</v>
      </c>
      <c r="L37">
        <v>0</v>
      </c>
      <c r="M37">
        <v>732</v>
      </c>
      <c r="N37">
        <v>0</v>
      </c>
      <c r="O37">
        <v>0</v>
      </c>
      <c r="P37">
        <v>0</v>
      </c>
      <c r="Q37">
        <v>0</v>
      </c>
      <c r="R37">
        <v>0</v>
      </c>
    </row>
    <row r="38" spans="1:18" x14ac:dyDescent="0.2">
      <c r="A38" t="str">
        <f t="shared" si="0"/>
        <v>ICE.2021.5</v>
      </c>
      <c r="B38" t="s">
        <v>1403</v>
      </c>
      <c r="C38" t="str">
        <f t="shared" si="1"/>
        <v>5</v>
      </c>
      <c r="D38" t="str">
        <f t="shared" si="2"/>
        <v>2021</v>
      </c>
      <c r="E38" s="51" t="s">
        <v>1409</v>
      </c>
      <c r="J38">
        <v>21</v>
      </c>
      <c r="K38">
        <v>0</v>
      </c>
      <c r="L38">
        <v>0</v>
      </c>
      <c r="M38">
        <v>737</v>
      </c>
      <c r="N38">
        <v>0</v>
      </c>
      <c r="O38">
        <v>0</v>
      </c>
      <c r="P38">
        <v>0</v>
      </c>
      <c r="Q38">
        <v>0</v>
      </c>
      <c r="R38">
        <v>0</v>
      </c>
    </row>
    <row r="39" spans="1:18" x14ac:dyDescent="0.2">
      <c r="A39" t="str">
        <f t="shared" si="0"/>
        <v>ICE.2021.6</v>
      </c>
      <c r="B39" t="s">
        <v>1403</v>
      </c>
      <c r="C39" t="str">
        <f t="shared" si="1"/>
        <v>6</v>
      </c>
      <c r="D39" t="str">
        <f t="shared" si="2"/>
        <v>2021</v>
      </c>
      <c r="E39" s="51" t="s">
        <v>1410</v>
      </c>
      <c r="J39">
        <v>21.2</v>
      </c>
      <c r="K39">
        <v>0</v>
      </c>
      <c r="L39">
        <v>0</v>
      </c>
      <c r="M39">
        <v>717</v>
      </c>
      <c r="N39">
        <v>0</v>
      </c>
      <c r="O39">
        <v>0</v>
      </c>
      <c r="P39">
        <v>0</v>
      </c>
      <c r="Q39">
        <v>0</v>
      </c>
      <c r="R39">
        <v>0</v>
      </c>
    </row>
    <row r="40" spans="1:18" x14ac:dyDescent="0.2">
      <c r="A40" t="str">
        <f t="shared" si="0"/>
        <v>ICE.2021.7</v>
      </c>
      <c r="B40" t="s">
        <v>1403</v>
      </c>
      <c r="C40" t="str">
        <f t="shared" si="1"/>
        <v>7</v>
      </c>
      <c r="D40" t="str">
        <f t="shared" si="2"/>
        <v>2021</v>
      </c>
      <c r="E40" s="51" t="s">
        <v>1411</v>
      </c>
      <c r="J40">
        <v>23.9</v>
      </c>
      <c r="K40">
        <v>-0.05</v>
      </c>
      <c r="L40">
        <v>0</v>
      </c>
      <c r="M40">
        <v>717</v>
      </c>
      <c r="N40">
        <v>0</v>
      </c>
      <c r="O40">
        <v>0</v>
      </c>
      <c r="P40">
        <v>0</v>
      </c>
      <c r="Q40">
        <v>0</v>
      </c>
      <c r="R40">
        <v>0</v>
      </c>
    </row>
    <row r="41" spans="1:18" x14ac:dyDescent="0.2">
      <c r="A41" t="str">
        <f t="shared" si="0"/>
        <v>ICE.2021.8</v>
      </c>
      <c r="B41" t="s">
        <v>1403</v>
      </c>
      <c r="C41" t="str">
        <f t="shared" si="1"/>
        <v>8</v>
      </c>
      <c r="D41" t="str">
        <f t="shared" si="2"/>
        <v>2021</v>
      </c>
      <c r="E41" s="51" t="s">
        <v>1412</v>
      </c>
      <c r="J41">
        <v>21.8</v>
      </c>
      <c r="K41">
        <v>0</v>
      </c>
      <c r="L41">
        <v>0</v>
      </c>
      <c r="M41">
        <v>717</v>
      </c>
      <c r="N41">
        <v>0</v>
      </c>
      <c r="O41">
        <v>0</v>
      </c>
      <c r="P41">
        <v>0</v>
      </c>
      <c r="Q41">
        <v>0</v>
      </c>
      <c r="R41">
        <v>0</v>
      </c>
    </row>
    <row r="42" spans="1:18" x14ac:dyDescent="0.2">
      <c r="A42" t="str">
        <f t="shared" si="0"/>
        <v>ICE.2021.9</v>
      </c>
      <c r="B42" t="s">
        <v>1403</v>
      </c>
      <c r="C42" t="str">
        <f t="shared" si="1"/>
        <v>9</v>
      </c>
      <c r="D42" t="str">
        <f t="shared" si="2"/>
        <v>2021</v>
      </c>
      <c r="E42" s="51" t="s">
        <v>1413</v>
      </c>
      <c r="J42">
        <v>21.3</v>
      </c>
      <c r="K42">
        <v>0</v>
      </c>
      <c r="L42">
        <v>0</v>
      </c>
      <c r="M42">
        <v>717</v>
      </c>
      <c r="N42">
        <v>0</v>
      </c>
      <c r="O42">
        <v>0</v>
      </c>
      <c r="P42">
        <v>0</v>
      </c>
      <c r="Q42">
        <v>0</v>
      </c>
      <c r="R42">
        <v>0</v>
      </c>
    </row>
    <row r="43" spans="1:18" x14ac:dyDescent="0.2">
      <c r="A43" t="str">
        <f t="shared" si="0"/>
        <v>ICE.2021.10</v>
      </c>
      <c r="B43" t="s">
        <v>1403</v>
      </c>
      <c r="C43" t="str">
        <f t="shared" si="1"/>
        <v>10</v>
      </c>
      <c r="D43" t="str">
        <f t="shared" si="2"/>
        <v>2021</v>
      </c>
      <c r="E43" s="51" t="s">
        <v>1414</v>
      </c>
      <c r="J43">
        <v>21.35</v>
      </c>
      <c r="K43">
        <v>0</v>
      </c>
      <c r="L43">
        <v>0</v>
      </c>
      <c r="M43">
        <v>742</v>
      </c>
      <c r="N43">
        <v>0</v>
      </c>
      <c r="O43">
        <v>0</v>
      </c>
      <c r="P43">
        <v>0</v>
      </c>
      <c r="Q43">
        <v>0</v>
      </c>
      <c r="R43">
        <v>0</v>
      </c>
    </row>
    <row r="44" spans="1:18" x14ac:dyDescent="0.2">
      <c r="A44" t="str">
        <f t="shared" si="0"/>
        <v>ICE.2021.11</v>
      </c>
      <c r="B44" t="s">
        <v>1403</v>
      </c>
      <c r="C44" t="str">
        <f t="shared" si="1"/>
        <v>11</v>
      </c>
      <c r="D44" t="str">
        <f t="shared" si="2"/>
        <v>2021</v>
      </c>
      <c r="E44" s="51" t="s">
        <v>1415</v>
      </c>
      <c r="J44">
        <v>21.6</v>
      </c>
      <c r="K44">
        <v>0</v>
      </c>
      <c r="L44">
        <v>0</v>
      </c>
      <c r="M44">
        <v>742</v>
      </c>
      <c r="N44">
        <v>0</v>
      </c>
      <c r="O44">
        <v>0</v>
      </c>
      <c r="P44">
        <v>0</v>
      </c>
      <c r="Q44">
        <v>0</v>
      </c>
      <c r="R44">
        <v>0</v>
      </c>
    </row>
    <row r="45" spans="1:18" x14ac:dyDescent="0.2">
      <c r="A45" t="str">
        <f t="shared" si="0"/>
        <v>ICE.2021.12</v>
      </c>
      <c r="B45" t="s">
        <v>1403</v>
      </c>
      <c r="C45" t="str">
        <f t="shared" si="1"/>
        <v>12</v>
      </c>
      <c r="D45" t="str">
        <f t="shared" si="2"/>
        <v>2021</v>
      </c>
      <c r="E45" s="51" t="s">
        <v>1416</v>
      </c>
      <c r="J45">
        <v>24.9</v>
      </c>
      <c r="K45">
        <v>-0.05</v>
      </c>
      <c r="L45">
        <v>0</v>
      </c>
      <c r="M45">
        <v>742</v>
      </c>
      <c r="N45">
        <v>0</v>
      </c>
      <c r="O45">
        <v>0</v>
      </c>
      <c r="P45">
        <v>0</v>
      </c>
      <c r="Q45">
        <v>0</v>
      </c>
      <c r="R45">
        <v>0</v>
      </c>
    </row>
    <row r="46" spans="1:18" x14ac:dyDescent="0.2">
      <c r="A46" t="str">
        <f t="shared" si="0"/>
        <v>ICE.2022.1</v>
      </c>
      <c r="B46" t="s">
        <v>1403</v>
      </c>
      <c r="C46" t="str">
        <f t="shared" si="1"/>
        <v>1</v>
      </c>
      <c r="D46" t="str">
        <f t="shared" si="2"/>
        <v>2022</v>
      </c>
      <c r="E46" s="51" t="s">
        <v>1485</v>
      </c>
      <c r="J46">
        <v>37.6</v>
      </c>
      <c r="K46">
        <v>0</v>
      </c>
      <c r="L46">
        <v>0</v>
      </c>
      <c r="M46">
        <v>710</v>
      </c>
      <c r="N46">
        <v>0</v>
      </c>
      <c r="O46">
        <v>0</v>
      </c>
      <c r="P46">
        <v>0</v>
      </c>
      <c r="Q46">
        <v>0</v>
      </c>
      <c r="R46">
        <v>0</v>
      </c>
    </row>
    <row r="47" spans="1:18" x14ac:dyDescent="0.2">
      <c r="A47" t="str">
        <f t="shared" si="0"/>
        <v>ICE.2022.2</v>
      </c>
      <c r="B47" t="s">
        <v>1403</v>
      </c>
      <c r="C47" t="str">
        <f t="shared" si="1"/>
        <v>2</v>
      </c>
      <c r="D47" t="str">
        <f t="shared" si="2"/>
        <v>2022</v>
      </c>
      <c r="E47" s="51" t="s">
        <v>1486</v>
      </c>
      <c r="J47">
        <v>34.9</v>
      </c>
      <c r="K47">
        <v>0</v>
      </c>
      <c r="L47">
        <v>0</v>
      </c>
      <c r="M47">
        <v>710</v>
      </c>
      <c r="N47">
        <v>0</v>
      </c>
      <c r="O47">
        <v>0</v>
      </c>
      <c r="P47">
        <v>0</v>
      </c>
      <c r="Q47">
        <v>0</v>
      </c>
      <c r="R47">
        <v>0</v>
      </c>
    </row>
    <row r="48" spans="1:18" x14ac:dyDescent="0.2">
      <c r="A48" t="str">
        <f t="shared" si="0"/>
        <v>ICE.2022.3</v>
      </c>
      <c r="B48" t="s">
        <v>1403</v>
      </c>
      <c r="C48" t="str">
        <f t="shared" si="1"/>
        <v>3</v>
      </c>
      <c r="D48" t="str">
        <f t="shared" si="2"/>
        <v>2022</v>
      </c>
      <c r="E48" s="51" t="s">
        <v>1487</v>
      </c>
      <c r="J48">
        <v>28.15</v>
      </c>
      <c r="K48">
        <v>0</v>
      </c>
      <c r="L48">
        <v>0</v>
      </c>
      <c r="M48">
        <v>710</v>
      </c>
      <c r="N48">
        <v>0</v>
      </c>
      <c r="O48">
        <v>0</v>
      </c>
      <c r="P48">
        <v>0</v>
      </c>
      <c r="Q48">
        <v>0</v>
      </c>
      <c r="R48">
        <v>0</v>
      </c>
    </row>
    <row r="49" spans="1:18" x14ac:dyDescent="0.2">
      <c r="A49" t="str">
        <f t="shared" si="0"/>
        <v>ICE.2022.4</v>
      </c>
      <c r="B49" t="s">
        <v>1403</v>
      </c>
      <c r="C49" t="str">
        <f t="shared" si="1"/>
        <v>4</v>
      </c>
      <c r="D49" t="str">
        <f t="shared" si="2"/>
        <v>2022</v>
      </c>
      <c r="E49" s="51" t="s">
        <v>1488</v>
      </c>
      <c r="J49">
        <v>23.7</v>
      </c>
      <c r="K49">
        <v>0</v>
      </c>
      <c r="L49">
        <v>0</v>
      </c>
      <c r="M49">
        <v>710</v>
      </c>
      <c r="N49">
        <v>0</v>
      </c>
      <c r="O49">
        <v>0</v>
      </c>
      <c r="P49">
        <v>0</v>
      </c>
      <c r="Q49">
        <v>0</v>
      </c>
      <c r="R49">
        <v>0</v>
      </c>
    </row>
    <row r="50" spans="1:18" x14ac:dyDescent="0.2">
      <c r="A50" t="str">
        <f t="shared" si="0"/>
        <v>ICE.2022.5</v>
      </c>
      <c r="B50" t="s">
        <v>1403</v>
      </c>
      <c r="C50" t="str">
        <f t="shared" si="1"/>
        <v>5</v>
      </c>
      <c r="D50" t="str">
        <f t="shared" si="2"/>
        <v>2022</v>
      </c>
      <c r="E50" s="51" t="s">
        <v>1489</v>
      </c>
      <c r="J50">
        <v>20.85</v>
      </c>
      <c r="K50">
        <v>0</v>
      </c>
      <c r="L50">
        <v>0</v>
      </c>
      <c r="M50">
        <v>710</v>
      </c>
      <c r="N50">
        <v>0</v>
      </c>
      <c r="O50">
        <v>0</v>
      </c>
      <c r="P50">
        <v>0</v>
      </c>
      <c r="Q50">
        <v>0</v>
      </c>
      <c r="R50">
        <v>0</v>
      </c>
    </row>
    <row r="51" spans="1:18" x14ac:dyDescent="0.2">
      <c r="A51" t="str">
        <f t="shared" si="0"/>
        <v>ICE.2022.6</v>
      </c>
      <c r="B51" t="s">
        <v>1403</v>
      </c>
      <c r="C51" t="str">
        <f t="shared" si="1"/>
        <v>6</v>
      </c>
      <c r="D51" t="str">
        <f t="shared" si="2"/>
        <v>2022</v>
      </c>
      <c r="E51" s="51" t="s">
        <v>1490</v>
      </c>
      <c r="J51">
        <v>20.85</v>
      </c>
      <c r="K51">
        <v>0</v>
      </c>
      <c r="L51">
        <v>0</v>
      </c>
      <c r="M51">
        <v>735</v>
      </c>
      <c r="N51">
        <v>0</v>
      </c>
      <c r="O51">
        <v>0</v>
      </c>
      <c r="P51">
        <v>0</v>
      </c>
      <c r="Q51">
        <v>0</v>
      </c>
      <c r="R51">
        <v>0</v>
      </c>
    </row>
    <row r="52" spans="1:18" x14ac:dyDescent="0.2">
      <c r="A52" t="str">
        <f t="shared" si="0"/>
        <v>ICE.2022.7</v>
      </c>
      <c r="B52" t="s">
        <v>1403</v>
      </c>
      <c r="C52" t="str">
        <f t="shared" si="1"/>
        <v>7</v>
      </c>
      <c r="D52" t="str">
        <f t="shared" si="2"/>
        <v>2022</v>
      </c>
      <c r="E52" s="51" t="s">
        <v>1491</v>
      </c>
      <c r="J52">
        <v>23.75</v>
      </c>
      <c r="K52">
        <v>0</v>
      </c>
      <c r="L52">
        <v>0</v>
      </c>
      <c r="M52">
        <v>735</v>
      </c>
      <c r="N52">
        <v>0</v>
      </c>
      <c r="O52">
        <v>0</v>
      </c>
      <c r="P52">
        <v>0</v>
      </c>
      <c r="Q52">
        <v>0</v>
      </c>
      <c r="R52">
        <v>0</v>
      </c>
    </row>
    <row r="53" spans="1:18" x14ac:dyDescent="0.2">
      <c r="A53" t="str">
        <f t="shared" si="0"/>
        <v>ICE.2022.8</v>
      </c>
      <c r="B53" t="s">
        <v>1403</v>
      </c>
      <c r="C53" t="str">
        <f t="shared" si="1"/>
        <v>8</v>
      </c>
      <c r="D53" t="str">
        <f t="shared" si="2"/>
        <v>2022</v>
      </c>
      <c r="E53" s="51" t="s">
        <v>1492</v>
      </c>
      <c r="J53">
        <v>21.7</v>
      </c>
      <c r="K53">
        <v>0</v>
      </c>
      <c r="L53">
        <v>0</v>
      </c>
      <c r="M53">
        <v>735</v>
      </c>
      <c r="N53">
        <v>0</v>
      </c>
      <c r="O53">
        <v>0</v>
      </c>
      <c r="P53">
        <v>0</v>
      </c>
      <c r="Q53">
        <v>0</v>
      </c>
      <c r="R53">
        <v>0</v>
      </c>
    </row>
    <row r="54" spans="1:18" x14ac:dyDescent="0.2">
      <c r="A54" t="str">
        <f t="shared" si="0"/>
        <v>ICE.2022.9</v>
      </c>
      <c r="B54" t="s">
        <v>1403</v>
      </c>
      <c r="C54" t="str">
        <f t="shared" si="1"/>
        <v>9</v>
      </c>
      <c r="D54" t="str">
        <f t="shared" si="2"/>
        <v>2022</v>
      </c>
      <c r="E54" s="51" t="s">
        <v>1493</v>
      </c>
      <c r="J54">
        <v>21.15</v>
      </c>
      <c r="K54">
        <v>0</v>
      </c>
      <c r="L54">
        <v>0</v>
      </c>
      <c r="M54">
        <v>685</v>
      </c>
      <c r="N54">
        <v>0</v>
      </c>
      <c r="O54">
        <v>0</v>
      </c>
      <c r="P54">
        <v>0</v>
      </c>
      <c r="Q54">
        <v>0</v>
      </c>
      <c r="R54">
        <v>0</v>
      </c>
    </row>
    <row r="55" spans="1:18" x14ac:dyDescent="0.2">
      <c r="A55" t="str">
        <f t="shared" si="0"/>
        <v>ICE.2022.10</v>
      </c>
      <c r="B55" t="s">
        <v>1403</v>
      </c>
      <c r="C55" t="str">
        <f t="shared" si="1"/>
        <v>10</v>
      </c>
      <c r="D55" t="str">
        <f t="shared" si="2"/>
        <v>2022</v>
      </c>
      <c r="E55" s="51" t="s">
        <v>1494</v>
      </c>
      <c r="J55">
        <v>21.25</v>
      </c>
      <c r="K55">
        <v>0</v>
      </c>
      <c r="L55">
        <v>0</v>
      </c>
      <c r="M55">
        <v>685</v>
      </c>
      <c r="N55">
        <v>0</v>
      </c>
      <c r="O55">
        <v>0</v>
      </c>
      <c r="P55">
        <v>0</v>
      </c>
      <c r="Q55">
        <v>0</v>
      </c>
      <c r="R55">
        <v>0</v>
      </c>
    </row>
    <row r="56" spans="1:18" x14ac:dyDescent="0.2">
      <c r="A56" t="str">
        <f t="shared" si="0"/>
        <v>ICE.2022.11</v>
      </c>
      <c r="B56" t="s">
        <v>1403</v>
      </c>
      <c r="C56" t="str">
        <f t="shared" si="1"/>
        <v>11</v>
      </c>
      <c r="D56" t="str">
        <f t="shared" si="2"/>
        <v>2022</v>
      </c>
      <c r="E56" s="51" t="s">
        <v>1495</v>
      </c>
      <c r="J56">
        <v>21.5</v>
      </c>
      <c r="K56">
        <v>0</v>
      </c>
      <c r="L56">
        <v>0</v>
      </c>
      <c r="M56">
        <v>685</v>
      </c>
      <c r="N56">
        <v>0</v>
      </c>
      <c r="O56">
        <v>0</v>
      </c>
      <c r="P56">
        <v>0</v>
      </c>
      <c r="Q56">
        <v>0</v>
      </c>
      <c r="R56">
        <v>0</v>
      </c>
    </row>
    <row r="57" spans="1:18" x14ac:dyDescent="0.2">
      <c r="A57" t="str">
        <f t="shared" si="0"/>
        <v>ICE.2022.12</v>
      </c>
      <c r="B57" t="s">
        <v>1403</v>
      </c>
      <c r="C57" t="str">
        <f t="shared" si="1"/>
        <v>12</v>
      </c>
      <c r="D57" t="str">
        <f t="shared" si="2"/>
        <v>2022</v>
      </c>
      <c r="E57" s="51" t="s">
        <v>1496</v>
      </c>
      <c r="J57">
        <v>24.8</v>
      </c>
      <c r="K57">
        <v>0</v>
      </c>
      <c r="L57">
        <v>0</v>
      </c>
      <c r="M57">
        <v>685</v>
      </c>
      <c r="N57">
        <v>0</v>
      </c>
      <c r="O57">
        <v>0</v>
      </c>
      <c r="P57">
        <v>0</v>
      </c>
      <c r="Q57">
        <v>0</v>
      </c>
      <c r="R57">
        <v>0</v>
      </c>
    </row>
    <row r="58" spans="1:18" x14ac:dyDescent="0.2">
      <c r="A58" t="str">
        <f t="shared" si="0"/>
        <v>ICE.2023.1</v>
      </c>
      <c r="B58" t="s">
        <v>1403</v>
      </c>
      <c r="C58" t="str">
        <f t="shared" si="1"/>
        <v>1</v>
      </c>
      <c r="D58" t="str">
        <f t="shared" si="2"/>
        <v>2023</v>
      </c>
      <c r="E58" s="51" t="s">
        <v>1511</v>
      </c>
      <c r="J58">
        <v>37.65</v>
      </c>
      <c r="K58">
        <v>0</v>
      </c>
      <c r="L58">
        <v>0</v>
      </c>
      <c r="M58">
        <v>35</v>
      </c>
      <c r="N58">
        <v>0</v>
      </c>
      <c r="O58">
        <v>0</v>
      </c>
      <c r="P58">
        <v>0</v>
      </c>
      <c r="Q58">
        <v>0</v>
      </c>
      <c r="R58">
        <v>0</v>
      </c>
    </row>
    <row r="59" spans="1:18" x14ac:dyDescent="0.2">
      <c r="A59" t="str">
        <f t="shared" si="0"/>
        <v>ICE.2023.2</v>
      </c>
      <c r="B59" t="s">
        <v>1403</v>
      </c>
      <c r="C59" t="str">
        <f t="shared" si="1"/>
        <v>2</v>
      </c>
      <c r="D59" t="str">
        <f t="shared" si="2"/>
        <v>2023</v>
      </c>
      <c r="E59" s="51" t="s">
        <v>1512</v>
      </c>
      <c r="J59">
        <v>34.950000000000003</v>
      </c>
      <c r="K59">
        <v>0</v>
      </c>
      <c r="L59">
        <v>0</v>
      </c>
      <c r="M59">
        <v>35</v>
      </c>
      <c r="N59">
        <v>0</v>
      </c>
      <c r="O59">
        <v>0</v>
      </c>
      <c r="P59">
        <v>0</v>
      </c>
      <c r="Q59">
        <v>0</v>
      </c>
      <c r="R59">
        <v>0</v>
      </c>
    </row>
    <row r="60" spans="1:18" x14ac:dyDescent="0.2">
      <c r="A60" t="str">
        <f t="shared" si="0"/>
        <v>ICE.2023.3</v>
      </c>
      <c r="B60" t="s">
        <v>1403</v>
      </c>
      <c r="C60" t="str">
        <f t="shared" si="1"/>
        <v>3</v>
      </c>
      <c r="D60" t="str">
        <f t="shared" si="2"/>
        <v>2023</v>
      </c>
      <c r="E60" s="51" t="s">
        <v>1513</v>
      </c>
      <c r="J60">
        <v>28.25</v>
      </c>
      <c r="K60">
        <v>0</v>
      </c>
      <c r="L60">
        <v>0</v>
      </c>
      <c r="M60">
        <v>35</v>
      </c>
      <c r="N60">
        <v>0</v>
      </c>
      <c r="O60">
        <v>0</v>
      </c>
      <c r="P60">
        <v>0</v>
      </c>
      <c r="Q60">
        <v>0</v>
      </c>
      <c r="R60">
        <v>0</v>
      </c>
    </row>
    <row r="61" spans="1:18" x14ac:dyDescent="0.2">
      <c r="A61" t="str">
        <f t="shared" si="0"/>
        <v>ICE.2023.4</v>
      </c>
      <c r="B61" t="s">
        <v>1403</v>
      </c>
      <c r="C61" t="str">
        <f t="shared" si="1"/>
        <v>4</v>
      </c>
      <c r="D61" t="str">
        <f t="shared" si="2"/>
        <v>2023</v>
      </c>
      <c r="E61" s="51" t="s">
        <v>1514</v>
      </c>
      <c r="J61">
        <v>23.8</v>
      </c>
      <c r="K61">
        <v>0</v>
      </c>
      <c r="L61">
        <v>0</v>
      </c>
      <c r="M61">
        <v>35</v>
      </c>
      <c r="N61">
        <v>0</v>
      </c>
      <c r="O61">
        <v>0</v>
      </c>
      <c r="P61">
        <v>0</v>
      </c>
      <c r="Q61">
        <v>0</v>
      </c>
      <c r="R61">
        <v>0</v>
      </c>
    </row>
    <row r="62" spans="1:18" x14ac:dyDescent="0.2">
      <c r="A62" t="str">
        <f t="shared" si="0"/>
        <v>ICE.2023.5</v>
      </c>
      <c r="B62" t="s">
        <v>1403</v>
      </c>
      <c r="C62" t="str">
        <f t="shared" si="1"/>
        <v>5</v>
      </c>
      <c r="D62" t="str">
        <f t="shared" si="2"/>
        <v>2023</v>
      </c>
      <c r="E62" s="51" t="s">
        <v>1515</v>
      </c>
      <c r="J62">
        <v>20.65</v>
      </c>
      <c r="K62">
        <v>0</v>
      </c>
      <c r="L62">
        <v>0</v>
      </c>
      <c r="M62">
        <v>35</v>
      </c>
      <c r="N62">
        <v>0</v>
      </c>
      <c r="O62">
        <v>0</v>
      </c>
      <c r="P62">
        <v>0</v>
      </c>
      <c r="Q62">
        <v>0</v>
      </c>
      <c r="R62">
        <v>0</v>
      </c>
    </row>
    <row r="63" spans="1:18" x14ac:dyDescent="0.2">
      <c r="A63" t="str">
        <f t="shared" si="0"/>
        <v>ICE.2023.6</v>
      </c>
      <c r="B63" t="s">
        <v>1403</v>
      </c>
      <c r="C63" t="str">
        <f t="shared" si="1"/>
        <v>6</v>
      </c>
      <c r="D63" t="str">
        <f t="shared" si="2"/>
        <v>2023</v>
      </c>
      <c r="E63" s="51" t="s">
        <v>1516</v>
      </c>
      <c r="J63">
        <v>21.35</v>
      </c>
      <c r="K63">
        <v>0</v>
      </c>
      <c r="L63">
        <v>0</v>
      </c>
      <c r="M63">
        <v>35</v>
      </c>
      <c r="N63">
        <v>0</v>
      </c>
      <c r="O63">
        <v>0</v>
      </c>
      <c r="P63">
        <v>0</v>
      </c>
      <c r="Q63">
        <v>0</v>
      </c>
      <c r="R63">
        <v>0</v>
      </c>
    </row>
    <row r="64" spans="1:18" x14ac:dyDescent="0.2">
      <c r="A64" t="str">
        <f t="shared" si="0"/>
        <v>ICE.2023.7</v>
      </c>
      <c r="B64" t="s">
        <v>1403</v>
      </c>
      <c r="C64" t="str">
        <f t="shared" si="1"/>
        <v>7</v>
      </c>
      <c r="D64" t="str">
        <f t="shared" si="2"/>
        <v>2023</v>
      </c>
      <c r="E64" s="51" t="s">
        <v>1517</v>
      </c>
      <c r="J64">
        <v>23.9</v>
      </c>
      <c r="K64">
        <v>0</v>
      </c>
      <c r="L64">
        <v>0</v>
      </c>
      <c r="M64">
        <v>35</v>
      </c>
      <c r="N64">
        <v>0</v>
      </c>
      <c r="O64">
        <v>0</v>
      </c>
      <c r="P64">
        <v>0</v>
      </c>
      <c r="Q64">
        <v>0</v>
      </c>
      <c r="R64">
        <v>0</v>
      </c>
    </row>
    <row r="65" spans="1:18" x14ac:dyDescent="0.2">
      <c r="A65" t="str">
        <f t="shared" si="0"/>
        <v>ICE.2023.8</v>
      </c>
      <c r="B65" t="s">
        <v>1403</v>
      </c>
      <c r="C65" t="str">
        <f t="shared" si="1"/>
        <v>8</v>
      </c>
      <c r="D65" t="str">
        <f t="shared" si="2"/>
        <v>2023</v>
      </c>
      <c r="E65" s="51" t="s">
        <v>1518</v>
      </c>
      <c r="J65">
        <v>21.75</v>
      </c>
      <c r="K65">
        <v>0</v>
      </c>
      <c r="L65">
        <v>0</v>
      </c>
      <c r="M65">
        <v>35</v>
      </c>
      <c r="N65">
        <v>0</v>
      </c>
      <c r="O65">
        <v>0</v>
      </c>
      <c r="P65">
        <v>0</v>
      </c>
      <c r="Q65">
        <v>0</v>
      </c>
      <c r="R65">
        <v>0</v>
      </c>
    </row>
    <row r="66" spans="1:18" x14ac:dyDescent="0.2">
      <c r="A66" t="str">
        <f t="shared" si="0"/>
        <v>ICE.2023.9</v>
      </c>
      <c r="B66" t="s">
        <v>1403</v>
      </c>
      <c r="C66" t="str">
        <f t="shared" si="1"/>
        <v>9</v>
      </c>
      <c r="D66" t="str">
        <f t="shared" si="2"/>
        <v>2023</v>
      </c>
      <c r="E66" s="51" t="s">
        <v>1519</v>
      </c>
      <c r="J66">
        <v>21.1</v>
      </c>
      <c r="K66">
        <v>0</v>
      </c>
      <c r="L66">
        <v>0</v>
      </c>
      <c r="M66">
        <v>35</v>
      </c>
      <c r="N66">
        <v>0</v>
      </c>
      <c r="O66">
        <v>0</v>
      </c>
      <c r="P66">
        <v>0</v>
      </c>
      <c r="Q66">
        <v>0</v>
      </c>
      <c r="R66">
        <v>0</v>
      </c>
    </row>
    <row r="67" spans="1:18" x14ac:dyDescent="0.2">
      <c r="A67" t="str">
        <f t="shared" ref="A67:A129" si="3">B67&amp;"."&amp;D67&amp;"."&amp;C67</f>
        <v>ICE.2023.10</v>
      </c>
      <c r="B67" t="s">
        <v>1403</v>
      </c>
      <c r="C67" t="str">
        <f t="shared" ref="C67:C129" si="4">TEXT(DATEVALUE("1"&amp;E67),"M")</f>
        <v>10</v>
      </c>
      <c r="D67" t="str">
        <f t="shared" ref="D67:D129" si="5">TEXT(DATEVALUE("1"&amp;E67),"YYYY")</f>
        <v>2023</v>
      </c>
      <c r="E67" s="51" t="s">
        <v>1520</v>
      </c>
      <c r="J67">
        <v>21.3</v>
      </c>
      <c r="K67">
        <v>0</v>
      </c>
      <c r="L67">
        <v>0</v>
      </c>
      <c r="M67">
        <v>35</v>
      </c>
      <c r="N67">
        <v>0</v>
      </c>
      <c r="O67">
        <v>0</v>
      </c>
      <c r="P67">
        <v>0</v>
      </c>
      <c r="Q67">
        <v>0</v>
      </c>
      <c r="R67">
        <v>0</v>
      </c>
    </row>
    <row r="68" spans="1:18" x14ac:dyDescent="0.2">
      <c r="A68" t="str">
        <f t="shared" si="3"/>
        <v>ICE.2023.11</v>
      </c>
      <c r="B68" t="s">
        <v>1403</v>
      </c>
      <c r="C68" t="str">
        <f t="shared" si="4"/>
        <v>11</v>
      </c>
      <c r="D68" t="str">
        <f t="shared" si="5"/>
        <v>2023</v>
      </c>
      <c r="E68" s="51" t="s">
        <v>1521</v>
      </c>
      <c r="J68">
        <v>21.55</v>
      </c>
      <c r="K68">
        <v>0</v>
      </c>
      <c r="L68">
        <v>0</v>
      </c>
      <c r="M68">
        <v>35</v>
      </c>
      <c r="N68">
        <v>0</v>
      </c>
      <c r="O68">
        <v>0</v>
      </c>
      <c r="P68">
        <v>0</v>
      </c>
      <c r="Q68">
        <v>0</v>
      </c>
      <c r="R68">
        <v>0</v>
      </c>
    </row>
    <row r="69" spans="1:18" x14ac:dyDescent="0.2">
      <c r="A69" t="str">
        <f t="shared" si="3"/>
        <v>ICE.2023.12</v>
      </c>
      <c r="B69" t="s">
        <v>1403</v>
      </c>
      <c r="C69" t="str">
        <f t="shared" si="4"/>
        <v>12</v>
      </c>
      <c r="D69" t="str">
        <f t="shared" si="5"/>
        <v>2023</v>
      </c>
      <c r="E69" s="51" t="s">
        <v>1522</v>
      </c>
      <c r="J69">
        <v>24.85</v>
      </c>
      <c r="K69">
        <v>0</v>
      </c>
      <c r="L69">
        <v>0</v>
      </c>
      <c r="M69">
        <v>35</v>
      </c>
      <c r="N69">
        <v>0</v>
      </c>
      <c r="O69">
        <v>0</v>
      </c>
      <c r="P69">
        <v>0</v>
      </c>
      <c r="Q69">
        <v>0</v>
      </c>
      <c r="R69">
        <v>0</v>
      </c>
    </row>
    <row r="70" spans="1:18" x14ac:dyDescent="0.2">
      <c r="A70" t="str">
        <f t="shared" si="3"/>
        <v>ICE.2024.1</v>
      </c>
      <c r="B70" t="s">
        <v>1403</v>
      </c>
      <c r="C70" t="str">
        <f t="shared" si="4"/>
        <v>1</v>
      </c>
      <c r="D70" t="str">
        <f t="shared" si="5"/>
        <v>2024</v>
      </c>
      <c r="E70" s="51" t="s">
        <v>1523</v>
      </c>
      <c r="J70">
        <v>38.299999999999997</v>
      </c>
      <c r="K70">
        <v>0</v>
      </c>
      <c r="L70">
        <v>0</v>
      </c>
      <c r="M70">
        <v>146</v>
      </c>
      <c r="N70">
        <v>0</v>
      </c>
      <c r="O70">
        <v>0</v>
      </c>
      <c r="P70">
        <v>0</v>
      </c>
      <c r="Q70">
        <v>0</v>
      </c>
      <c r="R70">
        <v>0</v>
      </c>
    </row>
    <row r="71" spans="1:18" x14ac:dyDescent="0.2">
      <c r="A71" t="str">
        <f t="shared" si="3"/>
        <v>ICE.2024.2</v>
      </c>
      <c r="B71" t="s">
        <v>1403</v>
      </c>
      <c r="C71" t="str">
        <f t="shared" si="4"/>
        <v>2</v>
      </c>
      <c r="D71" t="str">
        <f t="shared" si="5"/>
        <v>2024</v>
      </c>
      <c r="E71" s="51" t="s">
        <v>1524</v>
      </c>
      <c r="J71">
        <v>35.450000000000003</v>
      </c>
      <c r="K71">
        <v>0</v>
      </c>
      <c r="L71">
        <v>0</v>
      </c>
      <c r="M71">
        <v>146</v>
      </c>
      <c r="N71">
        <v>0</v>
      </c>
      <c r="O71">
        <v>0</v>
      </c>
      <c r="P71">
        <v>0</v>
      </c>
      <c r="Q71">
        <v>0</v>
      </c>
      <c r="R71">
        <v>0</v>
      </c>
    </row>
    <row r="72" spans="1:18" x14ac:dyDescent="0.2">
      <c r="A72" t="str">
        <f t="shared" si="3"/>
        <v>ICE.2024.3</v>
      </c>
      <c r="B72" t="s">
        <v>1403</v>
      </c>
      <c r="C72" t="str">
        <f t="shared" si="4"/>
        <v>3</v>
      </c>
      <c r="D72" t="str">
        <f t="shared" si="5"/>
        <v>2024</v>
      </c>
      <c r="E72" s="51" t="s">
        <v>1525</v>
      </c>
      <c r="J72">
        <v>28.7</v>
      </c>
      <c r="K72">
        <v>0</v>
      </c>
      <c r="L72">
        <v>0</v>
      </c>
      <c r="M72">
        <v>146</v>
      </c>
      <c r="N72">
        <v>0</v>
      </c>
      <c r="O72">
        <v>0</v>
      </c>
      <c r="P72">
        <v>0</v>
      </c>
      <c r="Q72">
        <v>0</v>
      </c>
      <c r="R72">
        <v>0</v>
      </c>
    </row>
    <row r="73" spans="1:18" x14ac:dyDescent="0.2">
      <c r="A73" t="str">
        <f t="shared" si="3"/>
        <v>ICE.2024.4</v>
      </c>
      <c r="B73" t="s">
        <v>1403</v>
      </c>
      <c r="C73" t="str">
        <f t="shared" si="4"/>
        <v>4</v>
      </c>
      <c r="D73" t="str">
        <f t="shared" si="5"/>
        <v>2024</v>
      </c>
      <c r="E73" s="51" t="s">
        <v>1526</v>
      </c>
      <c r="J73">
        <v>24.15</v>
      </c>
      <c r="K73">
        <v>0</v>
      </c>
      <c r="L73">
        <v>0</v>
      </c>
      <c r="M73">
        <v>146</v>
      </c>
      <c r="N73">
        <v>0</v>
      </c>
      <c r="O73">
        <v>0</v>
      </c>
      <c r="P73">
        <v>0</v>
      </c>
      <c r="Q73">
        <v>0</v>
      </c>
      <c r="R73">
        <v>0</v>
      </c>
    </row>
    <row r="74" spans="1:18" x14ac:dyDescent="0.2">
      <c r="A74" t="str">
        <f t="shared" si="3"/>
        <v>ICE.2024.5</v>
      </c>
      <c r="B74" t="s">
        <v>1403</v>
      </c>
      <c r="C74" t="str">
        <f t="shared" si="4"/>
        <v>5</v>
      </c>
      <c r="D74" t="str">
        <f t="shared" si="5"/>
        <v>2024</v>
      </c>
      <c r="E74" s="51" t="s">
        <v>1527</v>
      </c>
      <c r="J74">
        <v>21.15</v>
      </c>
      <c r="K74">
        <v>0</v>
      </c>
      <c r="L74">
        <v>0</v>
      </c>
      <c r="M74">
        <v>146</v>
      </c>
      <c r="N74">
        <v>0</v>
      </c>
      <c r="O74">
        <v>0</v>
      </c>
      <c r="P74">
        <v>0</v>
      </c>
      <c r="Q74">
        <v>0</v>
      </c>
      <c r="R74">
        <v>0</v>
      </c>
    </row>
    <row r="75" spans="1:18" x14ac:dyDescent="0.2">
      <c r="A75" t="str">
        <f t="shared" si="3"/>
        <v>ICE.2024.6</v>
      </c>
      <c r="B75" t="s">
        <v>1403</v>
      </c>
      <c r="C75" t="str">
        <f t="shared" si="4"/>
        <v>6</v>
      </c>
      <c r="D75" t="str">
        <f t="shared" si="5"/>
        <v>2024</v>
      </c>
      <c r="E75" s="51" t="s">
        <v>1528</v>
      </c>
      <c r="J75">
        <v>21.45</v>
      </c>
      <c r="K75">
        <v>0</v>
      </c>
      <c r="L75">
        <v>0</v>
      </c>
      <c r="M75">
        <v>146</v>
      </c>
      <c r="N75">
        <v>0</v>
      </c>
      <c r="O75">
        <v>0</v>
      </c>
      <c r="P75">
        <v>0</v>
      </c>
      <c r="Q75">
        <v>0</v>
      </c>
      <c r="R75">
        <v>0</v>
      </c>
    </row>
    <row r="76" spans="1:18" x14ac:dyDescent="0.2">
      <c r="A76" t="str">
        <f t="shared" si="3"/>
        <v>ICE.2024.7</v>
      </c>
      <c r="B76" t="s">
        <v>1403</v>
      </c>
      <c r="C76" t="str">
        <f t="shared" si="4"/>
        <v>7</v>
      </c>
      <c r="D76" t="str">
        <f t="shared" si="5"/>
        <v>2024</v>
      </c>
      <c r="E76" s="51" t="s">
        <v>1529</v>
      </c>
      <c r="J76">
        <v>24.25</v>
      </c>
      <c r="K76">
        <v>0</v>
      </c>
      <c r="L76">
        <v>0</v>
      </c>
      <c r="M76">
        <v>146</v>
      </c>
      <c r="N76">
        <v>0</v>
      </c>
      <c r="O76">
        <v>0</v>
      </c>
      <c r="P76">
        <v>0</v>
      </c>
      <c r="Q76">
        <v>0</v>
      </c>
      <c r="R76">
        <v>0</v>
      </c>
    </row>
    <row r="77" spans="1:18" x14ac:dyDescent="0.2">
      <c r="A77" t="str">
        <f t="shared" si="3"/>
        <v>ICE.2024.8</v>
      </c>
      <c r="B77" t="s">
        <v>1403</v>
      </c>
      <c r="C77" t="str">
        <f t="shared" si="4"/>
        <v>8</v>
      </c>
      <c r="D77" t="str">
        <f t="shared" si="5"/>
        <v>2024</v>
      </c>
      <c r="E77" s="51" t="s">
        <v>1530</v>
      </c>
      <c r="J77">
        <v>22.15</v>
      </c>
      <c r="K77">
        <v>0</v>
      </c>
      <c r="L77">
        <v>0</v>
      </c>
      <c r="M77">
        <v>146</v>
      </c>
      <c r="N77">
        <v>0</v>
      </c>
      <c r="O77">
        <v>0</v>
      </c>
      <c r="P77">
        <v>0</v>
      </c>
      <c r="Q77">
        <v>0</v>
      </c>
      <c r="R77">
        <v>0</v>
      </c>
    </row>
    <row r="78" spans="1:18" x14ac:dyDescent="0.2">
      <c r="A78" t="str">
        <f t="shared" si="3"/>
        <v>ICE.2024.9</v>
      </c>
      <c r="B78" t="s">
        <v>1403</v>
      </c>
      <c r="C78" t="str">
        <f t="shared" si="4"/>
        <v>9</v>
      </c>
      <c r="D78" t="str">
        <f t="shared" si="5"/>
        <v>2024</v>
      </c>
      <c r="E78" s="51" t="s">
        <v>1531</v>
      </c>
      <c r="J78">
        <v>21.3</v>
      </c>
      <c r="K78">
        <v>0</v>
      </c>
      <c r="L78">
        <v>0</v>
      </c>
      <c r="M78">
        <v>146</v>
      </c>
      <c r="N78">
        <v>0</v>
      </c>
      <c r="O78">
        <v>0</v>
      </c>
      <c r="P78">
        <v>0</v>
      </c>
      <c r="Q78">
        <v>0</v>
      </c>
      <c r="R78">
        <v>0</v>
      </c>
    </row>
    <row r="79" spans="1:18" x14ac:dyDescent="0.2">
      <c r="A79" t="str">
        <f t="shared" si="3"/>
        <v>ICE.2024.10</v>
      </c>
      <c r="B79" t="s">
        <v>1403</v>
      </c>
      <c r="C79" t="str">
        <f t="shared" si="4"/>
        <v>10</v>
      </c>
      <c r="D79" t="str">
        <f t="shared" si="5"/>
        <v>2024</v>
      </c>
      <c r="E79" s="51" t="s">
        <v>1532</v>
      </c>
      <c r="J79">
        <v>21.7</v>
      </c>
      <c r="K79">
        <v>0</v>
      </c>
      <c r="L79">
        <v>0</v>
      </c>
      <c r="M79">
        <v>146</v>
      </c>
      <c r="N79">
        <v>0</v>
      </c>
      <c r="O79">
        <v>0</v>
      </c>
      <c r="P79">
        <v>0</v>
      </c>
      <c r="Q79">
        <v>0</v>
      </c>
      <c r="R79">
        <v>0</v>
      </c>
    </row>
    <row r="80" spans="1:18" x14ac:dyDescent="0.2">
      <c r="A80" t="str">
        <f t="shared" si="3"/>
        <v>ICE.2024.11</v>
      </c>
      <c r="B80" t="s">
        <v>1403</v>
      </c>
      <c r="C80" t="str">
        <f t="shared" si="4"/>
        <v>11</v>
      </c>
      <c r="D80" t="str">
        <f t="shared" si="5"/>
        <v>2024</v>
      </c>
      <c r="E80" s="51" t="s">
        <v>1533</v>
      </c>
      <c r="J80">
        <v>21.95</v>
      </c>
      <c r="K80">
        <v>0</v>
      </c>
      <c r="L80">
        <v>0</v>
      </c>
      <c r="M80">
        <v>146</v>
      </c>
      <c r="N80">
        <v>0</v>
      </c>
      <c r="O80">
        <v>0</v>
      </c>
      <c r="P80">
        <v>0</v>
      </c>
      <c r="Q80">
        <v>0</v>
      </c>
      <c r="R80">
        <v>0</v>
      </c>
    </row>
    <row r="81" spans="1:18" x14ac:dyDescent="0.2">
      <c r="A81" t="str">
        <f t="shared" si="3"/>
        <v>ICE.2024.12</v>
      </c>
      <c r="B81" t="s">
        <v>1403</v>
      </c>
      <c r="C81" t="str">
        <f t="shared" si="4"/>
        <v>12</v>
      </c>
      <c r="D81" t="str">
        <f t="shared" si="5"/>
        <v>2024</v>
      </c>
      <c r="E81" s="51" t="s">
        <v>1534</v>
      </c>
      <c r="J81">
        <v>25.25</v>
      </c>
      <c r="K81">
        <v>0</v>
      </c>
      <c r="L81">
        <v>0</v>
      </c>
      <c r="M81">
        <v>146</v>
      </c>
      <c r="N81">
        <v>0</v>
      </c>
      <c r="O81">
        <v>0</v>
      </c>
      <c r="P81">
        <v>0</v>
      </c>
      <c r="Q81">
        <v>0</v>
      </c>
      <c r="R81">
        <v>0</v>
      </c>
    </row>
    <row r="82" spans="1:18" x14ac:dyDescent="0.2">
      <c r="A82" t="str">
        <f t="shared" si="3"/>
        <v>ICE.2025.1</v>
      </c>
      <c r="B82" t="s">
        <v>1403</v>
      </c>
      <c r="C82" t="str">
        <f t="shared" si="4"/>
        <v>1</v>
      </c>
      <c r="D82" t="str">
        <f t="shared" si="5"/>
        <v>2025</v>
      </c>
      <c r="E82" s="51" t="s">
        <v>1538</v>
      </c>
      <c r="J82">
        <v>39.1</v>
      </c>
      <c r="K82">
        <v>0</v>
      </c>
      <c r="L82">
        <v>0</v>
      </c>
      <c r="M82">
        <v>10</v>
      </c>
      <c r="N82">
        <v>0</v>
      </c>
      <c r="O82">
        <v>0</v>
      </c>
      <c r="P82">
        <v>0</v>
      </c>
      <c r="Q82">
        <v>0</v>
      </c>
      <c r="R82">
        <v>0</v>
      </c>
    </row>
    <row r="83" spans="1:18" x14ac:dyDescent="0.2">
      <c r="A83" t="str">
        <f t="shared" si="3"/>
        <v>ICE.2025.2</v>
      </c>
      <c r="B83" t="s">
        <v>1403</v>
      </c>
      <c r="C83" t="str">
        <f t="shared" si="4"/>
        <v>2</v>
      </c>
      <c r="D83" t="str">
        <f t="shared" si="5"/>
        <v>2025</v>
      </c>
      <c r="E83" s="51" t="s">
        <v>1539</v>
      </c>
      <c r="J83">
        <v>36.299999999999997</v>
      </c>
      <c r="K83">
        <v>0</v>
      </c>
      <c r="L83">
        <v>0</v>
      </c>
      <c r="M83">
        <v>10</v>
      </c>
      <c r="N83">
        <v>0</v>
      </c>
      <c r="O83">
        <v>0</v>
      </c>
      <c r="P83">
        <v>0</v>
      </c>
      <c r="Q83">
        <v>0</v>
      </c>
      <c r="R83">
        <v>0</v>
      </c>
    </row>
    <row r="84" spans="1:18" x14ac:dyDescent="0.2">
      <c r="A84" t="str">
        <f t="shared" si="3"/>
        <v>ICE.2025.3</v>
      </c>
      <c r="B84" t="s">
        <v>1403</v>
      </c>
      <c r="C84" t="str">
        <f t="shared" si="4"/>
        <v>3</v>
      </c>
      <c r="D84" t="str">
        <f t="shared" si="5"/>
        <v>2025</v>
      </c>
      <c r="E84" s="51" t="s">
        <v>1540</v>
      </c>
      <c r="J84">
        <v>29.35</v>
      </c>
      <c r="K84">
        <v>0</v>
      </c>
      <c r="L84">
        <v>0</v>
      </c>
      <c r="M84">
        <v>10</v>
      </c>
      <c r="N84">
        <v>0</v>
      </c>
      <c r="O84">
        <v>0</v>
      </c>
      <c r="P84">
        <v>0</v>
      </c>
      <c r="Q84">
        <v>0</v>
      </c>
      <c r="R84">
        <v>0</v>
      </c>
    </row>
    <row r="85" spans="1:18" x14ac:dyDescent="0.2">
      <c r="A85" t="str">
        <f t="shared" si="3"/>
        <v>ICE.2025.4</v>
      </c>
      <c r="B85" t="s">
        <v>1403</v>
      </c>
      <c r="C85" t="str">
        <f t="shared" si="4"/>
        <v>4</v>
      </c>
      <c r="D85" t="str">
        <f t="shared" si="5"/>
        <v>2025</v>
      </c>
      <c r="E85" s="51" t="s">
        <v>1541</v>
      </c>
      <c r="J85">
        <v>24.7</v>
      </c>
      <c r="K85">
        <v>0</v>
      </c>
      <c r="L85">
        <v>0</v>
      </c>
      <c r="M85">
        <v>10</v>
      </c>
      <c r="N85">
        <v>0</v>
      </c>
      <c r="O85">
        <v>0</v>
      </c>
      <c r="P85">
        <v>0</v>
      </c>
      <c r="Q85">
        <v>0</v>
      </c>
      <c r="R85">
        <v>0</v>
      </c>
    </row>
    <row r="86" spans="1:18" x14ac:dyDescent="0.2">
      <c r="A86" t="str">
        <f t="shared" si="3"/>
        <v>ICE.2025.5</v>
      </c>
      <c r="B86" t="s">
        <v>1403</v>
      </c>
      <c r="C86" t="str">
        <f t="shared" si="4"/>
        <v>5</v>
      </c>
      <c r="D86" t="str">
        <f t="shared" si="5"/>
        <v>2025</v>
      </c>
      <c r="E86" s="51" t="s">
        <v>1542</v>
      </c>
      <c r="J86">
        <v>21.7</v>
      </c>
      <c r="K86">
        <v>0</v>
      </c>
      <c r="L86">
        <v>0</v>
      </c>
      <c r="M86">
        <v>10</v>
      </c>
      <c r="N86">
        <v>0</v>
      </c>
      <c r="O86">
        <v>0</v>
      </c>
      <c r="P86">
        <v>0</v>
      </c>
      <c r="Q86">
        <v>0</v>
      </c>
      <c r="R86">
        <v>0</v>
      </c>
    </row>
    <row r="87" spans="1:18" x14ac:dyDescent="0.2">
      <c r="A87" t="str">
        <f t="shared" si="3"/>
        <v>ICE.2025.6</v>
      </c>
      <c r="B87" t="s">
        <v>1403</v>
      </c>
      <c r="C87" t="str">
        <f t="shared" si="4"/>
        <v>6</v>
      </c>
      <c r="D87" t="str">
        <f t="shared" si="5"/>
        <v>2025</v>
      </c>
      <c r="E87" s="51" t="s">
        <v>1543</v>
      </c>
      <c r="J87">
        <v>22</v>
      </c>
      <c r="K87">
        <v>0</v>
      </c>
      <c r="L87">
        <v>0</v>
      </c>
      <c r="M87">
        <v>10</v>
      </c>
      <c r="N87">
        <v>0</v>
      </c>
      <c r="O87">
        <v>0</v>
      </c>
      <c r="P87">
        <v>0</v>
      </c>
      <c r="Q87">
        <v>0</v>
      </c>
      <c r="R87">
        <v>0</v>
      </c>
    </row>
    <row r="88" spans="1:18" x14ac:dyDescent="0.2">
      <c r="A88" t="str">
        <f t="shared" si="3"/>
        <v>ICE.2025.7</v>
      </c>
      <c r="B88" t="s">
        <v>1403</v>
      </c>
      <c r="C88" t="str">
        <f t="shared" si="4"/>
        <v>7</v>
      </c>
      <c r="D88" t="str">
        <f t="shared" si="5"/>
        <v>2025</v>
      </c>
      <c r="E88" s="51" t="s">
        <v>1544</v>
      </c>
      <c r="J88">
        <v>24.8</v>
      </c>
      <c r="K88">
        <v>0</v>
      </c>
      <c r="L88">
        <v>0</v>
      </c>
      <c r="M88">
        <v>10</v>
      </c>
      <c r="N88">
        <v>0</v>
      </c>
      <c r="O88">
        <v>0</v>
      </c>
      <c r="P88">
        <v>0</v>
      </c>
      <c r="Q88">
        <v>0</v>
      </c>
      <c r="R88">
        <v>0</v>
      </c>
    </row>
    <row r="89" spans="1:18" x14ac:dyDescent="0.2">
      <c r="A89" t="str">
        <f t="shared" si="3"/>
        <v>ICE.2025.8</v>
      </c>
      <c r="B89" t="s">
        <v>1403</v>
      </c>
      <c r="C89" t="str">
        <f t="shared" si="4"/>
        <v>8</v>
      </c>
      <c r="D89" t="str">
        <f t="shared" si="5"/>
        <v>2025</v>
      </c>
      <c r="E89" s="51" t="s">
        <v>1545</v>
      </c>
      <c r="J89">
        <v>22.6</v>
      </c>
      <c r="K89">
        <v>0</v>
      </c>
      <c r="L89">
        <v>0</v>
      </c>
      <c r="M89">
        <v>10</v>
      </c>
      <c r="N89">
        <v>0</v>
      </c>
      <c r="O89">
        <v>0</v>
      </c>
      <c r="P89">
        <v>0</v>
      </c>
      <c r="Q89">
        <v>0</v>
      </c>
      <c r="R89">
        <v>0</v>
      </c>
    </row>
    <row r="90" spans="1:18" x14ac:dyDescent="0.2">
      <c r="A90" t="str">
        <f t="shared" si="3"/>
        <v>ICE.2025.9</v>
      </c>
      <c r="B90" t="s">
        <v>1403</v>
      </c>
      <c r="C90" t="str">
        <f t="shared" si="4"/>
        <v>9</v>
      </c>
      <c r="D90" t="str">
        <f t="shared" si="5"/>
        <v>2025</v>
      </c>
      <c r="E90" s="51" t="s">
        <v>1546</v>
      </c>
      <c r="J90">
        <v>21.85</v>
      </c>
      <c r="K90">
        <v>0</v>
      </c>
      <c r="L90">
        <v>0</v>
      </c>
      <c r="M90">
        <v>10</v>
      </c>
      <c r="N90">
        <v>0</v>
      </c>
      <c r="O90">
        <v>0</v>
      </c>
      <c r="P90">
        <v>0</v>
      </c>
      <c r="Q90">
        <v>0</v>
      </c>
      <c r="R90">
        <v>0</v>
      </c>
    </row>
    <row r="91" spans="1:18" x14ac:dyDescent="0.2">
      <c r="A91" t="str">
        <f t="shared" si="3"/>
        <v>ICE.2025.10</v>
      </c>
      <c r="B91" t="s">
        <v>1403</v>
      </c>
      <c r="C91" t="str">
        <f t="shared" si="4"/>
        <v>10</v>
      </c>
      <c r="D91" t="str">
        <f t="shared" si="5"/>
        <v>2025</v>
      </c>
      <c r="E91" s="51" t="s">
        <v>1547</v>
      </c>
      <c r="J91">
        <v>22.1</v>
      </c>
      <c r="K91">
        <v>0</v>
      </c>
      <c r="L91">
        <v>0</v>
      </c>
      <c r="M91">
        <v>10</v>
      </c>
      <c r="N91">
        <v>0</v>
      </c>
      <c r="O91">
        <v>0</v>
      </c>
      <c r="P91">
        <v>0</v>
      </c>
      <c r="Q91">
        <v>0</v>
      </c>
      <c r="R91">
        <v>0</v>
      </c>
    </row>
    <row r="92" spans="1:18" x14ac:dyDescent="0.2">
      <c r="A92" t="str">
        <f t="shared" si="3"/>
        <v>ICE.2025.11</v>
      </c>
      <c r="B92" t="s">
        <v>1403</v>
      </c>
      <c r="C92" t="str">
        <f t="shared" si="4"/>
        <v>11</v>
      </c>
      <c r="D92" t="str">
        <f t="shared" si="5"/>
        <v>2025</v>
      </c>
      <c r="E92" s="51" t="s">
        <v>1548</v>
      </c>
      <c r="J92">
        <v>22.35</v>
      </c>
      <c r="K92">
        <v>0</v>
      </c>
      <c r="L92">
        <v>0</v>
      </c>
      <c r="M92">
        <v>10</v>
      </c>
      <c r="N92">
        <v>0</v>
      </c>
      <c r="O92">
        <v>0</v>
      </c>
      <c r="P92">
        <v>0</v>
      </c>
      <c r="Q92">
        <v>0</v>
      </c>
      <c r="R92">
        <v>0</v>
      </c>
    </row>
    <row r="93" spans="1:18" x14ac:dyDescent="0.2">
      <c r="A93" t="str">
        <f t="shared" si="3"/>
        <v>ICE.2025.12</v>
      </c>
      <c r="B93" t="s">
        <v>1403</v>
      </c>
      <c r="C93" t="str">
        <f t="shared" si="4"/>
        <v>12</v>
      </c>
      <c r="D93" t="str">
        <f t="shared" si="5"/>
        <v>2025</v>
      </c>
      <c r="E93" s="51" t="s">
        <v>1549</v>
      </c>
      <c r="J93">
        <v>25.85</v>
      </c>
      <c r="K93">
        <v>0</v>
      </c>
      <c r="L93">
        <v>0</v>
      </c>
      <c r="M93">
        <v>10</v>
      </c>
      <c r="N93">
        <v>0</v>
      </c>
      <c r="O93">
        <v>0</v>
      </c>
      <c r="P93">
        <v>0</v>
      </c>
      <c r="Q93">
        <v>0</v>
      </c>
      <c r="R93">
        <v>0</v>
      </c>
    </row>
    <row r="94" spans="1:18" x14ac:dyDescent="0.2">
      <c r="A94" t="str">
        <f t="shared" si="3"/>
        <v>ICE.2026.1</v>
      </c>
      <c r="B94" t="s">
        <v>1403</v>
      </c>
      <c r="C94" t="str">
        <f t="shared" si="4"/>
        <v>1</v>
      </c>
      <c r="D94" t="str">
        <f t="shared" si="5"/>
        <v>2026</v>
      </c>
      <c r="E94" s="51" t="s">
        <v>1550</v>
      </c>
      <c r="J94">
        <v>40.1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</row>
    <row r="95" spans="1:18" x14ac:dyDescent="0.2">
      <c r="A95" t="str">
        <f t="shared" si="3"/>
        <v>ICE.2026.2</v>
      </c>
      <c r="B95" t="s">
        <v>1403</v>
      </c>
      <c r="C95" t="str">
        <f t="shared" si="4"/>
        <v>2</v>
      </c>
      <c r="D95" t="str">
        <f t="shared" si="5"/>
        <v>2026</v>
      </c>
      <c r="E95" s="51" t="s">
        <v>1551</v>
      </c>
      <c r="J95">
        <v>37.25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</row>
    <row r="96" spans="1:18" x14ac:dyDescent="0.2">
      <c r="A96" t="str">
        <f t="shared" si="3"/>
        <v>ICE.2026.3</v>
      </c>
      <c r="B96" t="s">
        <v>1403</v>
      </c>
      <c r="C96" t="str">
        <f t="shared" si="4"/>
        <v>3</v>
      </c>
      <c r="D96" t="str">
        <f t="shared" si="5"/>
        <v>2026</v>
      </c>
      <c r="E96" s="51" t="s">
        <v>1552</v>
      </c>
      <c r="J96">
        <v>30.1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</row>
    <row r="97" spans="1:18" x14ac:dyDescent="0.2">
      <c r="A97" t="str">
        <f t="shared" si="3"/>
        <v>ICE.2026.4</v>
      </c>
      <c r="B97" t="s">
        <v>1403</v>
      </c>
      <c r="C97" t="str">
        <f t="shared" si="4"/>
        <v>4</v>
      </c>
      <c r="D97" t="str">
        <f t="shared" si="5"/>
        <v>2026</v>
      </c>
      <c r="E97" s="51" t="s">
        <v>1553</v>
      </c>
      <c r="J97">
        <v>25.35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</row>
    <row r="98" spans="1:18" x14ac:dyDescent="0.2">
      <c r="A98" t="str">
        <f t="shared" si="3"/>
        <v>ICE.2026.5</v>
      </c>
      <c r="B98" t="s">
        <v>1403</v>
      </c>
      <c r="C98" t="str">
        <f t="shared" si="4"/>
        <v>5</v>
      </c>
      <c r="D98" t="str">
        <f t="shared" si="5"/>
        <v>2026</v>
      </c>
      <c r="E98" s="51" t="s">
        <v>1554</v>
      </c>
      <c r="J98">
        <v>22.5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</row>
    <row r="99" spans="1:18" x14ac:dyDescent="0.2">
      <c r="A99" t="str">
        <f t="shared" si="3"/>
        <v>ICE.2026.6</v>
      </c>
      <c r="B99" t="s">
        <v>1403</v>
      </c>
      <c r="C99" t="str">
        <f t="shared" si="4"/>
        <v>6</v>
      </c>
      <c r="D99" t="str">
        <f t="shared" si="5"/>
        <v>2026</v>
      </c>
      <c r="E99" s="51" t="s">
        <v>1555</v>
      </c>
      <c r="J99">
        <v>22.8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</row>
    <row r="100" spans="1:18" x14ac:dyDescent="0.2">
      <c r="A100" t="str">
        <f t="shared" si="3"/>
        <v>ICE.2026.7</v>
      </c>
      <c r="B100" t="s">
        <v>1403</v>
      </c>
      <c r="C100" t="str">
        <f t="shared" si="4"/>
        <v>7</v>
      </c>
      <c r="D100" t="str">
        <f t="shared" si="5"/>
        <v>2026</v>
      </c>
      <c r="E100" s="51" t="s">
        <v>1556</v>
      </c>
      <c r="J100">
        <v>25.45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</row>
    <row r="101" spans="1:18" x14ac:dyDescent="0.2">
      <c r="A101" t="str">
        <f t="shared" si="3"/>
        <v>ICE.2026.8</v>
      </c>
      <c r="B101" t="s">
        <v>1403</v>
      </c>
      <c r="C101" t="str">
        <f t="shared" si="4"/>
        <v>8</v>
      </c>
      <c r="D101" t="str">
        <f t="shared" si="5"/>
        <v>2026</v>
      </c>
      <c r="E101" s="51" t="s">
        <v>1557</v>
      </c>
      <c r="J101">
        <v>23.2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</row>
    <row r="102" spans="1:18" x14ac:dyDescent="0.2">
      <c r="A102" t="str">
        <f t="shared" si="3"/>
        <v>ICE.2026.9</v>
      </c>
      <c r="B102" t="s">
        <v>1403</v>
      </c>
      <c r="C102" t="str">
        <f t="shared" si="4"/>
        <v>9</v>
      </c>
      <c r="D102" t="str">
        <f t="shared" si="5"/>
        <v>2026</v>
      </c>
      <c r="E102" s="51" t="s">
        <v>1558</v>
      </c>
      <c r="J102">
        <v>22.3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</row>
    <row r="103" spans="1:18" x14ac:dyDescent="0.2">
      <c r="A103" t="str">
        <f t="shared" si="3"/>
        <v>ICE.2026.10</v>
      </c>
      <c r="B103" t="s">
        <v>1403</v>
      </c>
      <c r="C103" t="str">
        <f t="shared" si="4"/>
        <v>10</v>
      </c>
      <c r="D103" t="str">
        <f t="shared" si="5"/>
        <v>2026</v>
      </c>
      <c r="E103" s="51" t="s">
        <v>1559</v>
      </c>
      <c r="J103">
        <v>22.7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</row>
    <row r="104" spans="1:18" x14ac:dyDescent="0.2">
      <c r="A104" t="str">
        <f t="shared" si="3"/>
        <v>ICE.2026.11</v>
      </c>
      <c r="B104" t="s">
        <v>1403</v>
      </c>
      <c r="C104" t="str">
        <f t="shared" si="4"/>
        <v>11</v>
      </c>
      <c r="D104" t="str">
        <f t="shared" si="5"/>
        <v>2026</v>
      </c>
      <c r="E104" s="51" t="s">
        <v>1560</v>
      </c>
      <c r="J104">
        <v>23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</row>
    <row r="105" spans="1:18" x14ac:dyDescent="0.2">
      <c r="A105" t="str">
        <f t="shared" si="3"/>
        <v>ICE.2026.12</v>
      </c>
      <c r="B105" t="s">
        <v>1403</v>
      </c>
      <c r="C105" t="str">
        <f t="shared" si="4"/>
        <v>12</v>
      </c>
      <c r="D105" t="str">
        <f t="shared" si="5"/>
        <v>2026</v>
      </c>
      <c r="E105" s="51" t="s">
        <v>1561</v>
      </c>
      <c r="J105">
        <v>26.5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</row>
    <row r="106" spans="1:18" x14ac:dyDescent="0.2">
      <c r="A106" t="str">
        <f t="shared" si="3"/>
        <v>ICE.2027.1</v>
      </c>
      <c r="B106" t="s">
        <v>1403</v>
      </c>
      <c r="C106" t="str">
        <f t="shared" si="4"/>
        <v>1</v>
      </c>
      <c r="D106" t="str">
        <f t="shared" si="5"/>
        <v>2027</v>
      </c>
      <c r="E106" s="51" t="s">
        <v>1562</v>
      </c>
      <c r="J106">
        <v>41.2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</row>
    <row r="107" spans="1:18" x14ac:dyDescent="0.2">
      <c r="A107" t="str">
        <f t="shared" si="3"/>
        <v>ICE.2027.2</v>
      </c>
      <c r="B107" t="s">
        <v>1403</v>
      </c>
      <c r="C107" t="str">
        <f t="shared" si="4"/>
        <v>2</v>
      </c>
      <c r="D107" t="str">
        <f t="shared" si="5"/>
        <v>2027</v>
      </c>
      <c r="E107" s="51" t="s">
        <v>1563</v>
      </c>
      <c r="J107">
        <v>38.25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</row>
    <row r="108" spans="1:18" x14ac:dyDescent="0.2">
      <c r="A108" t="str">
        <f t="shared" si="3"/>
        <v>ICE.2027.3</v>
      </c>
      <c r="B108" t="s">
        <v>1403</v>
      </c>
      <c r="C108" t="str">
        <f t="shared" si="4"/>
        <v>3</v>
      </c>
      <c r="D108" t="str">
        <f t="shared" si="5"/>
        <v>2027</v>
      </c>
      <c r="E108" s="51" t="s">
        <v>1564</v>
      </c>
      <c r="J108">
        <v>30.9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</row>
    <row r="109" spans="1:18" x14ac:dyDescent="0.2">
      <c r="A109" t="str">
        <f t="shared" si="3"/>
        <v>ICE.2027.4</v>
      </c>
      <c r="B109" t="s">
        <v>1403</v>
      </c>
      <c r="C109" t="str">
        <f t="shared" si="4"/>
        <v>4</v>
      </c>
      <c r="D109" t="str">
        <f t="shared" si="5"/>
        <v>2027</v>
      </c>
      <c r="E109" s="51" t="s">
        <v>1565</v>
      </c>
      <c r="J109">
        <v>26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</row>
    <row r="110" spans="1:18" x14ac:dyDescent="0.2">
      <c r="A110" t="str">
        <f t="shared" si="3"/>
        <v>ICE.2027.5</v>
      </c>
      <c r="B110" t="s">
        <v>1403</v>
      </c>
      <c r="C110" t="str">
        <f t="shared" si="4"/>
        <v>5</v>
      </c>
      <c r="D110" t="str">
        <f t="shared" si="5"/>
        <v>2027</v>
      </c>
      <c r="E110" s="51" t="s">
        <v>1566</v>
      </c>
      <c r="J110">
        <v>23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</row>
    <row r="111" spans="1:18" x14ac:dyDescent="0.2">
      <c r="A111" t="str">
        <f t="shared" si="3"/>
        <v>ICE.2027.6</v>
      </c>
      <c r="B111" t="s">
        <v>1403</v>
      </c>
      <c r="C111" t="str">
        <f t="shared" si="4"/>
        <v>6</v>
      </c>
      <c r="D111" t="str">
        <f t="shared" si="5"/>
        <v>2027</v>
      </c>
      <c r="E111" s="51" t="s">
        <v>1567</v>
      </c>
      <c r="J111">
        <v>23.3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</row>
    <row r="112" spans="1:18" x14ac:dyDescent="0.2">
      <c r="A112" t="str">
        <f t="shared" si="3"/>
        <v>ICE.2027.7</v>
      </c>
      <c r="B112" t="s">
        <v>1403</v>
      </c>
      <c r="C112" t="str">
        <f t="shared" si="4"/>
        <v>7</v>
      </c>
      <c r="D112" t="str">
        <f t="shared" si="5"/>
        <v>2027</v>
      </c>
      <c r="E112" s="51" t="s">
        <v>1568</v>
      </c>
      <c r="J112">
        <v>26.15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</row>
    <row r="113" spans="1:18" x14ac:dyDescent="0.2">
      <c r="A113" t="str">
        <f t="shared" si="3"/>
        <v>ICE.2027.8</v>
      </c>
      <c r="B113" t="s">
        <v>1403</v>
      </c>
      <c r="C113" t="str">
        <f t="shared" si="4"/>
        <v>8</v>
      </c>
      <c r="D113" t="str">
        <f t="shared" si="5"/>
        <v>2027</v>
      </c>
      <c r="E113" s="51" t="s">
        <v>1569</v>
      </c>
      <c r="J113">
        <v>23.8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</row>
    <row r="114" spans="1:18" x14ac:dyDescent="0.2">
      <c r="A114" t="str">
        <f t="shared" si="3"/>
        <v>ICE.2027.9</v>
      </c>
      <c r="B114" t="s">
        <v>1403</v>
      </c>
      <c r="C114" t="str">
        <f t="shared" si="4"/>
        <v>9</v>
      </c>
      <c r="D114" t="str">
        <f t="shared" si="5"/>
        <v>2027</v>
      </c>
      <c r="E114" s="51" t="s">
        <v>1570</v>
      </c>
      <c r="J114">
        <v>23.2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</row>
    <row r="115" spans="1:18" x14ac:dyDescent="0.2">
      <c r="A115" t="str">
        <f t="shared" si="3"/>
        <v>ICE.2027.10</v>
      </c>
      <c r="B115" t="s">
        <v>1403</v>
      </c>
      <c r="C115" t="str">
        <f t="shared" si="4"/>
        <v>10</v>
      </c>
      <c r="D115" t="str">
        <f t="shared" si="5"/>
        <v>2027</v>
      </c>
      <c r="E115" s="51" t="s">
        <v>1571</v>
      </c>
      <c r="J115">
        <v>23.35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</row>
    <row r="116" spans="1:18" x14ac:dyDescent="0.2">
      <c r="A116" t="str">
        <f t="shared" si="3"/>
        <v>ICE.2027.11</v>
      </c>
      <c r="B116" t="s">
        <v>1403</v>
      </c>
      <c r="C116" t="str">
        <f t="shared" si="4"/>
        <v>11</v>
      </c>
      <c r="D116" t="str">
        <f t="shared" si="5"/>
        <v>2027</v>
      </c>
      <c r="E116" s="51" t="s">
        <v>1572</v>
      </c>
      <c r="J116">
        <v>23.6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</row>
    <row r="117" spans="1:18" x14ac:dyDescent="0.2">
      <c r="A117" t="str">
        <f t="shared" si="3"/>
        <v>ICE.2027.12</v>
      </c>
      <c r="B117" t="s">
        <v>1403</v>
      </c>
      <c r="C117" t="str">
        <f t="shared" si="4"/>
        <v>12</v>
      </c>
      <c r="D117" t="str">
        <f t="shared" si="5"/>
        <v>2027</v>
      </c>
      <c r="E117" s="51" t="s">
        <v>1573</v>
      </c>
      <c r="J117">
        <v>27.2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</row>
    <row r="118" spans="1:18" x14ac:dyDescent="0.2">
      <c r="A118" t="str">
        <f t="shared" si="3"/>
        <v>ICE.2028.1</v>
      </c>
      <c r="B118" t="s">
        <v>1403</v>
      </c>
      <c r="C118" t="str">
        <f t="shared" si="4"/>
        <v>1</v>
      </c>
      <c r="D118" t="str">
        <f t="shared" si="5"/>
        <v>2028</v>
      </c>
      <c r="E118" s="51" t="s">
        <v>1574</v>
      </c>
      <c r="J118">
        <v>43.5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</row>
    <row r="119" spans="1:18" x14ac:dyDescent="0.2">
      <c r="A119" t="str">
        <f t="shared" si="3"/>
        <v>ICE.2028.2</v>
      </c>
      <c r="B119" t="s">
        <v>1403</v>
      </c>
      <c r="C119" t="str">
        <f t="shared" si="4"/>
        <v>2</v>
      </c>
      <c r="D119" t="str">
        <f t="shared" si="5"/>
        <v>2028</v>
      </c>
      <c r="E119" s="51" t="s">
        <v>1575</v>
      </c>
      <c r="J119">
        <v>40.450000000000003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</row>
    <row r="120" spans="1:18" x14ac:dyDescent="0.2">
      <c r="A120" t="str">
        <f t="shared" si="3"/>
        <v>ICE.2028.3</v>
      </c>
      <c r="B120" t="s">
        <v>1403</v>
      </c>
      <c r="C120" t="str">
        <f t="shared" si="4"/>
        <v>3</v>
      </c>
      <c r="D120" t="str">
        <f t="shared" si="5"/>
        <v>2028</v>
      </c>
      <c r="E120" s="51" t="s">
        <v>1576</v>
      </c>
      <c r="J120">
        <v>32.549999999999997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</row>
    <row r="121" spans="1:18" x14ac:dyDescent="0.2">
      <c r="A121" t="str">
        <f t="shared" si="3"/>
        <v>ICE.2028.4</v>
      </c>
      <c r="B121" t="s">
        <v>1403</v>
      </c>
      <c r="C121" t="str">
        <f t="shared" si="4"/>
        <v>4</v>
      </c>
      <c r="D121" t="str">
        <f t="shared" si="5"/>
        <v>2028</v>
      </c>
      <c r="E121" s="51" t="s">
        <v>1577</v>
      </c>
      <c r="J121">
        <v>27.4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</row>
    <row r="122" spans="1:18" x14ac:dyDescent="0.2">
      <c r="A122" t="str">
        <f t="shared" si="3"/>
        <v>ICE.2028.5</v>
      </c>
      <c r="B122" t="s">
        <v>1403</v>
      </c>
      <c r="C122" t="str">
        <f t="shared" si="4"/>
        <v>5</v>
      </c>
      <c r="D122" t="str">
        <f t="shared" si="5"/>
        <v>2028</v>
      </c>
      <c r="E122" s="51" t="s">
        <v>1578</v>
      </c>
      <c r="J122">
        <v>24.2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</row>
    <row r="123" spans="1:18" x14ac:dyDescent="0.2">
      <c r="A123" t="str">
        <f t="shared" si="3"/>
        <v>ICE.2028.6</v>
      </c>
      <c r="B123" t="s">
        <v>1403</v>
      </c>
      <c r="C123" t="str">
        <f t="shared" si="4"/>
        <v>6</v>
      </c>
      <c r="D123" t="str">
        <f t="shared" si="5"/>
        <v>2028</v>
      </c>
      <c r="E123" s="51" t="s">
        <v>1579</v>
      </c>
      <c r="J123">
        <v>24.55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</row>
    <row r="124" spans="1:18" x14ac:dyDescent="0.2">
      <c r="A124" t="str">
        <f t="shared" si="3"/>
        <v>ICE.2028.7</v>
      </c>
      <c r="B124" t="s">
        <v>1403</v>
      </c>
      <c r="C124" t="str">
        <f t="shared" si="4"/>
        <v>7</v>
      </c>
      <c r="D124" t="str">
        <f t="shared" si="5"/>
        <v>2028</v>
      </c>
      <c r="E124" s="51" t="s">
        <v>1580</v>
      </c>
      <c r="J124">
        <v>27.5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</row>
    <row r="125" spans="1:18" x14ac:dyDescent="0.2">
      <c r="A125" t="str">
        <f t="shared" si="3"/>
        <v>ICE.2028.8</v>
      </c>
      <c r="B125" t="s">
        <v>1403</v>
      </c>
      <c r="C125" t="str">
        <f t="shared" si="4"/>
        <v>8</v>
      </c>
      <c r="D125" t="str">
        <f t="shared" si="5"/>
        <v>2028</v>
      </c>
      <c r="E125" s="51" t="s">
        <v>1581</v>
      </c>
      <c r="J125">
        <v>25.1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</row>
    <row r="126" spans="1:18" x14ac:dyDescent="0.2">
      <c r="A126" t="str">
        <f t="shared" si="3"/>
        <v>ICE.2028.9</v>
      </c>
      <c r="B126" t="s">
        <v>1403</v>
      </c>
      <c r="C126" t="str">
        <f t="shared" si="4"/>
        <v>9</v>
      </c>
      <c r="D126" t="str">
        <f t="shared" si="5"/>
        <v>2028</v>
      </c>
      <c r="E126" s="51" t="s">
        <v>1582</v>
      </c>
      <c r="J126">
        <v>24.4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</row>
    <row r="127" spans="1:18" x14ac:dyDescent="0.2">
      <c r="A127" t="str">
        <f t="shared" si="3"/>
        <v>ICE.2028.10</v>
      </c>
      <c r="B127" t="s">
        <v>1403</v>
      </c>
      <c r="C127" t="str">
        <f t="shared" si="4"/>
        <v>10</v>
      </c>
      <c r="D127" t="str">
        <f t="shared" si="5"/>
        <v>2028</v>
      </c>
      <c r="E127" s="51" t="s">
        <v>1583</v>
      </c>
      <c r="J127">
        <v>24.6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</row>
    <row r="128" spans="1:18" x14ac:dyDescent="0.2">
      <c r="A128" t="str">
        <f t="shared" si="3"/>
        <v>ICE.2028.11</v>
      </c>
      <c r="B128" t="s">
        <v>1403</v>
      </c>
      <c r="C128" t="str">
        <f t="shared" si="4"/>
        <v>11</v>
      </c>
      <c r="D128" t="str">
        <f t="shared" si="5"/>
        <v>2028</v>
      </c>
      <c r="E128" s="51" t="s">
        <v>1584</v>
      </c>
      <c r="J128">
        <v>24.9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</row>
    <row r="129" spans="1:18" x14ac:dyDescent="0.2">
      <c r="A129" t="str">
        <f t="shared" si="3"/>
        <v>ICE.2028.12</v>
      </c>
      <c r="B129" t="s">
        <v>1403</v>
      </c>
      <c r="C129" t="str">
        <f t="shared" si="4"/>
        <v>12</v>
      </c>
      <c r="D129" t="str">
        <f t="shared" si="5"/>
        <v>2028</v>
      </c>
      <c r="E129" s="51" t="s">
        <v>1585</v>
      </c>
      <c r="J129">
        <v>28.7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JMOffPeakPrevious"/>
  <dimension ref="A1:F75"/>
  <sheetViews>
    <sheetView workbookViewId="0">
      <selection activeCell="E28" sqref="E28"/>
    </sheetView>
  </sheetViews>
  <sheetFormatPr defaultRowHeight="12.75" x14ac:dyDescent="0.2"/>
  <cols>
    <col min="1" max="1" width="81.140625" bestFit="1" customWidth="1"/>
  </cols>
  <sheetData>
    <row r="1" spans="1:6" s="1" customFormat="1" x14ac:dyDescent="0.2">
      <c r="A1" s="1" t="s">
        <v>1020</v>
      </c>
      <c r="C1" s="1" t="s">
        <v>1444</v>
      </c>
      <c r="D1" s="1" t="s">
        <v>1445</v>
      </c>
      <c r="E1" s="1" t="s">
        <v>976</v>
      </c>
      <c r="F1" s="45">
        <v>41221</v>
      </c>
    </row>
    <row r="2" spans="1:6" x14ac:dyDescent="0.2">
      <c r="A2" t="s">
        <v>436</v>
      </c>
      <c r="B2" t="s">
        <v>1446</v>
      </c>
      <c r="C2">
        <v>0</v>
      </c>
      <c r="D2">
        <v>0</v>
      </c>
      <c r="E2">
        <v>0</v>
      </c>
    </row>
    <row r="3" spans="1:6" x14ac:dyDescent="0.2">
      <c r="A3" t="s">
        <v>437</v>
      </c>
      <c r="B3" t="s">
        <v>1446</v>
      </c>
      <c r="C3">
        <v>0</v>
      </c>
      <c r="D3">
        <v>0</v>
      </c>
      <c r="E3">
        <v>2544</v>
      </c>
    </row>
    <row r="4" spans="1:6" x14ac:dyDescent="0.2">
      <c r="A4" t="s">
        <v>438</v>
      </c>
      <c r="B4" t="s">
        <v>1446</v>
      </c>
      <c r="C4">
        <v>0</v>
      </c>
      <c r="D4">
        <v>0</v>
      </c>
      <c r="E4">
        <v>1960</v>
      </c>
    </row>
    <row r="5" spans="1:6" x14ac:dyDescent="0.2">
      <c r="A5" t="s">
        <v>439</v>
      </c>
      <c r="B5" t="s">
        <v>1446</v>
      </c>
      <c r="C5">
        <v>0</v>
      </c>
      <c r="D5">
        <v>0</v>
      </c>
      <c r="E5">
        <v>1760</v>
      </c>
    </row>
    <row r="6" spans="1:6" x14ac:dyDescent="0.2">
      <c r="A6" t="s">
        <v>440</v>
      </c>
      <c r="B6" t="s">
        <v>1446</v>
      </c>
      <c r="C6">
        <v>0</v>
      </c>
      <c r="D6">
        <v>0</v>
      </c>
      <c r="E6">
        <v>4070</v>
      </c>
    </row>
    <row r="7" spans="1:6" x14ac:dyDescent="0.2">
      <c r="A7" t="s">
        <v>441</v>
      </c>
      <c r="B7" t="s">
        <v>1446</v>
      </c>
      <c r="C7">
        <v>0</v>
      </c>
      <c r="D7">
        <v>0</v>
      </c>
      <c r="E7">
        <v>3680</v>
      </c>
    </row>
    <row r="8" spans="1:6" x14ac:dyDescent="0.2">
      <c r="A8" t="s">
        <v>482</v>
      </c>
      <c r="B8" t="s">
        <v>1446</v>
      </c>
      <c r="C8">
        <v>0</v>
      </c>
      <c r="D8">
        <v>0</v>
      </c>
      <c r="E8">
        <v>1568</v>
      </c>
    </row>
    <row r="9" spans="1:6" x14ac:dyDescent="0.2">
      <c r="A9" t="s">
        <v>483</v>
      </c>
      <c r="B9" t="s">
        <v>1446</v>
      </c>
      <c r="C9">
        <v>0</v>
      </c>
      <c r="D9">
        <v>0</v>
      </c>
      <c r="E9">
        <v>1600</v>
      </c>
    </row>
    <row r="10" spans="1:6" x14ac:dyDescent="0.2">
      <c r="A10" t="s">
        <v>484</v>
      </c>
      <c r="B10" t="s">
        <v>1446</v>
      </c>
      <c r="C10">
        <v>0</v>
      </c>
      <c r="D10">
        <v>0</v>
      </c>
      <c r="E10">
        <v>1568</v>
      </c>
    </row>
    <row r="11" spans="1:6" x14ac:dyDescent="0.2">
      <c r="A11" t="s">
        <v>485</v>
      </c>
      <c r="B11" t="s">
        <v>1446</v>
      </c>
      <c r="C11">
        <v>0</v>
      </c>
      <c r="D11">
        <v>0</v>
      </c>
      <c r="E11">
        <v>1568</v>
      </c>
    </row>
    <row r="12" spans="1:6" x14ac:dyDescent="0.2">
      <c r="A12" t="s">
        <v>486</v>
      </c>
      <c r="B12" t="s">
        <v>1446</v>
      </c>
      <c r="C12">
        <v>0</v>
      </c>
      <c r="D12">
        <v>0</v>
      </c>
      <c r="E12">
        <v>1600</v>
      </c>
    </row>
    <row r="13" spans="1:6" x14ac:dyDescent="0.2">
      <c r="A13" t="s">
        <v>487</v>
      </c>
      <c r="B13" t="s">
        <v>1446</v>
      </c>
      <c r="C13">
        <v>0</v>
      </c>
      <c r="D13">
        <v>0</v>
      </c>
      <c r="E13">
        <v>2256</v>
      </c>
    </row>
    <row r="14" spans="1:6" x14ac:dyDescent="0.2">
      <c r="A14" t="s">
        <v>488</v>
      </c>
      <c r="B14" t="s">
        <v>1446</v>
      </c>
      <c r="C14">
        <v>0</v>
      </c>
      <c r="D14">
        <v>0</v>
      </c>
      <c r="E14">
        <v>2406</v>
      </c>
    </row>
    <row r="15" spans="1:6" x14ac:dyDescent="0.2">
      <c r="A15" t="s">
        <v>489</v>
      </c>
      <c r="B15" t="s">
        <v>1446</v>
      </c>
      <c r="C15">
        <v>0</v>
      </c>
      <c r="D15">
        <v>0</v>
      </c>
      <c r="E15">
        <v>2448</v>
      </c>
    </row>
    <row r="16" spans="1:6" x14ac:dyDescent="0.2">
      <c r="A16" t="s">
        <v>490</v>
      </c>
      <c r="B16" t="s">
        <v>1446</v>
      </c>
      <c r="C16">
        <v>0</v>
      </c>
      <c r="D16">
        <v>0</v>
      </c>
      <c r="E16">
        <v>392</v>
      </c>
    </row>
    <row r="17" spans="1:5" x14ac:dyDescent="0.2">
      <c r="A17" t="s">
        <v>491</v>
      </c>
      <c r="B17" t="s">
        <v>1446</v>
      </c>
      <c r="C17">
        <v>0</v>
      </c>
      <c r="D17">
        <v>0</v>
      </c>
      <c r="E17">
        <v>352</v>
      </c>
    </row>
    <row r="18" spans="1:5" x14ac:dyDescent="0.2">
      <c r="A18" t="s">
        <v>492</v>
      </c>
      <c r="B18" t="s">
        <v>1446</v>
      </c>
      <c r="C18">
        <v>0</v>
      </c>
      <c r="D18">
        <v>0</v>
      </c>
      <c r="E18">
        <v>407</v>
      </c>
    </row>
    <row r="19" spans="1:5" x14ac:dyDescent="0.2">
      <c r="A19" t="s">
        <v>493</v>
      </c>
      <c r="B19" t="s">
        <v>1446</v>
      </c>
      <c r="C19">
        <v>0</v>
      </c>
      <c r="D19">
        <v>0</v>
      </c>
      <c r="E19">
        <v>368</v>
      </c>
    </row>
    <row r="20" spans="1:5" x14ac:dyDescent="0.2">
      <c r="A20" t="s">
        <v>494</v>
      </c>
      <c r="B20" t="s">
        <v>1446</v>
      </c>
      <c r="C20">
        <v>0</v>
      </c>
      <c r="D20">
        <v>0</v>
      </c>
      <c r="E20">
        <v>408</v>
      </c>
    </row>
    <row r="21" spans="1:5" x14ac:dyDescent="0.2">
      <c r="A21" t="s">
        <v>495</v>
      </c>
      <c r="B21" t="s">
        <v>1446</v>
      </c>
      <c r="C21">
        <v>0</v>
      </c>
      <c r="D21">
        <v>0</v>
      </c>
      <c r="E21">
        <v>384</v>
      </c>
    </row>
    <row r="22" spans="1:5" x14ac:dyDescent="0.2">
      <c r="A22" t="s">
        <v>496</v>
      </c>
      <c r="B22" t="s">
        <v>1446</v>
      </c>
      <c r="C22">
        <v>0</v>
      </c>
      <c r="D22">
        <v>0</v>
      </c>
      <c r="E22">
        <v>392</v>
      </c>
    </row>
    <row r="23" spans="1:5" x14ac:dyDescent="0.2">
      <c r="A23" t="s">
        <v>497</v>
      </c>
      <c r="B23" t="s">
        <v>1446</v>
      </c>
      <c r="C23">
        <v>0</v>
      </c>
      <c r="D23">
        <v>0</v>
      </c>
      <c r="E23">
        <v>408</v>
      </c>
    </row>
    <row r="24" spans="1:5" x14ac:dyDescent="0.2">
      <c r="A24" t="s">
        <v>498</v>
      </c>
      <c r="B24" t="s">
        <v>1446</v>
      </c>
      <c r="C24">
        <v>0</v>
      </c>
      <c r="D24">
        <v>0</v>
      </c>
      <c r="E24">
        <v>384</v>
      </c>
    </row>
    <row r="25" spans="1:5" x14ac:dyDescent="0.2">
      <c r="A25" t="s">
        <v>499</v>
      </c>
      <c r="B25" t="s">
        <v>1446</v>
      </c>
      <c r="C25">
        <v>0</v>
      </c>
      <c r="D25">
        <v>0</v>
      </c>
      <c r="E25">
        <v>376</v>
      </c>
    </row>
    <row r="26" spans="1:5" x14ac:dyDescent="0.2">
      <c r="A26" t="s">
        <v>500</v>
      </c>
      <c r="B26" t="s">
        <v>1446</v>
      </c>
      <c r="C26">
        <v>0</v>
      </c>
      <c r="D26">
        <v>0</v>
      </c>
      <c r="E26">
        <v>417</v>
      </c>
    </row>
    <row r="27" spans="1:5" x14ac:dyDescent="0.2">
      <c r="A27" t="s">
        <v>501</v>
      </c>
      <c r="B27" t="s">
        <v>1446</v>
      </c>
      <c r="C27">
        <v>0</v>
      </c>
      <c r="D27">
        <v>0</v>
      </c>
      <c r="E27">
        <v>392</v>
      </c>
    </row>
    <row r="28" spans="1:5" x14ac:dyDescent="0.2">
      <c r="A28" t="s">
        <v>502</v>
      </c>
      <c r="B28" t="s">
        <v>1446</v>
      </c>
      <c r="C28">
        <v>0</v>
      </c>
      <c r="D28">
        <v>0</v>
      </c>
      <c r="E28">
        <v>1632</v>
      </c>
    </row>
    <row r="29" spans="1:5" x14ac:dyDescent="0.2">
      <c r="A29" t="s">
        <v>503</v>
      </c>
      <c r="B29" t="s">
        <v>1446</v>
      </c>
      <c r="C29">
        <v>0</v>
      </c>
      <c r="D29">
        <v>0</v>
      </c>
      <c r="E29">
        <v>1408</v>
      </c>
    </row>
    <row r="30" spans="1:5" x14ac:dyDescent="0.2">
      <c r="A30" t="s">
        <v>504</v>
      </c>
      <c r="B30" t="s">
        <v>1446</v>
      </c>
      <c r="C30">
        <v>0</v>
      </c>
      <c r="D30">
        <v>0</v>
      </c>
      <c r="E30">
        <v>1564</v>
      </c>
    </row>
    <row r="31" spans="1:5" x14ac:dyDescent="0.2">
      <c r="A31" t="s">
        <v>505</v>
      </c>
      <c r="B31" t="s">
        <v>1446</v>
      </c>
      <c r="C31">
        <v>0</v>
      </c>
      <c r="D31">
        <v>0</v>
      </c>
      <c r="E31">
        <v>1472</v>
      </c>
    </row>
    <row r="32" spans="1:5" x14ac:dyDescent="0.2">
      <c r="A32" t="s">
        <v>506</v>
      </c>
      <c r="B32" t="s">
        <v>1446</v>
      </c>
      <c r="C32">
        <v>0</v>
      </c>
      <c r="D32">
        <v>0</v>
      </c>
      <c r="E32">
        <v>1696</v>
      </c>
    </row>
    <row r="33" spans="1:5" x14ac:dyDescent="0.2">
      <c r="A33" t="s">
        <v>507</v>
      </c>
      <c r="B33" t="s">
        <v>1446</v>
      </c>
      <c r="C33">
        <v>0</v>
      </c>
      <c r="D33">
        <v>0</v>
      </c>
      <c r="E33">
        <v>1472</v>
      </c>
    </row>
    <row r="34" spans="1:5" x14ac:dyDescent="0.2">
      <c r="A34" t="s">
        <v>508</v>
      </c>
      <c r="B34" t="s">
        <v>1446</v>
      </c>
      <c r="C34">
        <v>0</v>
      </c>
      <c r="D34">
        <v>0</v>
      </c>
      <c r="E34">
        <v>1504</v>
      </c>
    </row>
    <row r="35" spans="1:5" x14ac:dyDescent="0.2">
      <c r="A35" t="s">
        <v>509</v>
      </c>
      <c r="B35" t="s">
        <v>1446</v>
      </c>
      <c r="C35">
        <v>0</v>
      </c>
      <c r="D35">
        <v>0</v>
      </c>
      <c r="E35">
        <v>1632</v>
      </c>
    </row>
    <row r="36" spans="1:5" x14ac:dyDescent="0.2">
      <c r="A36" t="s">
        <v>510</v>
      </c>
      <c r="B36" t="s">
        <v>1446</v>
      </c>
      <c r="C36">
        <v>0</v>
      </c>
      <c r="D36">
        <v>0</v>
      </c>
      <c r="E36">
        <v>1536</v>
      </c>
    </row>
    <row r="37" spans="1:5" x14ac:dyDescent="0.2">
      <c r="A37" t="s">
        <v>511</v>
      </c>
      <c r="B37" t="s">
        <v>1446</v>
      </c>
      <c r="C37">
        <v>0</v>
      </c>
      <c r="D37">
        <v>0</v>
      </c>
      <c r="E37">
        <v>1568</v>
      </c>
    </row>
    <row r="38" spans="1:5" x14ac:dyDescent="0.2">
      <c r="A38" t="s">
        <v>512</v>
      </c>
      <c r="B38" t="s">
        <v>1446</v>
      </c>
      <c r="C38">
        <v>0</v>
      </c>
      <c r="D38">
        <v>0</v>
      </c>
      <c r="E38">
        <v>1604</v>
      </c>
    </row>
    <row r="39" spans="1:5" x14ac:dyDescent="0.2">
      <c r="A39" t="s">
        <v>513</v>
      </c>
      <c r="B39" t="s">
        <v>1446</v>
      </c>
      <c r="C39">
        <v>0</v>
      </c>
      <c r="D39">
        <v>0</v>
      </c>
      <c r="E39">
        <v>1568</v>
      </c>
    </row>
    <row r="40" spans="1:5" x14ac:dyDescent="0.2">
      <c r="A40" t="s">
        <v>514</v>
      </c>
      <c r="B40" t="s">
        <v>1446</v>
      </c>
      <c r="C40">
        <v>0</v>
      </c>
      <c r="D40">
        <v>0</v>
      </c>
      <c r="E40">
        <v>0</v>
      </c>
    </row>
    <row r="41" spans="1:5" x14ac:dyDescent="0.2">
      <c r="A41" t="s">
        <v>515</v>
      </c>
      <c r="B41" t="s">
        <v>1446</v>
      </c>
      <c r="C41">
        <v>0</v>
      </c>
      <c r="D41">
        <v>0</v>
      </c>
      <c r="E41">
        <v>0</v>
      </c>
    </row>
    <row r="42" spans="1:5" x14ac:dyDescent="0.2">
      <c r="A42" t="s">
        <v>516</v>
      </c>
      <c r="B42" t="s">
        <v>1446</v>
      </c>
      <c r="C42">
        <v>0</v>
      </c>
      <c r="D42">
        <v>0</v>
      </c>
      <c r="E42">
        <v>0</v>
      </c>
    </row>
    <row r="43" spans="1:5" x14ac:dyDescent="0.2">
      <c r="A43" t="s">
        <v>517</v>
      </c>
      <c r="B43" t="s">
        <v>1446</v>
      </c>
      <c r="C43">
        <v>0</v>
      </c>
      <c r="D43">
        <v>0</v>
      </c>
      <c r="E43">
        <v>0</v>
      </c>
    </row>
    <row r="44" spans="1:5" x14ac:dyDescent="0.2">
      <c r="A44" t="s">
        <v>518</v>
      </c>
      <c r="B44" t="s">
        <v>1446</v>
      </c>
      <c r="C44">
        <v>0</v>
      </c>
      <c r="D44">
        <v>0</v>
      </c>
      <c r="E44">
        <v>0</v>
      </c>
    </row>
    <row r="45" spans="1:5" x14ac:dyDescent="0.2">
      <c r="A45" t="s">
        <v>519</v>
      </c>
      <c r="B45" t="s">
        <v>1446</v>
      </c>
      <c r="C45">
        <v>0</v>
      </c>
      <c r="D45">
        <v>0</v>
      </c>
      <c r="E45">
        <v>0</v>
      </c>
    </row>
    <row r="46" spans="1:5" x14ac:dyDescent="0.2">
      <c r="A46" t="s">
        <v>520</v>
      </c>
      <c r="B46" t="s">
        <v>1446</v>
      </c>
      <c r="C46">
        <v>0</v>
      </c>
      <c r="D46">
        <v>0</v>
      </c>
      <c r="E46">
        <v>0</v>
      </c>
    </row>
    <row r="47" spans="1:5" x14ac:dyDescent="0.2">
      <c r="A47" t="s">
        <v>521</v>
      </c>
      <c r="B47" t="s">
        <v>1446</v>
      </c>
      <c r="C47">
        <v>0</v>
      </c>
      <c r="D47">
        <v>0</v>
      </c>
      <c r="E47">
        <v>0</v>
      </c>
    </row>
    <row r="48" spans="1:5" x14ac:dyDescent="0.2">
      <c r="A48" t="s">
        <v>522</v>
      </c>
      <c r="B48" t="s">
        <v>1446</v>
      </c>
      <c r="C48">
        <v>0</v>
      </c>
      <c r="D48">
        <v>0</v>
      </c>
      <c r="E48">
        <v>0</v>
      </c>
    </row>
    <row r="49" spans="1:5" x14ac:dyDescent="0.2">
      <c r="A49" t="s">
        <v>523</v>
      </c>
      <c r="B49" t="s">
        <v>1446</v>
      </c>
      <c r="C49">
        <v>0</v>
      </c>
      <c r="D49">
        <v>0</v>
      </c>
      <c r="E49">
        <v>0</v>
      </c>
    </row>
    <row r="50" spans="1:5" x14ac:dyDescent="0.2">
      <c r="A50" t="s">
        <v>524</v>
      </c>
      <c r="B50" t="s">
        <v>1446</v>
      </c>
      <c r="C50">
        <v>0</v>
      </c>
      <c r="D50">
        <v>0</v>
      </c>
      <c r="E50">
        <v>0</v>
      </c>
    </row>
    <row r="51" spans="1:5" x14ac:dyDescent="0.2">
      <c r="A51" t="s">
        <v>525</v>
      </c>
      <c r="B51" t="s">
        <v>1446</v>
      </c>
      <c r="C51">
        <v>0</v>
      </c>
      <c r="D51">
        <v>0</v>
      </c>
      <c r="E51">
        <v>0</v>
      </c>
    </row>
    <row r="52" spans="1:5" x14ac:dyDescent="0.2">
      <c r="A52" t="s">
        <v>526</v>
      </c>
      <c r="B52" t="s">
        <v>1446</v>
      </c>
      <c r="C52">
        <v>0</v>
      </c>
      <c r="D52">
        <v>0</v>
      </c>
      <c r="E52">
        <v>0</v>
      </c>
    </row>
    <row r="53" spans="1:5" x14ac:dyDescent="0.2">
      <c r="A53" t="s">
        <v>527</v>
      </c>
      <c r="B53" t="s">
        <v>1446</v>
      </c>
      <c r="C53">
        <v>0</v>
      </c>
      <c r="D53">
        <v>0</v>
      </c>
      <c r="E53">
        <v>0</v>
      </c>
    </row>
    <row r="54" spans="1:5" x14ac:dyDescent="0.2">
      <c r="A54" t="s">
        <v>528</v>
      </c>
      <c r="B54" t="s">
        <v>1446</v>
      </c>
      <c r="C54">
        <v>0</v>
      </c>
      <c r="D54">
        <v>0</v>
      </c>
      <c r="E54">
        <v>0</v>
      </c>
    </row>
    <row r="55" spans="1:5" x14ac:dyDescent="0.2">
      <c r="A55" t="s">
        <v>529</v>
      </c>
      <c r="B55" t="s">
        <v>1446</v>
      </c>
      <c r="C55">
        <v>0</v>
      </c>
      <c r="D55">
        <v>0</v>
      </c>
      <c r="E55">
        <v>0</v>
      </c>
    </row>
    <row r="56" spans="1:5" x14ac:dyDescent="0.2">
      <c r="A56" t="s">
        <v>530</v>
      </c>
      <c r="B56" t="s">
        <v>1446</v>
      </c>
      <c r="C56">
        <v>0</v>
      </c>
      <c r="D56">
        <v>0</v>
      </c>
      <c r="E56">
        <v>0</v>
      </c>
    </row>
    <row r="57" spans="1:5" x14ac:dyDescent="0.2">
      <c r="A57" t="s">
        <v>531</v>
      </c>
      <c r="B57" t="s">
        <v>1446</v>
      </c>
      <c r="C57">
        <v>0</v>
      </c>
      <c r="D57">
        <v>0</v>
      </c>
      <c r="E57">
        <v>0</v>
      </c>
    </row>
    <row r="58" spans="1:5" x14ac:dyDescent="0.2">
      <c r="A58" t="s">
        <v>532</v>
      </c>
      <c r="B58" t="s">
        <v>1446</v>
      </c>
      <c r="C58">
        <v>0</v>
      </c>
      <c r="D58">
        <v>0</v>
      </c>
      <c r="E58">
        <v>0</v>
      </c>
    </row>
    <row r="59" spans="1:5" x14ac:dyDescent="0.2">
      <c r="A59" t="s">
        <v>533</v>
      </c>
      <c r="B59" t="s">
        <v>1446</v>
      </c>
      <c r="C59">
        <v>0</v>
      </c>
      <c r="D59">
        <v>0</v>
      </c>
      <c r="E59">
        <v>0</v>
      </c>
    </row>
    <row r="60" spans="1:5" x14ac:dyDescent="0.2">
      <c r="A60" t="s">
        <v>534</v>
      </c>
      <c r="B60" t="s">
        <v>1446</v>
      </c>
      <c r="C60">
        <v>0</v>
      </c>
      <c r="D60">
        <v>0</v>
      </c>
      <c r="E60">
        <v>0</v>
      </c>
    </row>
    <row r="61" spans="1:5" x14ac:dyDescent="0.2">
      <c r="A61" t="s">
        <v>535</v>
      </c>
      <c r="B61" t="s">
        <v>1446</v>
      </c>
      <c r="C61">
        <v>0</v>
      </c>
      <c r="D61">
        <v>0</v>
      </c>
      <c r="E61">
        <v>0</v>
      </c>
    </row>
    <row r="62" spans="1:5" x14ac:dyDescent="0.2">
      <c r="A62" t="s">
        <v>536</v>
      </c>
      <c r="B62" t="s">
        <v>1446</v>
      </c>
      <c r="C62">
        <v>0</v>
      </c>
      <c r="D62">
        <v>0</v>
      </c>
      <c r="E62">
        <v>0</v>
      </c>
    </row>
    <row r="63" spans="1:5" x14ac:dyDescent="0.2">
      <c r="A63" t="s">
        <v>537</v>
      </c>
      <c r="B63" t="s">
        <v>1446</v>
      </c>
      <c r="C63">
        <v>0</v>
      </c>
      <c r="D63">
        <v>0</v>
      </c>
      <c r="E63">
        <v>0</v>
      </c>
    </row>
    <row r="64" spans="1:5" x14ac:dyDescent="0.2">
      <c r="A64" t="s">
        <v>538</v>
      </c>
      <c r="B64" t="s">
        <v>1446</v>
      </c>
      <c r="C64">
        <v>0</v>
      </c>
      <c r="D64">
        <v>0</v>
      </c>
      <c r="E64">
        <v>0</v>
      </c>
    </row>
    <row r="65" spans="1:5" x14ac:dyDescent="0.2">
      <c r="A65" t="s">
        <v>539</v>
      </c>
      <c r="B65" t="s">
        <v>1446</v>
      </c>
      <c r="C65">
        <v>0</v>
      </c>
      <c r="D65">
        <v>0</v>
      </c>
      <c r="E65">
        <v>0</v>
      </c>
    </row>
    <row r="66" spans="1:5" x14ac:dyDescent="0.2">
      <c r="A66" t="s">
        <v>540</v>
      </c>
      <c r="B66" t="s">
        <v>1446</v>
      </c>
      <c r="C66">
        <v>0</v>
      </c>
      <c r="D66">
        <v>0</v>
      </c>
      <c r="E66">
        <v>0</v>
      </c>
    </row>
    <row r="67" spans="1:5" x14ac:dyDescent="0.2">
      <c r="A67" t="s">
        <v>541</v>
      </c>
      <c r="B67" t="s">
        <v>1446</v>
      </c>
      <c r="C67">
        <v>0</v>
      </c>
      <c r="D67">
        <v>0</v>
      </c>
      <c r="E67">
        <v>0</v>
      </c>
    </row>
    <row r="68" spans="1:5" x14ac:dyDescent="0.2">
      <c r="A68" t="s">
        <v>542</v>
      </c>
      <c r="B68" t="s">
        <v>1446</v>
      </c>
      <c r="C68">
        <v>0</v>
      </c>
      <c r="D68">
        <v>0</v>
      </c>
      <c r="E68">
        <v>0</v>
      </c>
    </row>
    <row r="69" spans="1:5" x14ac:dyDescent="0.2">
      <c r="A69" t="s">
        <v>543</v>
      </c>
      <c r="B69" t="s">
        <v>1446</v>
      </c>
      <c r="C69">
        <v>0</v>
      </c>
      <c r="D69">
        <v>0</v>
      </c>
      <c r="E69">
        <v>0</v>
      </c>
    </row>
    <row r="70" spans="1:5" x14ac:dyDescent="0.2">
      <c r="A70" t="s">
        <v>544</v>
      </c>
      <c r="B70" t="s">
        <v>1446</v>
      </c>
      <c r="C70">
        <v>0</v>
      </c>
      <c r="D70">
        <v>0</v>
      </c>
      <c r="E70">
        <v>0</v>
      </c>
    </row>
    <row r="71" spans="1:5" x14ac:dyDescent="0.2">
      <c r="A71" t="s">
        <v>545</v>
      </c>
      <c r="B71" t="s">
        <v>1446</v>
      </c>
      <c r="C71">
        <v>0</v>
      </c>
      <c r="D71">
        <v>0</v>
      </c>
      <c r="E71">
        <v>0</v>
      </c>
    </row>
    <row r="72" spans="1:5" x14ac:dyDescent="0.2">
      <c r="A72" t="s">
        <v>546</v>
      </c>
      <c r="B72" t="s">
        <v>1446</v>
      </c>
      <c r="C72">
        <v>0</v>
      </c>
      <c r="D72">
        <v>0</v>
      </c>
      <c r="E72">
        <v>0</v>
      </c>
    </row>
    <row r="73" spans="1:5" x14ac:dyDescent="0.2">
      <c r="A73" t="s">
        <v>547</v>
      </c>
      <c r="B73" t="s">
        <v>1446</v>
      </c>
      <c r="C73">
        <v>0</v>
      </c>
      <c r="D73">
        <v>0</v>
      </c>
      <c r="E73">
        <v>0</v>
      </c>
    </row>
    <row r="74" spans="1:5" x14ac:dyDescent="0.2">
      <c r="A74" t="s">
        <v>548</v>
      </c>
      <c r="B74" t="s">
        <v>1446</v>
      </c>
      <c r="C74">
        <v>0</v>
      </c>
      <c r="D74">
        <v>0</v>
      </c>
      <c r="E74">
        <v>0</v>
      </c>
    </row>
    <row r="75" spans="1:5" x14ac:dyDescent="0.2">
      <c r="A75" t="s">
        <v>549</v>
      </c>
      <c r="B75" t="s">
        <v>1446</v>
      </c>
      <c r="C75">
        <v>0</v>
      </c>
      <c r="D75">
        <v>0</v>
      </c>
      <c r="E75">
        <v>0</v>
      </c>
    </row>
  </sheetData>
  <dataConsolidate/>
  <phoneticPr fontId="2" type="noConversion"/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P15OnPeak"/>
  <dimension ref="A1:T117"/>
  <sheetViews>
    <sheetView workbookViewId="0">
      <selection activeCell="B1" sqref="B1"/>
    </sheetView>
  </sheetViews>
  <sheetFormatPr defaultRowHeight="12.75" x14ac:dyDescent="0.2"/>
  <cols>
    <col min="1" max="1" width="11.140625" bestFit="1" customWidth="1"/>
    <col min="2" max="2" width="8.5703125" bestFit="1" customWidth="1"/>
    <col min="3" max="3" width="5.7109375" bestFit="1" customWidth="1"/>
    <col min="4" max="4" width="5.140625" bestFit="1" customWidth="1"/>
    <col min="5" max="5" width="7.7109375" bestFit="1" customWidth="1"/>
    <col min="6" max="9" width="6" bestFit="1" customWidth="1"/>
    <col min="10" max="10" width="10.85546875" bestFit="1" customWidth="1"/>
    <col min="11" max="12" width="8" bestFit="1" customWidth="1"/>
    <col min="13" max="13" width="8.7109375" bestFit="1" customWidth="1"/>
    <col min="14" max="14" width="10.5703125" bestFit="1" customWidth="1"/>
    <col min="15" max="16" width="4.5703125" bestFit="1" customWidth="1"/>
    <col min="17" max="17" width="9.5703125" bestFit="1" customWidth="1"/>
    <col min="18" max="18" width="11.140625" bestFit="1" customWidth="1"/>
  </cols>
  <sheetData>
    <row r="1" spans="1:20" s="1" customFormat="1" x14ac:dyDescent="0.2">
      <c r="A1" s="1" t="s">
        <v>1404</v>
      </c>
      <c r="B1" s="1" t="s">
        <v>1402</v>
      </c>
      <c r="C1" s="1" t="s">
        <v>974</v>
      </c>
      <c r="D1" s="1" t="s">
        <v>980</v>
      </c>
      <c r="E1" s="50" t="s">
        <v>1364</v>
      </c>
      <c r="F1" s="45" t="s">
        <v>1365</v>
      </c>
      <c r="G1" s="1" t="s">
        <v>1366</v>
      </c>
      <c r="H1" s="1" t="s">
        <v>1367</v>
      </c>
      <c r="I1" s="1" t="s">
        <v>1368</v>
      </c>
      <c r="J1" s="1" t="s">
        <v>978</v>
      </c>
      <c r="K1" s="1" t="s">
        <v>1369</v>
      </c>
      <c r="L1" s="1" t="s">
        <v>975</v>
      </c>
      <c r="M1" s="1" t="s">
        <v>979</v>
      </c>
      <c r="N1" s="1" t="s">
        <v>969</v>
      </c>
      <c r="O1" s="1" t="s">
        <v>1444</v>
      </c>
      <c r="P1" s="1" t="s">
        <v>1445</v>
      </c>
      <c r="Q1" s="1" t="s">
        <v>976</v>
      </c>
      <c r="R1" s="1" t="s">
        <v>1510</v>
      </c>
      <c r="T1" s="45">
        <v>43236</v>
      </c>
    </row>
    <row r="2" spans="1:20" x14ac:dyDescent="0.2">
      <c r="A2" t="str">
        <f>B2&amp;"."&amp;D2&amp;"."&amp;C2</f>
        <v>ICE.2018.5</v>
      </c>
      <c r="B2" t="s">
        <v>1403</v>
      </c>
      <c r="C2" t="str">
        <f>TEXT(DATEVALUE("1"&amp;E2),"M")</f>
        <v>5</v>
      </c>
      <c r="D2" t="str">
        <f>TEXT(DATEVALUE("1"&amp;E2),"YYYY")</f>
        <v>2018</v>
      </c>
      <c r="E2" s="51" t="s">
        <v>1370</v>
      </c>
      <c r="J2">
        <v>24.74</v>
      </c>
      <c r="K2">
        <v>-0.14000000000000001</v>
      </c>
      <c r="L2">
        <v>0</v>
      </c>
      <c r="M2">
        <v>3586</v>
      </c>
      <c r="N2">
        <v>0</v>
      </c>
      <c r="O2">
        <v>0</v>
      </c>
      <c r="P2">
        <v>0</v>
      </c>
      <c r="Q2">
        <v>0</v>
      </c>
      <c r="R2">
        <v>0</v>
      </c>
    </row>
    <row r="3" spans="1:20" x14ac:dyDescent="0.2">
      <c r="A3" t="str">
        <f t="shared" ref="A3:A66" si="0">B3&amp;"."&amp;D3&amp;"."&amp;C3</f>
        <v>ICE.2018.6</v>
      </c>
      <c r="B3" t="s">
        <v>1403</v>
      </c>
      <c r="C3" t="str">
        <f t="shared" ref="C3:C66" si="1">TEXT(DATEVALUE("1"&amp;E3),"M")</f>
        <v>6</v>
      </c>
      <c r="D3" t="str">
        <f t="shared" ref="D3:D66" si="2">TEXT(DATEVALUE("1"&amp;E3),"YYYY")</f>
        <v>2018</v>
      </c>
      <c r="E3" s="51" t="s">
        <v>1371</v>
      </c>
      <c r="F3">
        <v>34.5</v>
      </c>
      <c r="G3">
        <v>34.5</v>
      </c>
      <c r="H3">
        <v>34.5</v>
      </c>
      <c r="I3">
        <v>34.5</v>
      </c>
      <c r="J3">
        <v>34.75</v>
      </c>
      <c r="K3">
        <v>-0.9</v>
      </c>
      <c r="L3">
        <v>25</v>
      </c>
      <c r="M3">
        <v>4105</v>
      </c>
      <c r="N3">
        <v>25</v>
      </c>
      <c r="O3">
        <v>0</v>
      </c>
      <c r="P3">
        <v>0</v>
      </c>
      <c r="Q3">
        <v>0</v>
      </c>
      <c r="R3">
        <v>0</v>
      </c>
    </row>
    <row r="4" spans="1:20" x14ac:dyDescent="0.2">
      <c r="A4" t="str">
        <f t="shared" si="0"/>
        <v>ICE.2018.7</v>
      </c>
      <c r="B4" t="s">
        <v>1403</v>
      </c>
      <c r="C4" t="str">
        <f t="shared" si="1"/>
        <v>7</v>
      </c>
      <c r="D4" t="str">
        <f t="shared" si="2"/>
        <v>2018</v>
      </c>
      <c r="E4" s="51" t="s">
        <v>1372</v>
      </c>
      <c r="F4">
        <v>50.25</v>
      </c>
      <c r="G4">
        <v>50.25</v>
      </c>
      <c r="H4">
        <v>50.25</v>
      </c>
      <c r="I4">
        <v>50.25</v>
      </c>
      <c r="J4">
        <v>50.15</v>
      </c>
      <c r="K4">
        <v>-0.35</v>
      </c>
      <c r="L4">
        <v>200</v>
      </c>
      <c r="M4">
        <v>2929</v>
      </c>
      <c r="N4">
        <v>0</v>
      </c>
      <c r="O4">
        <v>0</v>
      </c>
      <c r="P4">
        <v>0</v>
      </c>
      <c r="Q4">
        <v>150</v>
      </c>
      <c r="R4">
        <v>0</v>
      </c>
    </row>
    <row r="5" spans="1:20" x14ac:dyDescent="0.2">
      <c r="A5" t="str">
        <f t="shared" si="0"/>
        <v>ICE.2018.8</v>
      </c>
      <c r="B5" t="s">
        <v>1403</v>
      </c>
      <c r="C5" t="str">
        <f t="shared" si="1"/>
        <v>8</v>
      </c>
      <c r="D5" t="str">
        <f t="shared" si="2"/>
        <v>2018</v>
      </c>
      <c r="E5" s="51" t="s">
        <v>1373</v>
      </c>
      <c r="F5">
        <v>56.5</v>
      </c>
      <c r="G5">
        <v>56.5</v>
      </c>
      <c r="H5">
        <v>56.5</v>
      </c>
      <c r="I5">
        <v>56.5</v>
      </c>
      <c r="J5">
        <v>56.75</v>
      </c>
      <c r="K5">
        <v>-0.4</v>
      </c>
      <c r="L5">
        <v>50</v>
      </c>
      <c r="M5">
        <v>2653</v>
      </c>
      <c r="N5">
        <v>50</v>
      </c>
      <c r="O5">
        <v>0</v>
      </c>
      <c r="P5">
        <v>0</v>
      </c>
      <c r="Q5">
        <v>0</v>
      </c>
      <c r="R5">
        <v>50</v>
      </c>
    </row>
    <row r="6" spans="1:20" x14ac:dyDescent="0.2">
      <c r="A6" t="str">
        <f t="shared" si="0"/>
        <v>ICE.2018.9</v>
      </c>
      <c r="B6" t="s">
        <v>1403</v>
      </c>
      <c r="C6" t="str">
        <f t="shared" si="1"/>
        <v>9</v>
      </c>
      <c r="D6" t="str">
        <f t="shared" si="2"/>
        <v>2018</v>
      </c>
      <c r="E6" s="51" t="s">
        <v>1374</v>
      </c>
      <c r="J6">
        <v>50.25</v>
      </c>
      <c r="K6">
        <v>0</v>
      </c>
      <c r="L6">
        <v>0</v>
      </c>
      <c r="M6">
        <v>2645</v>
      </c>
      <c r="N6">
        <v>0</v>
      </c>
      <c r="O6">
        <v>0</v>
      </c>
      <c r="P6">
        <v>0</v>
      </c>
      <c r="Q6">
        <v>0</v>
      </c>
      <c r="R6">
        <v>0</v>
      </c>
    </row>
    <row r="7" spans="1:20" x14ac:dyDescent="0.2">
      <c r="A7" t="str">
        <f t="shared" si="0"/>
        <v>ICE.2018.10</v>
      </c>
      <c r="B7" t="s">
        <v>1403</v>
      </c>
      <c r="C7" t="str">
        <f t="shared" si="1"/>
        <v>10</v>
      </c>
      <c r="D7" t="str">
        <f t="shared" si="2"/>
        <v>2018</v>
      </c>
      <c r="E7" s="51" t="s">
        <v>1375</v>
      </c>
      <c r="J7">
        <v>43</v>
      </c>
      <c r="K7">
        <v>-0.25</v>
      </c>
      <c r="L7">
        <v>50</v>
      </c>
      <c r="M7">
        <v>2255</v>
      </c>
      <c r="N7">
        <v>50</v>
      </c>
      <c r="O7">
        <v>0</v>
      </c>
      <c r="P7">
        <v>0</v>
      </c>
      <c r="Q7">
        <v>50</v>
      </c>
      <c r="R7">
        <v>0</v>
      </c>
    </row>
    <row r="8" spans="1:20" x14ac:dyDescent="0.2">
      <c r="A8" t="str">
        <f t="shared" si="0"/>
        <v>ICE.2018.11</v>
      </c>
      <c r="B8" t="s">
        <v>1403</v>
      </c>
      <c r="C8" t="str">
        <f t="shared" si="1"/>
        <v>11</v>
      </c>
      <c r="D8" t="str">
        <f t="shared" si="2"/>
        <v>2018</v>
      </c>
      <c r="E8" s="51" t="s">
        <v>1376</v>
      </c>
      <c r="J8">
        <v>40.200000000000003</v>
      </c>
      <c r="K8">
        <v>0</v>
      </c>
      <c r="L8">
        <v>0</v>
      </c>
      <c r="M8">
        <v>1945</v>
      </c>
      <c r="N8">
        <v>0</v>
      </c>
      <c r="O8">
        <v>0</v>
      </c>
      <c r="P8">
        <v>0</v>
      </c>
      <c r="Q8">
        <v>0</v>
      </c>
      <c r="R8">
        <v>0</v>
      </c>
    </row>
    <row r="9" spans="1:20" x14ac:dyDescent="0.2">
      <c r="A9" t="str">
        <f t="shared" si="0"/>
        <v>ICE.2018.12</v>
      </c>
      <c r="B9" t="s">
        <v>1403</v>
      </c>
      <c r="C9" t="str">
        <f t="shared" si="1"/>
        <v>12</v>
      </c>
      <c r="D9" t="str">
        <f t="shared" si="2"/>
        <v>2018</v>
      </c>
      <c r="E9" s="51" t="s">
        <v>1377</v>
      </c>
      <c r="J9">
        <v>48.95</v>
      </c>
      <c r="K9">
        <v>0</v>
      </c>
      <c r="L9">
        <v>0</v>
      </c>
      <c r="M9">
        <v>1830</v>
      </c>
      <c r="N9">
        <v>0</v>
      </c>
      <c r="O9">
        <v>0</v>
      </c>
      <c r="P9">
        <v>0</v>
      </c>
      <c r="Q9">
        <v>0</v>
      </c>
      <c r="R9">
        <v>0</v>
      </c>
    </row>
    <row r="10" spans="1:20" x14ac:dyDescent="0.2">
      <c r="A10" t="str">
        <f t="shared" si="0"/>
        <v>ICE.2019.1</v>
      </c>
      <c r="B10" t="s">
        <v>1403</v>
      </c>
      <c r="C10" t="str">
        <f t="shared" si="1"/>
        <v>1</v>
      </c>
      <c r="D10" t="str">
        <f t="shared" si="2"/>
        <v>2019</v>
      </c>
      <c r="E10" s="51" t="s">
        <v>1378</v>
      </c>
      <c r="J10">
        <v>44.15</v>
      </c>
      <c r="K10">
        <v>0.05</v>
      </c>
      <c r="L10">
        <v>400</v>
      </c>
      <c r="M10">
        <v>1390</v>
      </c>
      <c r="N10">
        <v>-206</v>
      </c>
      <c r="O10">
        <v>0</v>
      </c>
      <c r="P10">
        <v>0</v>
      </c>
      <c r="Q10">
        <v>150</v>
      </c>
      <c r="R10">
        <v>0</v>
      </c>
    </row>
    <row r="11" spans="1:20" x14ac:dyDescent="0.2">
      <c r="A11" t="str">
        <f t="shared" si="0"/>
        <v>ICE.2019.2</v>
      </c>
      <c r="B11" t="s">
        <v>1403</v>
      </c>
      <c r="C11" t="str">
        <f t="shared" si="1"/>
        <v>2</v>
      </c>
      <c r="D11" t="str">
        <f t="shared" si="2"/>
        <v>2019</v>
      </c>
      <c r="E11" s="51" t="s">
        <v>1379</v>
      </c>
      <c r="J11">
        <v>40.65</v>
      </c>
      <c r="K11">
        <v>0.05</v>
      </c>
      <c r="L11">
        <v>400</v>
      </c>
      <c r="M11">
        <v>1236</v>
      </c>
      <c r="N11">
        <v>-360</v>
      </c>
      <c r="O11">
        <v>0</v>
      </c>
      <c r="P11">
        <v>0</v>
      </c>
      <c r="Q11">
        <v>150</v>
      </c>
      <c r="R11">
        <v>0</v>
      </c>
    </row>
    <row r="12" spans="1:20" x14ac:dyDescent="0.2">
      <c r="A12" t="str">
        <f t="shared" si="0"/>
        <v>ICE.2019.3</v>
      </c>
      <c r="B12" t="s">
        <v>1403</v>
      </c>
      <c r="C12" t="str">
        <f t="shared" si="1"/>
        <v>3</v>
      </c>
      <c r="D12" t="str">
        <f t="shared" si="2"/>
        <v>2019</v>
      </c>
      <c r="E12" s="51" t="s">
        <v>1380</v>
      </c>
      <c r="J12">
        <v>34.200000000000003</v>
      </c>
      <c r="K12">
        <v>0.05</v>
      </c>
      <c r="L12">
        <v>400</v>
      </c>
      <c r="M12">
        <v>1236</v>
      </c>
      <c r="N12">
        <v>-360</v>
      </c>
      <c r="O12">
        <v>0</v>
      </c>
      <c r="P12">
        <v>0</v>
      </c>
      <c r="Q12">
        <v>150</v>
      </c>
      <c r="R12">
        <v>0</v>
      </c>
    </row>
    <row r="13" spans="1:20" x14ac:dyDescent="0.2">
      <c r="A13" t="str">
        <f t="shared" si="0"/>
        <v>ICE.2019.4</v>
      </c>
      <c r="B13" t="s">
        <v>1403</v>
      </c>
      <c r="C13" t="str">
        <f t="shared" si="1"/>
        <v>4</v>
      </c>
      <c r="D13" t="str">
        <f t="shared" si="2"/>
        <v>2019</v>
      </c>
      <c r="E13" s="51" t="s">
        <v>1381</v>
      </c>
      <c r="J13">
        <v>24.15</v>
      </c>
      <c r="K13">
        <v>0.1</v>
      </c>
      <c r="L13">
        <v>250</v>
      </c>
      <c r="M13">
        <v>1456</v>
      </c>
      <c r="N13">
        <v>-210</v>
      </c>
      <c r="O13">
        <v>0</v>
      </c>
      <c r="P13">
        <v>0</v>
      </c>
      <c r="Q13">
        <v>0</v>
      </c>
      <c r="R13">
        <v>0</v>
      </c>
    </row>
    <row r="14" spans="1:20" x14ac:dyDescent="0.2">
      <c r="A14" t="str">
        <f t="shared" si="0"/>
        <v>ICE.2019.5</v>
      </c>
      <c r="B14" t="s">
        <v>1403</v>
      </c>
      <c r="C14" t="str">
        <f t="shared" si="1"/>
        <v>5</v>
      </c>
      <c r="D14" t="str">
        <f t="shared" si="2"/>
        <v>2019</v>
      </c>
      <c r="E14" s="51" t="s">
        <v>1382</v>
      </c>
      <c r="J14">
        <v>25.7</v>
      </c>
      <c r="K14">
        <v>0.1</v>
      </c>
      <c r="L14">
        <v>250</v>
      </c>
      <c r="M14">
        <v>1456</v>
      </c>
      <c r="N14">
        <v>-210</v>
      </c>
      <c r="O14">
        <v>0</v>
      </c>
      <c r="P14">
        <v>0</v>
      </c>
      <c r="Q14">
        <v>0</v>
      </c>
      <c r="R14">
        <v>0</v>
      </c>
    </row>
    <row r="15" spans="1:20" x14ac:dyDescent="0.2">
      <c r="A15" t="str">
        <f t="shared" si="0"/>
        <v>ICE.2019.6</v>
      </c>
      <c r="B15" t="s">
        <v>1403</v>
      </c>
      <c r="C15" t="str">
        <f t="shared" si="1"/>
        <v>6</v>
      </c>
      <c r="D15" t="str">
        <f t="shared" si="2"/>
        <v>2019</v>
      </c>
      <c r="E15" s="51" t="s">
        <v>1383</v>
      </c>
      <c r="J15">
        <v>32.85</v>
      </c>
      <c r="K15">
        <v>0.1</v>
      </c>
      <c r="L15">
        <v>250</v>
      </c>
      <c r="M15">
        <v>1456</v>
      </c>
      <c r="N15">
        <v>-210</v>
      </c>
      <c r="O15">
        <v>0</v>
      </c>
      <c r="P15">
        <v>0</v>
      </c>
      <c r="Q15">
        <v>0</v>
      </c>
      <c r="R15">
        <v>0</v>
      </c>
    </row>
    <row r="16" spans="1:20" x14ac:dyDescent="0.2">
      <c r="A16" t="str">
        <f t="shared" si="0"/>
        <v>ICE.2019.7</v>
      </c>
      <c r="B16" t="s">
        <v>1403</v>
      </c>
      <c r="C16" t="str">
        <f t="shared" si="1"/>
        <v>7</v>
      </c>
      <c r="D16" t="str">
        <f t="shared" si="2"/>
        <v>2019</v>
      </c>
      <c r="E16" s="51" t="s">
        <v>1384</v>
      </c>
      <c r="J16">
        <v>44.55</v>
      </c>
      <c r="K16">
        <v>0.4</v>
      </c>
      <c r="L16">
        <v>250</v>
      </c>
      <c r="M16">
        <v>1376</v>
      </c>
      <c r="N16">
        <v>-225</v>
      </c>
      <c r="O16">
        <v>0</v>
      </c>
      <c r="P16">
        <v>0</v>
      </c>
      <c r="Q16">
        <v>0</v>
      </c>
      <c r="R16">
        <v>0</v>
      </c>
    </row>
    <row r="17" spans="1:18" x14ac:dyDescent="0.2">
      <c r="A17" t="str">
        <f t="shared" si="0"/>
        <v>ICE.2019.8</v>
      </c>
      <c r="B17" t="s">
        <v>1403</v>
      </c>
      <c r="C17" t="str">
        <f t="shared" si="1"/>
        <v>8</v>
      </c>
      <c r="D17" t="str">
        <f t="shared" si="2"/>
        <v>2019</v>
      </c>
      <c r="E17" s="51" t="s">
        <v>1385</v>
      </c>
      <c r="J17">
        <v>46.95</v>
      </c>
      <c r="K17">
        <v>0.4</v>
      </c>
      <c r="L17">
        <v>250</v>
      </c>
      <c r="M17">
        <v>1376</v>
      </c>
      <c r="N17">
        <v>-225</v>
      </c>
      <c r="O17">
        <v>0</v>
      </c>
      <c r="P17">
        <v>0</v>
      </c>
      <c r="Q17">
        <v>0</v>
      </c>
      <c r="R17">
        <v>0</v>
      </c>
    </row>
    <row r="18" spans="1:18" x14ac:dyDescent="0.2">
      <c r="A18" t="str">
        <f t="shared" si="0"/>
        <v>ICE.2019.9</v>
      </c>
      <c r="B18" t="s">
        <v>1403</v>
      </c>
      <c r="C18" t="str">
        <f t="shared" si="1"/>
        <v>9</v>
      </c>
      <c r="D18" t="str">
        <f t="shared" si="2"/>
        <v>2019</v>
      </c>
      <c r="E18" s="51" t="s">
        <v>1386</v>
      </c>
      <c r="J18">
        <v>44.1</v>
      </c>
      <c r="K18">
        <v>0.35</v>
      </c>
      <c r="L18">
        <v>250</v>
      </c>
      <c r="M18">
        <v>1376</v>
      </c>
      <c r="N18">
        <v>-225</v>
      </c>
      <c r="O18">
        <v>0</v>
      </c>
      <c r="P18">
        <v>0</v>
      </c>
      <c r="Q18">
        <v>0</v>
      </c>
      <c r="R18">
        <v>0</v>
      </c>
    </row>
    <row r="19" spans="1:18" x14ac:dyDescent="0.2">
      <c r="A19" t="str">
        <f t="shared" si="0"/>
        <v>ICE.2019.10</v>
      </c>
      <c r="B19" t="s">
        <v>1403</v>
      </c>
      <c r="C19" t="str">
        <f t="shared" si="1"/>
        <v>10</v>
      </c>
      <c r="D19" t="str">
        <f t="shared" si="2"/>
        <v>2019</v>
      </c>
      <c r="E19" s="51" t="s">
        <v>1387</v>
      </c>
      <c r="J19">
        <v>37.450000000000003</v>
      </c>
      <c r="K19">
        <v>0.25</v>
      </c>
      <c r="L19">
        <v>250</v>
      </c>
      <c r="M19">
        <v>1426</v>
      </c>
      <c r="N19">
        <v>-200</v>
      </c>
      <c r="O19">
        <v>0</v>
      </c>
      <c r="P19">
        <v>0</v>
      </c>
      <c r="Q19">
        <v>0</v>
      </c>
      <c r="R19">
        <v>0</v>
      </c>
    </row>
    <row r="20" spans="1:18" x14ac:dyDescent="0.2">
      <c r="A20" t="str">
        <f t="shared" si="0"/>
        <v>ICE.2019.11</v>
      </c>
      <c r="B20" t="s">
        <v>1403</v>
      </c>
      <c r="C20" t="str">
        <f t="shared" si="1"/>
        <v>11</v>
      </c>
      <c r="D20" t="str">
        <f t="shared" si="2"/>
        <v>2019</v>
      </c>
      <c r="E20" s="51" t="s">
        <v>1388</v>
      </c>
      <c r="J20">
        <v>36.950000000000003</v>
      </c>
      <c r="K20">
        <v>0.25</v>
      </c>
      <c r="L20">
        <v>250</v>
      </c>
      <c r="M20">
        <v>1426</v>
      </c>
      <c r="N20">
        <v>-200</v>
      </c>
      <c r="O20">
        <v>0</v>
      </c>
      <c r="P20">
        <v>0</v>
      </c>
      <c r="Q20">
        <v>0</v>
      </c>
      <c r="R20">
        <v>0</v>
      </c>
    </row>
    <row r="21" spans="1:18" x14ac:dyDescent="0.2">
      <c r="A21" t="str">
        <f t="shared" si="0"/>
        <v>ICE.2019.12</v>
      </c>
      <c r="B21" t="s">
        <v>1403</v>
      </c>
      <c r="C21" t="str">
        <f t="shared" si="1"/>
        <v>12</v>
      </c>
      <c r="D21" t="str">
        <f t="shared" si="2"/>
        <v>2019</v>
      </c>
      <c r="E21" s="51" t="s">
        <v>1389</v>
      </c>
      <c r="J21">
        <v>39.1</v>
      </c>
      <c r="K21">
        <v>0.3</v>
      </c>
      <c r="L21">
        <v>250</v>
      </c>
      <c r="M21">
        <v>1426</v>
      </c>
      <c r="N21">
        <v>-200</v>
      </c>
      <c r="O21">
        <v>0</v>
      </c>
      <c r="P21">
        <v>0</v>
      </c>
      <c r="Q21">
        <v>0</v>
      </c>
      <c r="R21">
        <v>0</v>
      </c>
    </row>
    <row r="22" spans="1:18" x14ac:dyDescent="0.2">
      <c r="A22" t="str">
        <f t="shared" si="0"/>
        <v>ICE.2020.1</v>
      </c>
      <c r="B22" t="s">
        <v>1403</v>
      </c>
      <c r="C22" t="str">
        <f t="shared" si="1"/>
        <v>1</v>
      </c>
      <c r="D22" t="str">
        <f t="shared" si="2"/>
        <v>2020</v>
      </c>
      <c r="E22" s="51" t="s">
        <v>1390</v>
      </c>
      <c r="J22">
        <v>41.2</v>
      </c>
      <c r="K22">
        <v>0</v>
      </c>
      <c r="L22">
        <v>50</v>
      </c>
      <c r="M22">
        <v>1180</v>
      </c>
      <c r="N22">
        <v>0</v>
      </c>
      <c r="O22">
        <v>0</v>
      </c>
      <c r="P22">
        <v>0</v>
      </c>
      <c r="Q22">
        <v>50</v>
      </c>
      <c r="R22">
        <v>0</v>
      </c>
    </row>
    <row r="23" spans="1:18" x14ac:dyDescent="0.2">
      <c r="A23" t="str">
        <f t="shared" si="0"/>
        <v>ICE.2020.2</v>
      </c>
      <c r="B23" t="s">
        <v>1403</v>
      </c>
      <c r="C23" t="str">
        <f t="shared" si="1"/>
        <v>2</v>
      </c>
      <c r="D23" t="str">
        <f t="shared" si="2"/>
        <v>2020</v>
      </c>
      <c r="E23" s="51" t="s">
        <v>1391</v>
      </c>
      <c r="J23">
        <v>39.35</v>
      </c>
      <c r="K23">
        <v>0</v>
      </c>
      <c r="L23">
        <v>50</v>
      </c>
      <c r="M23">
        <v>1180</v>
      </c>
      <c r="N23">
        <v>0</v>
      </c>
      <c r="O23">
        <v>0</v>
      </c>
      <c r="P23">
        <v>0</v>
      </c>
      <c r="Q23">
        <v>50</v>
      </c>
      <c r="R23">
        <v>0</v>
      </c>
    </row>
    <row r="24" spans="1:18" x14ac:dyDescent="0.2">
      <c r="A24" t="str">
        <f t="shared" si="0"/>
        <v>ICE.2020.3</v>
      </c>
      <c r="B24" t="s">
        <v>1403</v>
      </c>
      <c r="C24" t="str">
        <f t="shared" si="1"/>
        <v>3</v>
      </c>
      <c r="D24" t="str">
        <f t="shared" si="2"/>
        <v>2020</v>
      </c>
      <c r="E24" s="51" t="s">
        <v>1392</v>
      </c>
      <c r="J24">
        <v>34.299999999999997</v>
      </c>
      <c r="K24">
        <v>0</v>
      </c>
      <c r="L24">
        <v>50</v>
      </c>
      <c r="M24">
        <v>1180</v>
      </c>
      <c r="N24">
        <v>0</v>
      </c>
      <c r="O24">
        <v>0</v>
      </c>
      <c r="P24">
        <v>0</v>
      </c>
      <c r="Q24">
        <v>50</v>
      </c>
      <c r="R24">
        <v>0</v>
      </c>
    </row>
    <row r="25" spans="1:18" x14ac:dyDescent="0.2">
      <c r="A25" t="str">
        <f t="shared" si="0"/>
        <v>ICE.2020.4</v>
      </c>
      <c r="B25" t="s">
        <v>1403</v>
      </c>
      <c r="C25" t="str">
        <f t="shared" si="1"/>
        <v>4</v>
      </c>
      <c r="D25" t="str">
        <f t="shared" si="2"/>
        <v>2020</v>
      </c>
      <c r="E25" s="51" t="s">
        <v>1393</v>
      </c>
      <c r="J25">
        <v>28.4</v>
      </c>
      <c r="K25">
        <v>0</v>
      </c>
      <c r="L25">
        <v>50</v>
      </c>
      <c r="M25">
        <v>1180</v>
      </c>
      <c r="N25">
        <v>0</v>
      </c>
      <c r="O25">
        <v>0</v>
      </c>
      <c r="P25">
        <v>0</v>
      </c>
      <c r="Q25">
        <v>50</v>
      </c>
      <c r="R25">
        <v>0</v>
      </c>
    </row>
    <row r="26" spans="1:18" x14ac:dyDescent="0.2">
      <c r="A26" t="str">
        <f t="shared" si="0"/>
        <v>ICE.2020.5</v>
      </c>
      <c r="B26" t="s">
        <v>1403</v>
      </c>
      <c r="C26" t="str">
        <f t="shared" si="1"/>
        <v>5</v>
      </c>
      <c r="D26" t="str">
        <f t="shared" si="2"/>
        <v>2020</v>
      </c>
      <c r="E26" s="51" t="s">
        <v>1394</v>
      </c>
      <c r="J26">
        <v>28.45</v>
      </c>
      <c r="K26">
        <v>0</v>
      </c>
      <c r="L26">
        <v>50</v>
      </c>
      <c r="M26">
        <v>1180</v>
      </c>
      <c r="N26">
        <v>0</v>
      </c>
      <c r="O26">
        <v>0</v>
      </c>
      <c r="P26">
        <v>0</v>
      </c>
      <c r="Q26">
        <v>50</v>
      </c>
      <c r="R26">
        <v>0</v>
      </c>
    </row>
    <row r="27" spans="1:18" x14ac:dyDescent="0.2">
      <c r="A27" t="str">
        <f t="shared" si="0"/>
        <v>ICE.2020.6</v>
      </c>
      <c r="B27" t="s">
        <v>1403</v>
      </c>
      <c r="C27" t="str">
        <f t="shared" si="1"/>
        <v>6</v>
      </c>
      <c r="D27" t="str">
        <f t="shared" si="2"/>
        <v>2020</v>
      </c>
      <c r="E27" s="51" t="s">
        <v>1395</v>
      </c>
      <c r="J27">
        <v>32.1</v>
      </c>
      <c r="K27">
        <v>0</v>
      </c>
      <c r="L27">
        <v>50</v>
      </c>
      <c r="M27">
        <v>1180</v>
      </c>
      <c r="N27">
        <v>0</v>
      </c>
      <c r="O27">
        <v>0</v>
      </c>
      <c r="P27">
        <v>0</v>
      </c>
      <c r="Q27">
        <v>50</v>
      </c>
      <c r="R27">
        <v>0</v>
      </c>
    </row>
    <row r="28" spans="1:18" x14ac:dyDescent="0.2">
      <c r="A28" t="str">
        <f t="shared" si="0"/>
        <v>ICE.2020.7</v>
      </c>
      <c r="B28" t="s">
        <v>1403</v>
      </c>
      <c r="C28" t="str">
        <f t="shared" si="1"/>
        <v>7</v>
      </c>
      <c r="D28" t="str">
        <f t="shared" si="2"/>
        <v>2020</v>
      </c>
      <c r="E28" s="51" t="s">
        <v>1396</v>
      </c>
      <c r="J28">
        <v>42.65</v>
      </c>
      <c r="K28">
        <v>0</v>
      </c>
      <c r="L28">
        <v>50</v>
      </c>
      <c r="M28">
        <v>1180</v>
      </c>
      <c r="N28">
        <v>0</v>
      </c>
      <c r="O28">
        <v>0</v>
      </c>
      <c r="P28">
        <v>0</v>
      </c>
      <c r="Q28">
        <v>50</v>
      </c>
      <c r="R28">
        <v>0</v>
      </c>
    </row>
    <row r="29" spans="1:18" x14ac:dyDescent="0.2">
      <c r="A29" t="str">
        <f t="shared" si="0"/>
        <v>ICE.2020.8</v>
      </c>
      <c r="B29" t="s">
        <v>1403</v>
      </c>
      <c r="C29" t="str">
        <f t="shared" si="1"/>
        <v>8</v>
      </c>
      <c r="D29" t="str">
        <f t="shared" si="2"/>
        <v>2020</v>
      </c>
      <c r="E29" s="51" t="s">
        <v>1397</v>
      </c>
      <c r="J29">
        <v>44.45</v>
      </c>
      <c r="K29">
        <v>0</v>
      </c>
      <c r="L29">
        <v>50</v>
      </c>
      <c r="M29">
        <v>1180</v>
      </c>
      <c r="N29">
        <v>0</v>
      </c>
      <c r="O29">
        <v>0</v>
      </c>
      <c r="P29">
        <v>0</v>
      </c>
      <c r="Q29">
        <v>50</v>
      </c>
      <c r="R29">
        <v>0</v>
      </c>
    </row>
    <row r="30" spans="1:18" x14ac:dyDescent="0.2">
      <c r="A30" t="str">
        <f t="shared" si="0"/>
        <v>ICE.2020.9</v>
      </c>
      <c r="B30" t="s">
        <v>1403</v>
      </c>
      <c r="C30" t="str">
        <f t="shared" si="1"/>
        <v>9</v>
      </c>
      <c r="D30" t="str">
        <f t="shared" si="2"/>
        <v>2020</v>
      </c>
      <c r="E30" s="51" t="s">
        <v>1398</v>
      </c>
      <c r="J30">
        <v>42.3</v>
      </c>
      <c r="K30">
        <v>0</v>
      </c>
      <c r="L30">
        <v>50</v>
      </c>
      <c r="M30">
        <v>1180</v>
      </c>
      <c r="N30">
        <v>0</v>
      </c>
      <c r="O30">
        <v>0</v>
      </c>
      <c r="P30">
        <v>0</v>
      </c>
      <c r="Q30">
        <v>50</v>
      </c>
      <c r="R30">
        <v>0</v>
      </c>
    </row>
    <row r="31" spans="1:18" x14ac:dyDescent="0.2">
      <c r="A31" t="str">
        <f t="shared" si="0"/>
        <v>ICE.2020.10</v>
      </c>
      <c r="B31" t="s">
        <v>1403</v>
      </c>
      <c r="C31" t="str">
        <f t="shared" si="1"/>
        <v>10</v>
      </c>
      <c r="D31" t="str">
        <f t="shared" si="2"/>
        <v>2020</v>
      </c>
      <c r="E31" s="51" t="s">
        <v>1399</v>
      </c>
      <c r="J31">
        <v>39.4</v>
      </c>
      <c r="K31">
        <v>0</v>
      </c>
      <c r="L31">
        <v>50</v>
      </c>
      <c r="M31">
        <v>1180</v>
      </c>
      <c r="N31">
        <v>0</v>
      </c>
      <c r="O31">
        <v>0</v>
      </c>
      <c r="P31">
        <v>0</v>
      </c>
      <c r="Q31">
        <v>50</v>
      </c>
      <c r="R31">
        <v>0</v>
      </c>
    </row>
    <row r="32" spans="1:18" x14ac:dyDescent="0.2">
      <c r="A32" t="str">
        <f t="shared" si="0"/>
        <v>ICE.2020.11</v>
      </c>
      <c r="B32" t="s">
        <v>1403</v>
      </c>
      <c r="C32" t="str">
        <f t="shared" si="1"/>
        <v>11</v>
      </c>
      <c r="D32" t="str">
        <f t="shared" si="2"/>
        <v>2020</v>
      </c>
      <c r="E32" s="51" t="s">
        <v>1400</v>
      </c>
      <c r="J32">
        <v>38.9</v>
      </c>
      <c r="K32">
        <v>0</v>
      </c>
      <c r="L32">
        <v>50</v>
      </c>
      <c r="M32">
        <v>1180</v>
      </c>
      <c r="N32">
        <v>0</v>
      </c>
      <c r="O32">
        <v>0</v>
      </c>
      <c r="P32">
        <v>0</v>
      </c>
      <c r="Q32">
        <v>50</v>
      </c>
      <c r="R32">
        <v>0</v>
      </c>
    </row>
    <row r="33" spans="1:18" x14ac:dyDescent="0.2">
      <c r="A33" t="str">
        <f t="shared" si="0"/>
        <v>ICE.2020.12</v>
      </c>
      <c r="B33" t="s">
        <v>1403</v>
      </c>
      <c r="C33" t="str">
        <f t="shared" si="1"/>
        <v>12</v>
      </c>
      <c r="D33" t="str">
        <f t="shared" si="2"/>
        <v>2020</v>
      </c>
      <c r="E33" s="51" t="s">
        <v>1401</v>
      </c>
      <c r="J33">
        <v>41.5</v>
      </c>
      <c r="K33">
        <v>0</v>
      </c>
      <c r="L33">
        <v>50</v>
      </c>
      <c r="M33">
        <v>1180</v>
      </c>
      <c r="N33">
        <v>0</v>
      </c>
      <c r="O33">
        <v>0</v>
      </c>
      <c r="P33">
        <v>0</v>
      </c>
      <c r="Q33">
        <v>50</v>
      </c>
      <c r="R33">
        <v>0</v>
      </c>
    </row>
    <row r="34" spans="1:18" x14ac:dyDescent="0.2">
      <c r="A34" t="str">
        <f t="shared" si="0"/>
        <v>ICE.2021.1</v>
      </c>
      <c r="B34" t="s">
        <v>1403</v>
      </c>
      <c r="C34" t="str">
        <f t="shared" si="1"/>
        <v>1</v>
      </c>
      <c r="D34" t="str">
        <f t="shared" si="2"/>
        <v>2021</v>
      </c>
      <c r="E34" s="51" t="s">
        <v>1405</v>
      </c>
      <c r="J34">
        <v>45.1</v>
      </c>
      <c r="K34">
        <v>0</v>
      </c>
      <c r="L34">
        <v>0</v>
      </c>
      <c r="M34">
        <v>270</v>
      </c>
      <c r="N34">
        <v>0</v>
      </c>
      <c r="O34">
        <v>0</v>
      </c>
      <c r="P34">
        <v>0</v>
      </c>
      <c r="Q34">
        <v>0</v>
      </c>
      <c r="R34">
        <v>0</v>
      </c>
    </row>
    <row r="35" spans="1:18" x14ac:dyDescent="0.2">
      <c r="A35" t="str">
        <f t="shared" si="0"/>
        <v>ICE.2021.2</v>
      </c>
      <c r="B35" t="s">
        <v>1403</v>
      </c>
      <c r="C35" t="str">
        <f t="shared" si="1"/>
        <v>2</v>
      </c>
      <c r="D35" t="str">
        <f t="shared" si="2"/>
        <v>2021</v>
      </c>
      <c r="E35" s="51" t="s">
        <v>1406</v>
      </c>
      <c r="J35">
        <v>43.35</v>
      </c>
      <c r="K35">
        <v>0</v>
      </c>
      <c r="L35">
        <v>0</v>
      </c>
      <c r="M35">
        <v>270</v>
      </c>
      <c r="N35">
        <v>0</v>
      </c>
      <c r="O35">
        <v>0</v>
      </c>
      <c r="P35">
        <v>0</v>
      </c>
      <c r="Q35">
        <v>0</v>
      </c>
      <c r="R35">
        <v>0</v>
      </c>
    </row>
    <row r="36" spans="1:18" x14ac:dyDescent="0.2">
      <c r="A36" t="str">
        <f t="shared" si="0"/>
        <v>ICE.2021.3</v>
      </c>
      <c r="B36" t="s">
        <v>1403</v>
      </c>
      <c r="C36" t="str">
        <f t="shared" si="1"/>
        <v>3</v>
      </c>
      <c r="D36" t="str">
        <f t="shared" si="2"/>
        <v>2021</v>
      </c>
      <c r="E36" s="51" t="s">
        <v>1407</v>
      </c>
      <c r="J36">
        <v>38</v>
      </c>
      <c r="K36">
        <v>0</v>
      </c>
      <c r="L36">
        <v>0</v>
      </c>
      <c r="M36">
        <v>270</v>
      </c>
      <c r="N36">
        <v>0</v>
      </c>
      <c r="O36">
        <v>0</v>
      </c>
      <c r="P36">
        <v>0</v>
      </c>
      <c r="Q36">
        <v>0</v>
      </c>
      <c r="R36">
        <v>0</v>
      </c>
    </row>
    <row r="37" spans="1:18" x14ac:dyDescent="0.2">
      <c r="A37" t="str">
        <f t="shared" si="0"/>
        <v>ICE.2021.4</v>
      </c>
      <c r="B37" t="s">
        <v>1403</v>
      </c>
      <c r="C37" t="str">
        <f t="shared" si="1"/>
        <v>4</v>
      </c>
      <c r="D37" t="str">
        <f t="shared" si="2"/>
        <v>2021</v>
      </c>
      <c r="E37" s="51" t="s">
        <v>1408</v>
      </c>
      <c r="J37">
        <v>30.55</v>
      </c>
      <c r="K37">
        <v>0</v>
      </c>
      <c r="L37">
        <v>0</v>
      </c>
      <c r="M37">
        <v>270</v>
      </c>
      <c r="N37">
        <v>0</v>
      </c>
      <c r="O37">
        <v>0</v>
      </c>
      <c r="P37">
        <v>0</v>
      </c>
      <c r="Q37">
        <v>0</v>
      </c>
      <c r="R37">
        <v>0</v>
      </c>
    </row>
    <row r="38" spans="1:18" x14ac:dyDescent="0.2">
      <c r="A38" t="str">
        <f t="shared" si="0"/>
        <v>ICE.2021.5</v>
      </c>
      <c r="B38" t="s">
        <v>1403</v>
      </c>
      <c r="C38" t="str">
        <f t="shared" si="1"/>
        <v>5</v>
      </c>
      <c r="D38" t="str">
        <f t="shared" si="2"/>
        <v>2021</v>
      </c>
      <c r="E38" s="51" t="s">
        <v>1409</v>
      </c>
      <c r="J38">
        <v>30.7</v>
      </c>
      <c r="K38">
        <v>0</v>
      </c>
      <c r="L38">
        <v>0</v>
      </c>
      <c r="M38">
        <v>270</v>
      </c>
      <c r="N38">
        <v>0</v>
      </c>
      <c r="O38">
        <v>0</v>
      </c>
      <c r="P38">
        <v>0</v>
      </c>
      <c r="Q38">
        <v>0</v>
      </c>
      <c r="R38">
        <v>0</v>
      </c>
    </row>
    <row r="39" spans="1:18" x14ac:dyDescent="0.2">
      <c r="A39" t="str">
        <f t="shared" si="0"/>
        <v>ICE.2021.6</v>
      </c>
      <c r="B39" t="s">
        <v>1403</v>
      </c>
      <c r="C39" t="str">
        <f t="shared" si="1"/>
        <v>6</v>
      </c>
      <c r="D39" t="str">
        <f t="shared" si="2"/>
        <v>2021</v>
      </c>
      <c r="E39" s="51" t="s">
        <v>1410</v>
      </c>
      <c r="J39">
        <v>34.65</v>
      </c>
      <c r="K39">
        <v>0</v>
      </c>
      <c r="L39">
        <v>0</v>
      </c>
      <c r="M39">
        <v>270</v>
      </c>
      <c r="N39">
        <v>0</v>
      </c>
      <c r="O39">
        <v>0</v>
      </c>
      <c r="P39">
        <v>0</v>
      </c>
      <c r="Q39">
        <v>0</v>
      </c>
      <c r="R39">
        <v>0</v>
      </c>
    </row>
    <row r="40" spans="1:18" x14ac:dyDescent="0.2">
      <c r="A40" t="str">
        <f t="shared" si="0"/>
        <v>ICE.2021.7</v>
      </c>
      <c r="B40" t="s">
        <v>1403</v>
      </c>
      <c r="C40" t="str">
        <f t="shared" si="1"/>
        <v>7</v>
      </c>
      <c r="D40" t="str">
        <f t="shared" si="2"/>
        <v>2021</v>
      </c>
      <c r="E40" s="51" t="s">
        <v>1411</v>
      </c>
      <c r="J40">
        <v>43.3</v>
      </c>
      <c r="K40">
        <v>0</v>
      </c>
      <c r="L40">
        <v>0</v>
      </c>
      <c r="M40">
        <v>270</v>
      </c>
      <c r="N40">
        <v>0</v>
      </c>
      <c r="O40">
        <v>0</v>
      </c>
      <c r="P40">
        <v>0</v>
      </c>
      <c r="Q40">
        <v>0</v>
      </c>
      <c r="R40">
        <v>0</v>
      </c>
    </row>
    <row r="41" spans="1:18" x14ac:dyDescent="0.2">
      <c r="A41" t="str">
        <f t="shared" si="0"/>
        <v>ICE.2021.8</v>
      </c>
      <c r="B41" t="s">
        <v>1403</v>
      </c>
      <c r="C41" t="str">
        <f t="shared" si="1"/>
        <v>8</v>
      </c>
      <c r="D41" t="str">
        <f t="shared" si="2"/>
        <v>2021</v>
      </c>
      <c r="E41" s="51" t="s">
        <v>1412</v>
      </c>
      <c r="J41">
        <v>45.45</v>
      </c>
      <c r="K41">
        <v>0</v>
      </c>
      <c r="L41">
        <v>0</v>
      </c>
      <c r="M41">
        <v>270</v>
      </c>
      <c r="N41">
        <v>0</v>
      </c>
      <c r="O41">
        <v>0</v>
      </c>
      <c r="P41">
        <v>0</v>
      </c>
      <c r="Q41">
        <v>0</v>
      </c>
      <c r="R41">
        <v>0</v>
      </c>
    </row>
    <row r="42" spans="1:18" x14ac:dyDescent="0.2">
      <c r="A42" t="str">
        <f t="shared" si="0"/>
        <v>ICE.2021.9</v>
      </c>
      <c r="B42" t="s">
        <v>1403</v>
      </c>
      <c r="C42" t="str">
        <f t="shared" si="1"/>
        <v>9</v>
      </c>
      <c r="D42" t="str">
        <f t="shared" si="2"/>
        <v>2021</v>
      </c>
      <c r="E42" s="51" t="s">
        <v>1413</v>
      </c>
      <c r="J42">
        <v>43.1</v>
      </c>
      <c r="K42">
        <v>0</v>
      </c>
      <c r="L42">
        <v>0</v>
      </c>
      <c r="M42">
        <v>270</v>
      </c>
      <c r="N42">
        <v>0</v>
      </c>
      <c r="O42">
        <v>0</v>
      </c>
      <c r="P42">
        <v>0</v>
      </c>
      <c r="Q42">
        <v>0</v>
      </c>
      <c r="R42">
        <v>0</v>
      </c>
    </row>
    <row r="43" spans="1:18" x14ac:dyDescent="0.2">
      <c r="A43" t="str">
        <f t="shared" si="0"/>
        <v>ICE.2021.10</v>
      </c>
      <c r="B43" t="s">
        <v>1403</v>
      </c>
      <c r="C43" t="str">
        <f t="shared" si="1"/>
        <v>10</v>
      </c>
      <c r="D43" t="str">
        <f t="shared" si="2"/>
        <v>2021</v>
      </c>
      <c r="E43" s="51" t="s">
        <v>1414</v>
      </c>
      <c r="J43">
        <v>43.45</v>
      </c>
      <c r="K43">
        <v>0</v>
      </c>
      <c r="L43">
        <v>0</v>
      </c>
      <c r="M43">
        <v>270</v>
      </c>
      <c r="N43">
        <v>0</v>
      </c>
      <c r="O43">
        <v>0</v>
      </c>
      <c r="P43">
        <v>0</v>
      </c>
      <c r="Q43">
        <v>0</v>
      </c>
      <c r="R43">
        <v>0</v>
      </c>
    </row>
    <row r="44" spans="1:18" x14ac:dyDescent="0.2">
      <c r="A44" t="str">
        <f t="shared" si="0"/>
        <v>ICE.2021.11</v>
      </c>
      <c r="B44" t="s">
        <v>1403</v>
      </c>
      <c r="C44" t="str">
        <f t="shared" si="1"/>
        <v>11</v>
      </c>
      <c r="D44" t="str">
        <f t="shared" si="2"/>
        <v>2021</v>
      </c>
      <c r="E44" s="51" t="s">
        <v>1415</v>
      </c>
      <c r="J44">
        <v>42.85</v>
      </c>
      <c r="K44">
        <v>0</v>
      </c>
      <c r="L44">
        <v>0</v>
      </c>
      <c r="M44">
        <v>270</v>
      </c>
      <c r="N44">
        <v>0</v>
      </c>
      <c r="O44">
        <v>0</v>
      </c>
      <c r="P44">
        <v>0</v>
      </c>
      <c r="Q44">
        <v>0</v>
      </c>
      <c r="R44">
        <v>0</v>
      </c>
    </row>
    <row r="45" spans="1:18" x14ac:dyDescent="0.2">
      <c r="A45" t="str">
        <f t="shared" si="0"/>
        <v>ICE.2021.12</v>
      </c>
      <c r="B45" t="s">
        <v>1403</v>
      </c>
      <c r="C45" t="str">
        <f t="shared" si="1"/>
        <v>12</v>
      </c>
      <c r="D45" t="str">
        <f t="shared" si="2"/>
        <v>2021</v>
      </c>
      <c r="E45" s="51" t="s">
        <v>1416</v>
      </c>
      <c r="J45">
        <v>45.9</v>
      </c>
      <c r="K45">
        <v>0</v>
      </c>
      <c r="L45">
        <v>0</v>
      </c>
      <c r="M45">
        <v>270</v>
      </c>
      <c r="N45">
        <v>0</v>
      </c>
      <c r="O45">
        <v>0</v>
      </c>
      <c r="P45">
        <v>0</v>
      </c>
      <c r="Q45">
        <v>0</v>
      </c>
      <c r="R45">
        <v>0</v>
      </c>
    </row>
    <row r="46" spans="1:18" x14ac:dyDescent="0.2">
      <c r="A46" t="str">
        <f t="shared" si="0"/>
        <v>ICE.2022.1</v>
      </c>
      <c r="B46" t="s">
        <v>1403</v>
      </c>
      <c r="C46" t="str">
        <f t="shared" si="1"/>
        <v>1</v>
      </c>
      <c r="D46" t="str">
        <f t="shared" si="2"/>
        <v>2022</v>
      </c>
      <c r="E46" s="51" t="s">
        <v>1485</v>
      </c>
      <c r="J46">
        <v>46.2</v>
      </c>
      <c r="K46">
        <v>0</v>
      </c>
      <c r="L46">
        <v>0</v>
      </c>
      <c r="M46">
        <v>25</v>
      </c>
      <c r="N46">
        <v>0</v>
      </c>
      <c r="O46">
        <v>0</v>
      </c>
      <c r="P46">
        <v>0</v>
      </c>
      <c r="Q46">
        <v>0</v>
      </c>
      <c r="R46">
        <v>0</v>
      </c>
    </row>
    <row r="47" spans="1:18" x14ac:dyDescent="0.2">
      <c r="A47" t="str">
        <f t="shared" si="0"/>
        <v>ICE.2022.2</v>
      </c>
      <c r="B47" t="s">
        <v>1403</v>
      </c>
      <c r="C47" t="str">
        <f t="shared" si="1"/>
        <v>2</v>
      </c>
      <c r="D47" t="str">
        <f t="shared" si="2"/>
        <v>2022</v>
      </c>
      <c r="E47" s="51" t="s">
        <v>1486</v>
      </c>
      <c r="J47">
        <v>44.25</v>
      </c>
      <c r="K47">
        <v>0</v>
      </c>
      <c r="L47">
        <v>0</v>
      </c>
      <c r="M47">
        <v>25</v>
      </c>
      <c r="N47">
        <v>0</v>
      </c>
      <c r="O47">
        <v>0</v>
      </c>
      <c r="P47">
        <v>0</v>
      </c>
      <c r="Q47">
        <v>0</v>
      </c>
      <c r="R47">
        <v>0</v>
      </c>
    </row>
    <row r="48" spans="1:18" x14ac:dyDescent="0.2">
      <c r="A48" t="str">
        <f t="shared" si="0"/>
        <v>ICE.2022.3</v>
      </c>
      <c r="B48" t="s">
        <v>1403</v>
      </c>
      <c r="C48" t="str">
        <f t="shared" si="1"/>
        <v>3</v>
      </c>
      <c r="D48" t="str">
        <f t="shared" si="2"/>
        <v>2022</v>
      </c>
      <c r="E48" s="51" t="s">
        <v>1487</v>
      </c>
      <c r="J48">
        <v>38.6</v>
      </c>
      <c r="K48">
        <v>0</v>
      </c>
      <c r="L48">
        <v>0</v>
      </c>
      <c r="M48">
        <v>25</v>
      </c>
      <c r="N48">
        <v>0</v>
      </c>
      <c r="O48">
        <v>0</v>
      </c>
      <c r="P48">
        <v>0</v>
      </c>
      <c r="Q48">
        <v>0</v>
      </c>
      <c r="R48">
        <v>0</v>
      </c>
    </row>
    <row r="49" spans="1:18" x14ac:dyDescent="0.2">
      <c r="A49" t="str">
        <f t="shared" si="0"/>
        <v>ICE.2022.4</v>
      </c>
      <c r="B49" t="s">
        <v>1403</v>
      </c>
      <c r="C49" t="str">
        <f t="shared" si="1"/>
        <v>4</v>
      </c>
      <c r="D49" t="str">
        <f t="shared" si="2"/>
        <v>2022</v>
      </c>
      <c r="E49" s="51" t="s">
        <v>1488</v>
      </c>
      <c r="J49">
        <v>31.85</v>
      </c>
      <c r="K49">
        <v>0</v>
      </c>
      <c r="L49">
        <v>0</v>
      </c>
      <c r="M49">
        <v>25</v>
      </c>
      <c r="N49">
        <v>0</v>
      </c>
      <c r="O49">
        <v>0</v>
      </c>
      <c r="P49">
        <v>0</v>
      </c>
      <c r="Q49">
        <v>0</v>
      </c>
      <c r="R49">
        <v>0</v>
      </c>
    </row>
    <row r="50" spans="1:18" x14ac:dyDescent="0.2">
      <c r="A50" t="str">
        <f t="shared" si="0"/>
        <v>ICE.2022.5</v>
      </c>
      <c r="B50" t="s">
        <v>1403</v>
      </c>
      <c r="C50" t="str">
        <f t="shared" si="1"/>
        <v>5</v>
      </c>
      <c r="D50" t="str">
        <f t="shared" si="2"/>
        <v>2022</v>
      </c>
      <c r="E50" s="51" t="s">
        <v>1489</v>
      </c>
      <c r="J50">
        <v>31.95</v>
      </c>
      <c r="K50">
        <v>0</v>
      </c>
      <c r="L50">
        <v>0</v>
      </c>
      <c r="M50">
        <v>25</v>
      </c>
      <c r="N50">
        <v>0</v>
      </c>
      <c r="O50">
        <v>0</v>
      </c>
      <c r="P50">
        <v>0</v>
      </c>
      <c r="Q50">
        <v>0</v>
      </c>
      <c r="R50">
        <v>0</v>
      </c>
    </row>
    <row r="51" spans="1:18" x14ac:dyDescent="0.2">
      <c r="A51" t="str">
        <f t="shared" si="0"/>
        <v>ICE.2022.6</v>
      </c>
      <c r="B51" t="s">
        <v>1403</v>
      </c>
      <c r="C51" t="str">
        <f t="shared" si="1"/>
        <v>6</v>
      </c>
      <c r="D51" t="str">
        <f t="shared" si="2"/>
        <v>2022</v>
      </c>
      <c r="E51" s="51" t="s">
        <v>1490</v>
      </c>
      <c r="J51">
        <v>36.35</v>
      </c>
      <c r="K51">
        <v>0</v>
      </c>
      <c r="L51">
        <v>0</v>
      </c>
      <c r="M51">
        <v>25</v>
      </c>
      <c r="N51">
        <v>0</v>
      </c>
      <c r="O51">
        <v>0</v>
      </c>
      <c r="P51">
        <v>0</v>
      </c>
      <c r="Q51">
        <v>0</v>
      </c>
      <c r="R51">
        <v>0</v>
      </c>
    </row>
    <row r="52" spans="1:18" x14ac:dyDescent="0.2">
      <c r="A52" t="str">
        <f t="shared" si="0"/>
        <v>ICE.2022.7</v>
      </c>
      <c r="B52" t="s">
        <v>1403</v>
      </c>
      <c r="C52" t="str">
        <f t="shared" si="1"/>
        <v>7</v>
      </c>
      <c r="D52" t="str">
        <f t="shared" si="2"/>
        <v>2022</v>
      </c>
      <c r="E52" s="51" t="s">
        <v>1491</v>
      </c>
      <c r="J52">
        <v>45.05</v>
      </c>
      <c r="K52">
        <v>0</v>
      </c>
      <c r="L52">
        <v>0</v>
      </c>
      <c r="M52">
        <v>25</v>
      </c>
      <c r="N52">
        <v>0</v>
      </c>
      <c r="O52">
        <v>0</v>
      </c>
      <c r="P52">
        <v>0</v>
      </c>
      <c r="Q52">
        <v>0</v>
      </c>
      <c r="R52">
        <v>0</v>
      </c>
    </row>
    <row r="53" spans="1:18" x14ac:dyDescent="0.2">
      <c r="A53" t="str">
        <f t="shared" si="0"/>
        <v>ICE.2022.8</v>
      </c>
      <c r="B53" t="s">
        <v>1403</v>
      </c>
      <c r="C53" t="str">
        <f t="shared" si="1"/>
        <v>8</v>
      </c>
      <c r="D53" t="str">
        <f t="shared" si="2"/>
        <v>2022</v>
      </c>
      <c r="E53" s="51" t="s">
        <v>1492</v>
      </c>
      <c r="J53">
        <v>47.25</v>
      </c>
      <c r="K53">
        <v>0</v>
      </c>
      <c r="L53">
        <v>0</v>
      </c>
      <c r="M53">
        <v>25</v>
      </c>
      <c r="N53">
        <v>0</v>
      </c>
      <c r="O53">
        <v>0</v>
      </c>
      <c r="P53">
        <v>0</v>
      </c>
      <c r="Q53">
        <v>0</v>
      </c>
      <c r="R53">
        <v>0</v>
      </c>
    </row>
    <row r="54" spans="1:18" x14ac:dyDescent="0.2">
      <c r="A54" t="str">
        <f t="shared" si="0"/>
        <v>ICE.2022.9</v>
      </c>
      <c r="B54" t="s">
        <v>1403</v>
      </c>
      <c r="C54" t="str">
        <f t="shared" si="1"/>
        <v>9</v>
      </c>
      <c r="D54" t="str">
        <f t="shared" si="2"/>
        <v>2022</v>
      </c>
      <c r="E54" s="51" t="s">
        <v>1493</v>
      </c>
      <c r="J54">
        <v>44.75</v>
      </c>
      <c r="K54">
        <v>0</v>
      </c>
      <c r="L54">
        <v>0</v>
      </c>
      <c r="M54">
        <v>25</v>
      </c>
      <c r="N54">
        <v>0</v>
      </c>
      <c r="O54">
        <v>0</v>
      </c>
      <c r="P54">
        <v>0</v>
      </c>
      <c r="Q54">
        <v>0</v>
      </c>
      <c r="R54">
        <v>0</v>
      </c>
    </row>
    <row r="55" spans="1:18" x14ac:dyDescent="0.2">
      <c r="A55" t="str">
        <f t="shared" si="0"/>
        <v>ICE.2022.10</v>
      </c>
      <c r="B55" t="s">
        <v>1403</v>
      </c>
      <c r="C55" t="str">
        <f t="shared" si="1"/>
        <v>10</v>
      </c>
      <c r="D55" t="str">
        <f t="shared" si="2"/>
        <v>2022</v>
      </c>
      <c r="E55" s="51" t="s">
        <v>1494</v>
      </c>
      <c r="J55">
        <v>44.8</v>
      </c>
      <c r="K55">
        <v>0</v>
      </c>
      <c r="L55">
        <v>0</v>
      </c>
      <c r="M55">
        <v>25</v>
      </c>
      <c r="N55">
        <v>0</v>
      </c>
      <c r="O55">
        <v>0</v>
      </c>
      <c r="P55">
        <v>0</v>
      </c>
      <c r="Q55">
        <v>0</v>
      </c>
      <c r="R55">
        <v>0</v>
      </c>
    </row>
    <row r="56" spans="1:18" x14ac:dyDescent="0.2">
      <c r="A56" t="str">
        <f t="shared" si="0"/>
        <v>ICE.2022.11</v>
      </c>
      <c r="B56" t="s">
        <v>1403</v>
      </c>
      <c r="C56" t="str">
        <f t="shared" si="1"/>
        <v>11</v>
      </c>
      <c r="D56" t="str">
        <f t="shared" si="2"/>
        <v>2022</v>
      </c>
      <c r="E56" s="51" t="s">
        <v>1495</v>
      </c>
      <c r="J56">
        <v>44.25</v>
      </c>
      <c r="K56">
        <v>0</v>
      </c>
      <c r="L56">
        <v>0</v>
      </c>
      <c r="M56">
        <v>25</v>
      </c>
      <c r="N56">
        <v>0</v>
      </c>
      <c r="O56">
        <v>0</v>
      </c>
      <c r="P56">
        <v>0</v>
      </c>
      <c r="Q56">
        <v>0</v>
      </c>
      <c r="R56">
        <v>0</v>
      </c>
    </row>
    <row r="57" spans="1:18" x14ac:dyDescent="0.2">
      <c r="A57" t="str">
        <f t="shared" si="0"/>
        <v>ICE.2022.12</v>
      </c>
      <c r="B57" t="s">
        <v>1403</v>
      </c>
      <c r="C57" t="str">
        <f t="shared" si="1"/>
        <v>12</v>
      </c>
      <c r="D57" t="str">
        <f t="shared" si="2"/>
        <v>2022</v>
      </c>
      <c r="E57" s="51" t="s">
        <v>1496</v>
      </c>
      <c r="J57">
        <v>47.25</v>
      </c>
      <c r="K57">
        <v>0</v>
      </c>
      <c r="L57">
        <v>0</v>
      </c>
      <c r="M57">
        <v>25</v>
      </c>
      <c r="N57">
        <v>0</v>
      </c>
      <c r="O57">
        <v>0</v>
      </c>
      <c r="P57">
        <v>0</v>
      </c>
      <c r="Q57">
        <v>0</v>
      </c>
      <c r="R57">
        <v>0</v>
      </c>
    </row>
    <row r="58" spans="1:18" x14ac:dyDescent="0.2">
      <c r="A58" t="str">
        <f t="shared" si="0"/>
        <v>ICE.2023.1</v>
      </c>
      <c r="B58" t="s">
        <v>1403</v>
      </c>
      <c r="C58" t="str">
        <f t="shared" si="1"/>
        <v>1</v>
      </c>
      <c r="D58" t="str">
        <f t="shared" si="2"/>
        <v>2023</v>
      </c>
      <c r="E58" s="51" t="s">
        <v>1511</v>
      </c>
      <c r="J58">
        <v>47.3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</row>
    <row r="59" spans="1:18" x14ac:dyDescent="0.2">
      <c r="A59" t="str">
        <f t="shared" si="0"/>
        <v>ICE.2023.2</v>
      </c>
      <c r="B59" t="s">
        <v>1403</v>
      </c>
      <c r="C59" t="str">
        <f t="shared" si="1"/>
        <v>2</v>
      </c>
      <c r="D59" t="str">
        <f t="shared" si="2"/>
        <v>2023</v>
      </c>
      <c r="E59" s="51" t="s">
        <v>1512</v>
      </c>
      <c r="J59">
        <v>45.3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</row>
    <row r="60" spans="1:18" x14ac:dyDescent="0.2">
      <c r="A60" t="str">
        <f t="shared" si="0"/>
        <v>ICE.2023.3</v>
      </c>
      <c r="B60" t="s">
        <v>1403</v>
      </c>
      <c r="C60" t="str">
        <f t="shared" si="1"/>
        <v>3</v>
      </c>
      <c r="D60" t="str">
        <f t="shared" si="2"/>
        <v>2023</v>
      </c>
      <c r="E60" s="51" t="s">
        <v>1513</v>
      </c>
      <c r="J60">
        <v>39.549999999999997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</row>
    <row r="61" spans="1:18" x14ac:dyDescent="0.2">
      <c r="A61" t="str">
        <f t="shared" si="0"/>
        <v>ICE.2023.4</v>
      </c>
      <c r="B61" t="s">
        <v>1403</v>
      </c>
      <c r="C61" t="str">
        <f t="shared" si="1"/>
        <v>4</v>
      </c>
      <c r="D61" t="str">
        <f t="shared" si="2"/>
        <v>2023</v>
      </c>
      <c r="E61" s="51" t="s">
        <v>1514</v>
      </c>
      <c r="J61">
        <v>32.700000000000003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</row>
    <row r="62" spans="1:18" x14ac:dyDescent="0.2">
      <c r="A62" t="str">
        <f t="shared" si="0"/>
        <v>ICE.2023.5</v>
      </c>
      <c r="B62" t="s">
        <v>1403</v>
      </c>
      <c r="C62" t="str">
        <f t="shared" si="1"/>
        <v>5</v>
      </c>
      <c r="D62" t="str">
        <f t="shared" si="2"/>
        <v>2023</v>
      </c>
      <c r="E62" s="51" t="s">
        <v>1515</v>
      </c>
      <c r="J62">
        <v>32.799999999999997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</row>
    <row r="63" spans="1:18" x14ac:dyDescent="0.2">
      <c r="A63" t="str">
        <f t="shared" si="0"/>
        <v>ICE.2023.6</v>
      </c>
      <c r="B63" t="s">
        <v>1403</v>
      </c>
      <c r="C63" t="str">
        <f t="shared" si="1"/>
        <v>6</v>
      </c>
      <c r="D63" t="str">
        <f t="shared" si="2"/>
        <v>2023</v>
      </c>
      <c r="E63" s="51" t="s">
        <v>1516</v>
      </c>
      <c r="J63">
        <v>37.1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</row>
    <row r="64" spans="1:18" x14ac:dyDescent="0.2">
      <c r="A64" t="str">
        <f t="shared" si="0"/>
        <v>ICE.2023.7</v>
      </c>
      <c r="B64" t="s">
        <v>1403</v>
      </c>
      <c r="C64" t="str">
        <f t="shared" si="1"/>
        <v>7</v>
      </c>
      <c r="D64" t="str">
        <f t="shared" si="2"/>
        <v>2023</v>
      </c>
      <c r="E64" s="51" t="s">
        <v>1517</v>
      </c>
      <c r="J64">
        <v>46.45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</row>
    <row r="65" spans="1:18" x14ac:dyDescent="0.2">
      <c r="A65" t="str">
        <f t="shared" si="0"/>
        <v>ICE.2023.8</v>
      </c>
      <c r="B65" t="s">
        <v>1403</v>
      </c>
      <c r="C65" t="str">
        <f t="shared" si="1"/>
        <v>8</v>
      </c>
      <c r="D65" t="str">
        <f t="shared" si="2"/>
        <v>2023</v>
      </c>
      <c r="E65" s="51" t="s">
        <v>1518</v>
      </c>
      <c r="J65">
        <v>48.85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</row>
    <row r="66" spans="1:18" x14ac:dyDescent="0.2">
      <c r="A66" t="str">
        <f t="shared" si="0"/>
        <v>ICE.2023.9</v>
      </c>
      <c r="B66" t="s">
        <v>1403</v>
      </c>
      <c r="C66" t="str">
        <f t="shared" si="1"/>
        <v>9</v>
      </c>
      <c r="D66" t="str">
        <f t="shared" si="2"/>
        <v>2023</v>
      </c>
      <c r="E66" s="51" t="s">
        <v>1519</v>
      </c>
      <c r="J66">
        <v>46.05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</row>
    <row r="67" spans="1:18" x14ac:dyDescent="0.2">
      <c r="A67" t="str">
        <f t="shared" ref="A67:A117" si="3">B67&amp;"."&amp;D67&amp;"."&amp;C67</f>
        <v>ICE.2023.10</v>
      </c>
      <c r="B67" t="s">
        <v>1403</v>
      </c>
      <c r="C67" t="str">
        <f t="shared" ref="C67:C117" si="4">TEXT(DATEVALUE("1"&amp;E67),"M")</f>
        <v>10</v>
      </c>
      <c r="D67" t="str">
        <f t="shared" ref="D67:D117" si="5">TEXT(DATEVALUE("1"&amp;E67),"YYYY")</f>
        <v>2023</v>
      </c>
      <c r="E67" s="51" t="s">
        <v>1520</v>
      </c>
      <c r="J67">
        <v>45.8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</row>
    <row r="68" spans="1:18" x14ac:dyDescent="0.2">
      <c r="A68" t="str">
        <f t="shared" si="3"/>
        <v>ICE.2023.11</v>
      </c>
      <c r="B68" t="s">
        <v>1403</v>
      </c>
      <c r="C68" t="str">
        <f t="shared" si="4"/>
        <v>11</v>
      </c>
      <c r="D68" t="str">
        <f t="shared" si="5"/>
        <v>2023</v>
      </c>
      <c r="E68" s="51" t="s">
        <v>1521</v>
      </c>
      <c r="J68">
        <v>45.25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</row>
    <row r="69" spans="1:18" x14ac:dyDescent="0.2">
      <c r="A69" t="str">
        <f t="shared" si="3"/>
        <v>ICE.2023.12</v>
      </c>
      <c r="B69" t="s">
        <v>1403</v>
      </c>
      <c r="C69" t="str">
        <f t="shared" si="4"/>
        <v>12</v>
      </c>
      <c r="D69" t="str">
        <f t="shared" si="5"/>
        <v>2023</v>
      </c>
      <c r="E69" s="51" t="s">
        <v>1522</v>
      </c>
      <c r="J69">
        <v>48.1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</row>
    <row r="70" spans="1:18" x14ac:dyDescent="0.2">
      <c r="A70" t="str">
        <f t="shared" si="3"/>
        <v>ICE.2024.1</v>
      </c>
      <c r="B70" t="s">
        <v>1403</v>
      </c>
      <c r="C70" t="str">
        <f t="shared" si="4"/>
        <v>1</v>
      </c>
      <c r="D70" t="str">
        <f t="shared" si="5"/>
        <v>2024</v>
      </c>
      <c r="E70" s="51" t="s">
        <v>1523</v>
      </c>
      <c r="J70">
        <v>48.2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</row>
    <row r="71" spans="1:18" x14ac:dyDescent="0.2">
      <c r="A71" t="str">
        <f t="shared" si="3"/>
        <v>ICE.2024.2</v>
      </c>
      <c r="B71" t="s">
        <v>1403</v>
      </c>
      <c r="C71" t="str">
        <f t="shared" si="4"/>
        <v>2</v>
      </c>
      <c r="D71" t="str">
        <f t="shared" si="5"/>
        <v>2024</v>
      </c>
      <c r="E71" s="51" t="s">
        <v>1524</v>
      </c>
      <c r="J71">
        <v>46.25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</row>
    <row r="72" spans="1:18" x14ac:dyDescent="0.2">
      <c r="A72" t="str">
        <f t="shared" si="3"/>
        <v>ICE.2024.3</v>
      </c>
      <c r="B72" t="s">
        <v>1403</v>
      </c>
      <c r="C72" t="str">
        <f t="shared" si="4"/>
        <v>3</v>
      </c>
      <c r="D72" t="str">
        <f t="shared" si="5"/>
        <v>2024</v>
      </c>
      <c r="E72" s="51" t="s">
        <v>1525</v>
      </c>
      <c r="J72">
        <v>40.299999999999997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</row>
    <row r="73" spans="1:18" x14ac:dyDescent="0.2">
      <c r="A73" t="str">
        <f t="shared" si="3"/>
        <v>ICE.2024.4</v>
      </c>
      <c r="B73" t="s">
        <v>1403</v>
      </c>
      <c r="C73" t="str">
        <f t="shared" si="4"/>
        <v>4</v>
      </c>
      <c r="D73" t="str">
        <f t="shared" si="5"/>
        <v>2024</v>
      </c>
      <c r="E73" s="51" t="s">
        <v>1526</v>
      </c>
      <c r="J73">
        <v>33.4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</row>
    <row r="74" spans="1:18" x14ac:dyDescent="0.2">
      <c r="A74" t="str">
        <f t="shared" si="3"/>
        <v>ICE.2024.5</v>
      </c>
      <c r="B74" t="s">
        <v>1403</v>
      </c>
      <c r="C74" t="str">
        <f t="shared" si="4"/>
        <v>5</v>
      </c>
      <c r="D74" t="str">
        <f t="shared" si="5"/>
        <v>2024</v>
      </c>
      <c r="E74" s="51" t="s">
        <v>1527</v>
      </c>
      <c r="J74">
        <v>33.549999999999997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</row>
    <row r="75" spans="1:18" x14ac:dyDescent="0.2">
      <c r="A75" t="str">
        <f t="shared" si="3"/>
        <v>ICE.2024.6</v>
      </c>
      <c r="B75" t="s">
        <v>1403</v>
      </c>
      <c r="C75" t="str">
        <f t="shared" si="4"/>
        <v>6</v>
      </c>
      <c r="D75" t="str">
        <f t="shared" si="5"/>
        <v>2024</v>
      </c>
      <c r="E75" s="51" t="s">
        <v>1528</v>
      </c>
      <c r="J75">
        <v>37.4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</row>
    <row r="76" spans="1:18" x14ac:dyDescent="0.2">
      <c r="A76" t="str">
        <f t="shared" si="3"/>
        <v>ICE.2024.7</v>
      </c>
      <c r="B76" t="s">
        <v>1403</v>
      </c>
      <c r="C76" t="str">
        <f t="shared" si="4"/>
        <v>7</v>
      </c>
      <c r="D76" t="str">
        <f t="shared" si="5"/>
        <v>2024</v>
      </c>
      <c r="E76" s="51" t="s">
        <v>1529</v>
      </c>
      <c r="J76">
        <v>47.75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</row>
    <row r="77" spans="1:18" x14ac:dyDescent="0.2">
      <c r="A77" t="str">
        <f t="shared" si="3"/>
        <v>ICE.2024.8</v>
      </c>
      <c r="B77" t="s">
        <v>1403</v>
      </c>
      <c r="C77" t="str">
        <f t="shared" si="4"/>
        <v>8</v>
      </c>
      <c r="D77" t="str">
        <f t="shared" si="5"/>
        <v>2024</v>
      </c>
      <c r="E77" s="51" t="s">
        <v>1530</v>
      </c>
      <c r="J77">
        <v>50.15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</row>
    <row r="78" spans="1:18" x14ac:dyDescent="0.2">
      <c r="A78" t="str">
        <f t="shared" si="3"/>
        <v>ICE.2024.9</v>
      </c>
      <c r="B78" t="s">
        <v>1403</v>
      </c>
      <c r="C78" t="str">
        <f t="shared" si="4"/>
        <v>9</v>
      </c>
      <c r="D78" t="str">
        <f t="shared" si="5"/>
        <v>2024</v>
      </c>
      <c r="E78" s="51" t="s">
        <v>1531</v>
      </c>
      <c r="J78">
        <v>47.55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</row>
    <row r="79" spans="1:18" x14ac:dyDescent="0.2">
      <c r="A79" t="str">
        <f t="shared" si="3"/>
        <v>ICE.2024.10</v>
      </c>
      <c r="B79" t="s">
        <v>1403</v>
      </c>
      <c r="C79" t="str">
        <f t="shared" si="4"/>
        <v>10</v>
      </c>
      <c r="D79" t="str">
        <f t="shared" si="5"/>
        <v>2024</v>
      </c>
      <c r="E79" s="51" t="s">
        <v>1532</v>
      </c>
      <c r="J79">
        <v>47.15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</row>
    <row r="80" spans="1:18" x14ac:dyDescent="0.2">
      <c r="A80" t="str">
        <f t="shared" si="3"/>
        <v>ICE.2024.11</v>
      </c>
      <c r="B80" t="s">
        <v>1403</v>
      </c>
      <c r="C80" t="str">
        <f t="shared" si="4"/>
        <v>11</v>
      </c>
      <c r="D80" t="str">
        <f t="shared" si="5"/>
        <v>2024</v>
      </c>
      <c r="E80" s="51" t="s">
        <v>1533</v>
      </c>
      <c r="J80">
        <v>46.6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</row>
    <row r="81" spans="1:18" x14ac:dyDescent="0.2">
      <c r="A81" t="str">
        <f t="shared" si="3"/>
        <v>ICE.2024.12</v>
      </c>
      <c r="B81" t="s">
        <v>1403</v>
      </c>
      <c r="C81" t="str">
        <f t="shared" si="4"/>
        <v>12</v>
      </c>
      <c r="D81" t="str">
        <f t="shared" si="5"/>
        <v>2024</v>
      </c>
      <c r="E81" s="51" t="s">
        <v>1534</v>
      </c>
      <c r="J81">
        <v>49.65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</row>
    <row r="82" spans="1:18" x14ac:dyDescent="0.2">
      <c r="A82" t="str">
        <f t="shared" si="3"/>
        <v>ICE.2025.1</v>
      </c>
      <c r="B82" t="s">
        <v>1403</v>
      </c>
      <c r="C82" t="str">
        <f t="shared" si="4"/>
        <v>1</v>
      </c>
      <c r="D82" t="str">
        <f t="shared" si="5"/>
        <v>2025</v>
      </c>
      <c r="E82" s="51" t="s">
        <v>1538</v>
      </c>
      <c r="J82">
        <v>49.4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</row>
    <row r="83" spans="1:18" x14ac:dyDescent="0.2">
      <c r="A83" t="str">
        <f t="shared" si="3"/>
        <v>ICE.2025.2</v>
      </c>
      <c r="B83" t="s">
        <v>1403</v>
      </c>
      <c r="C83" t="str">
        <f t="shared" si="4"/>
        <v>2</v>
      </c>
      <c r="D83" t="str">
        <f t="shared" si="5"/>
        <v>2025</v>
      </c>
      <c r="E83" s="51" t="s">
        <v>1539</v>
      </c>
      <c r="J83">
        <v>47.45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</row>
    <row r="84" spans="1:18" x14ac:dyDescent="0.2">
      <c r="A84" t="str">
        <f t="shared" si="3"/>
        <v>ICE.2025.3</v>
      </c>
      <c r="B84" t="s">
        <v>1403</v>
      </c>
      <c r="C84" t="str">
        <f t="shared" si="4"/>
        <v>3</v>
      </c>
      <c r="D84" t="str">
        <f t="shared" si="5"/>
        <v>2025</v>
      </c>
      <c r="E84" s="51" t="s">
        <v>1540</v>
      </c>
      <c r="J84">
        <v>41.45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</row>
    <row r="85" spans="1:18" x14ac:dyDescent="0.2">
      <c r="A85" t="str">
        <f t="shared" si="3"/>
        <v>ICE.2025.4</v>
      </c>
      <c r="B85" t="s">
        <v>1403</v>
      </c>
      <c r="C85" t="str">
        <f t="shared" si="4"/>
        <v>4</v>
      </c>
      <c r="D85" t="str">
        <f t="shared" si="5"/>
        <v>2025</v>
      </c>
      <c r="E85" s="51" t="s">
        <v>1541</v>
      </c>
      <c r="J85">
        <v>34.15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</row>
    <row r="86" spans="1:18" x14ac:dyDescent="0.2">
      <c r="A86" t="str">
        <f t="shared" si="3"/>
        <v>ICE.2025.5</v>
      </c>
      <c r="B86" t="s">
        <v>1403</v>
      </c>
      <c r="C86" t="str">
        <f t="shared" si="4"/>
        <v>5</v>
      </c>
      <c r="D86" t="str">
        <f t="shared" si="5"/>
        <v>2025</v>
      </c>
      <c r="E86" s="51" t="s">
        <v>1542</v>
      </c>
      <c r="J86">
        <v>34.35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</row>
    <row r="87" spans="1:18" x14ac:dyDescent="0.2">
      <c r="A87" t="str">
        <f t="shared" si="3"/>
        <v>ICE.2025.6</v>
      </c>
      <c r="B87" t="s">
        <v>1403</v>
      </c>
      <c r="C87" t="str">
        <f t="shared" si="4"/>
        <v>6</v>
      </c>
      <c r="D87" t="str">
        <f t="shared" si="5"/>
        <v>2025</v>
      </c>
      <c r="E87" s="51" t="s">
        <v>1543</v>
      </c>
      <c r="J87">
        <v>38.5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</row>
    <row r="88" spans="1:18" x14ac:dyDescent="0.2">
      <c r="A88" t="str">
        <f t="shared" si="3"/>
        <v>ICE.2025.7</v>
      </c>
      <c r="B88" t="s">
        <v>1403</v>
      </c>
      <c r="C88" t="str">
        <f t="shared" si="4"/>
        <v>7</v>
      </c>
      <c r="D88" t="str">
        <f t="shared" si="5"/>
        <v>2025</v>
      </c>
      <c r="E88" s="51" t="s">
        <v>1544</v>
      </c>
      <c r="J88">
        <v>49.05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</row>
    <row r="89" spans="1:18" x14ac:dyDescent="0.2">
      <c r="A89" t="str">
        <f t="shared" si="3"/>
        <v>ICE.2025.8</v>
      </c>
      <c r="B89" t="s">
        <v>1403</v>
      </c>
      <c r="C89" t="str">
        <f t="shared" si="4"/>
        <v>8</v>
      </c>
      <c r="D89" t="str">
        <f t="shared" si="5"/>
        <v>2025</v>
      </c>
      <c r="E89" s="51" t="s">
        <v>1545</v>
      </c>
      <c r="J89">
        <v>51.45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</row>
    <row r="90" spans="1:18" x14ac:dyDescent="0.2">
      <c r="A90" t="str">
        <f t="shared" si="3"/>
        <v>ICE.2025.9</v>
      </c>
      <c r="B90" t="s">
        <v>1403</v>
      </c>
      <c r="C90" t="str">
        <f t="shared" si="4"/>
        <v>9</v>
      </c>
      <c r="D90" t="str">
        <f t="shared" si="5"/>
        <v>2025</v>
      </c>
      <c r="E90" s="51" t="s">
        <v>1546</v>
      </c>
      <c r="J90">
        <v>48.75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</row>
    <row r="91" spans="1:18" x14ac:dyDescent="0.2">
      <c r="A91" t="str">
        <f t="shared" si="3"/>
        <v>ICE.2025.10</v>
      </c>
      <c r="B91" t="s">
        <v>1403</v>
      </c>
      <c r="C91" t="str">
        <f t="shared" si="4"/>
        <v>10</v>
      </c>
      <c r="D91" t="str">
        <f t="shared" si="5"/>
        <v>2025</v>
      </c>
      <c r="E91" s="51" t="s">
        <v>1547</v>
      </c>
      <c r="J91">
        <v>48.3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</row>
    <row r="92" spans="1:18" x14ac:dyDescent="0.2">
      <c r="A92" t="str">
        <f t="shared" si="3"/>
        <v>ICE.2025.11</v>
      </c>
      <c r="B92" t="s">
        <v>1403</v>
      </c>
      <c r="C92" t="str">
        <f t="shared" si="4"/>
        <v>11</v>
      </c>
      <c r="D92" t="str">
        <f t="shared" si="5"/>
        <v>2025</v>
      </c>
      <c r="E92" s="51" t="s">
        <v>1548</v>
      </c>
      <c r="J92">
        <v>47.75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</row>
    <row r="93" spans="1:18" x14ac:dyDescent="0.2">
      <c r="A93" t="str">
        <f t="shared" si="3"/>
        <v>ICE.2025.12</v>
      </c>
      <c r="B93" t="s">
        <v>1403</v>
      </c>
      <c r="C93" t="str">
        <f t="shared" si="4"/>
        <v>12</v>
      </c>
      <c r="D93" t="str">
        <f t="shared" si="5"/>
        <v>2025</v>
      </c>
      <c r="E93" s="51" t="s">
        <v>1549</v>
      </c>
      <c r="J93">
        <v>50.85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</row>
    <row r="94" spans="1:18" x14ac:dyDescent="0.2">
      <c r="A94" t="str">
        <f t="shared" si="3"/>
        <v>ICE.2026.1</v>
      </c>
      <c r="B94" t="s">
        <v>1403</v>
      </c>
      <c r="C94" t="str">
        <f t="shared" si="4"/>
        <v>1</v>
      </c>
      <c r="D94" t="str">
        <f t="shared" si="5"/>
        <v>2026</v>
      </c>
      <c r="E94" s="51" t="s">
        <v>1550</v>
      </c>
      <c r="J94">
        <v>50.5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</row>
    <row r="95" spans="1:18" x14ac:dyDescent="0.2">
      <c r="A95" t="str">
        <f t="shared" si="3"/>
        <v>ICE.2026.2</v>
      </c>
      <c r="B95" t="s">
        <v>1403</v>
      </c>
      <c r="C95" t="str">
        <f t="shared" si="4"/>
        <v>2</v>
      </c>
      <c r="D95" t="str">
        <f t="shared" si="5"/>
        <v>2026</v>
      </c>
      <c r="E95" s="51" t="s">
        <v>1551</v>
      </c>
      <c r="J95">
        <v>48.55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</row>
    <row r="96" spans="1:18" x14ac:dyDescent="0.2">
      <c r="A96" t="str">
        <f t="shared" si="3"/>
        <v>ICE.2026.3</v>
      </c>
      <c r="B96" t="s">
        <v>1403</v>
      </c>
      <c r="C96" t="str">
        <f t="shared" si="4"/>
        <v>3</v>
      </c>
      <c r="D96" t="str">
        <f t="shared" si="5"/>
        <v>2026</v>
      </c>
      <c r="E96" s="51" t="s">
        <v>1552</v>
      </c>
      <c r="J96">
        <v>42.3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</row>
    <row r="97" spans="1:18" x14ac:dyDescent="0.2">
      <c r="A97" t="str">
        <f t="shared" si="3"/>
        <v>ICE.2026.4</v>
      </c>
      <c r="B97" t="s">
        <v>1403</v>
      </c>
      <c r="C97" t="str">
        <f t="shared" si="4"/>
        <v>4</v>
      </c>
      <c r="D97" t="str">
        <f t="shared" si="5"/>
        <v>2026</v>
      </c>
      <c r="E97" s="51" t="s">
        <v>1553</v>
      </c>
      <c r="J97">
        <v>34.950000000000003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</row>
    <row r="98" spans="1:18" x14ac:dyDescent="0.2">
      <c r="A98" t="str">
        <f t="shared" si="3"/>
        <v>ICE.2026.5</v>
      </c>
      <c r="B98" t="s">
        <v>1403</v>
      </c>
      <c r="C98" t="str">
        <f t="shared" si="4"/>
        <v>5</v>
      </c>
      <c r="D98" t="str">
        <f t="shared" si="5"/>
        <v>2026</v>
      </c>
      <c r="E98" s="51" t="s">
        <v>1554</v>
      </c>
      <c r="J98">
        <v>35.25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</row>
    <row r="99" spans="1:18" x14ac:dyDescent="0.2">
      <c r="A99" t="str">
        <f t="shared" si="3"/>
        <v>ICE.2026.6</v>
      </c>
      <c r="B99" t="s">
        <v>1403</v>
      </c>
      <c r="C99" t="str">
        <f t="shared" si="4"/>
        <v>6</v>
      </c>
      <c r="D99" t="str">
        <f t="shared" si="5"/>
        <v>2026</v>
      </c>
      <c r="E99" s="51" t="s">
        <v>1555</v>
      </c>
      <c r="J99">
        <v>39.4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</row>
    <row r="100" spans="1:18" x14ac:dyDescent="0.2">
      <c r="A100" t="str">
        <f t="shared" si="3"/>
        <v>ICE.2026.7</v>
      </c>
      <c r="B100" t="s">
        <v>1403</v>
      </c>
      <c r="C100" t="str">
        <f t="shared" si="4"/>
        <v>7</v>
      </c>
      <c r="D100" t="str">
        <f t="shared" si="5"/>
        <v>2026</v>
      </c>
      <c r="E100" s="51" t="s">
        <v>1556</v>
      </c>
      <c r="J100">
        <v>50.35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</row>
    <row r="101" spans="1:18" x14ac:dyDescent="0.2">
      <c r="A101" t="str">
        <f t="shared" si="3"/>
        <v>ICE.2026.8</v>
      </c>
      <c r="B101" t="s">
        <v>1403</v>
      </c>
      <c r="C101" t="str">
        <f t="shared" si="4"/>
        <v>8</v>
      </c>
      <c r="D101" t="str">
        <f t="shared" si="5"/>
        <v>2026</v>
      </c>
      <c r="E101" s="51" t="s">
        <v>1557</v>
      </c>
      <c r="J101">
        <v>52.85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</row>
    <row r="102" spans="1:18" x14ac:dyDescent="0.2">
      <c r="A102" t="str">
        <f t="shared" si="3"/>
        <v>ICE.2026.9</v>
      </c>
      <c r="B102" t="s">
        <v>1403</v>
      </c>
      <c r="C102" t="str">
        <f t="shared" si="4"/>
        <v>9</v>
      </c>
      <c r="D102" t="str">
        <f t="shared" si="5"/>
        <v>2026</v>
      </c>
      <c r="E102" s="51" t="s">
        <v>1558</v>
      </c>
      <c r="J102">
        <v>50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</row>
    <row r="103" spans="1:18" x14ac:dyDescent="0.2">
      <c r="A103" t="str">
        <f t="shared" si="3"/>
        <v>ICE.2026.10</v>
      </c>
      <c r="B103" t="s">
        <v>1403</v>
      </c>
      <c r="C103" t="str">
        <f t="shared" si="4"/>
        <v>10</v>
      </c>
      <c r="D103" t="str">
        <f t="shared" si="5"/>
        <v>2026</v>
      </c>
      <c r="E103" s="51" t="s">
        <v>1559</v>
      </c>
      <c r="J103">
        <v>49.4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</row>
    <row r="104" spans="1:18" x14ac:dyDescent="0.2">
      <c r="A104" t="str">
        <f t="shared" si="3"/>
        <v>ICE.2026.11</v>
      </c>
      <c r="B104" t="s">
        <v>1403</v>
      </c>
      <c r="C104" t="str">
        <f t="shared" si="4"/>
        <v>11</v>
      </c>
      <c r="D104" t="str">
        <f t="shared" si="5"/>
        <v>2026</v>
      </c>
      <c r="E104" s="51" t="s">
        <v>1560</v>
      </c>
      <c r="J104">
        <v>48.85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</row>
    <row r="105" spans="1:18" x14ac:dyDescent="0.2">
      <c r="A105" t="str">
        <f t="shared" si="3"/>
        <v>ICE.2026.12</v>
      </c>
      <c r="B105" t="s">
        <v>1403</v>
      </c>
      <c r="C105" t="str">
        <f t="shared" si="4"/>
        <v>12</v>
      </c>
      <c r="D105" t="str">
        <f t="shared" si="5"/>
        <v>2026</v>
      </c>
      <c r="E105" s="51" t="s">
        <v>1561</v>
      </c>
      <c r="J105">
        <v>52.05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</row>
    <row r="106" spans="1:18" x14ac:dyDescent="0.2">
      <c r="A106" t="str">
        <f t="shared" si="3"/>
        <v>ICE.2027.1</v>
      </c>
      <c r="B106" t="s">
        <v>1403</v>
      </c>
      <c r="C106" t="str">
        <f t="shared" si="4"/>
        <v>1</v>
      </c>
      <c r="D106" t="str">
        <f t="shared" si="5"/>
        <v>2027</v>
      </c>
      <c r="E106" s="51" t="s">
        <v>1562</v>
      </c>
      <c r="J106">
        <v>51.8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</row>
    <row r="107" spans="1:18" x14ac:dyDescent="0.2">
      <c r="A107" t="str">
        <f t="shared" si="3"/>
        <v>ICE.2027.2</v>
      </c>
      <c r="B107" t="s">
        <v>1403</v>
      </c>
      <c r="C107" t="str">
        <f t="shared" si="4"/>
        <v>2</v>
      </c>
      <c r="D107" t="str">
        <f t="shared" si="5"/>
        <v>2027</v>
      </c>
      <c r="E107" s="51" t="s">
        <v>1563</v>
      </c>
      <c r="J107">
        <v>49.65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</row>
    <row r="108" spans="1:18" x14ac:dyDescent="0.2">
      <c r="A108" t="str">
        <f t="shared" si="3"/>
        <v>ICE.2027.3</v>
      </c>
      <c r="B108" t="s">
        <v>1403</v>
      </c>
      <c r="C108" t="str">
        <f t="shared" si="4"/>
        <v>3</v>
      </c>
      <c r="D108" t="str">
        <f t="shared" si="5"/>
        <v>2027</v>
      </c>
      <c r="E108" s="51" t="s">
        <v>1564</v>
      </c>
      <c r="J108">
        <v>43.35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</row>
    <row r="109" spans="1:18" x14ac:dyDescent="0.2">
      <c r="A109" t="str">
        <f t="shared" si="3"/>
        <v>ICE.2027.4</v>
      </c>
      <c r="B109" t="s">
        <v>1403</v>
      </c>
      <c r="C109" t="str">
        <f t="shared" si="4"/>
        <v>4</v>
      </c>
      <c r="D109" t="str">
        <f t="shared" si="5"/>
        <v>2027</v>
      </c>
      <c r="E109" s="51" t="s">
        <v>1565</v>
      </c>
      <c r="J109">
        <v>35.799999999999997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</row>
    <row r="110" spans="1:18" x14ac:dyDescent="0.2">
      <c r="A110" t="str">
        <f t="shared" si="3"/>
        <v>ICE.2027.5</v>
      </c>
      <c r="B110" t="s">
        <v>1403</v>
      </c>
      <c r="C110" t="str">
        <f t="shared" si="4"/>
        <v>5</v>
      </c>
      <c r="D110" t="str">
        <f t="shared" si="5"/>
        <v>2027</v>
      </c>
      <c r="E110" s="51" t="s">
        <v>1566</v>
      </c>
      <c r="J110">
        <v>36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</row>
    <row r="111" spans="1:18" x14ac:dyDescent="0.2">
      <c r="A111" t="str">
        <f t="shared" si="3"/>
        <v>ICE.2027.6</v>
      </c>
      <c r="B111" t="s">
        <v>1403</v>
      </c>
      <c r="C111" t="str">
        <f t="shared" si="4"/>
        <v>6</v>
      </c>
      <c r="D111" t="str">
        <f t="shared" si="5"/>
        <v>2027</v>
      </c>
      <c r="E111" s="51" t="s">
        <v>1567</v>
      </c>
      <c r="J111">
        <v>40.25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</row>
    <row r="112" spans="1:18" x14ac:dyDescent="0.2">
      <c r="A112" t="str">
        <f t="shared" si="3"/>
        <v>ICE.2027.7</v>
      </c>
      <c r="B112" t="s">
        <v>1403</v>
      </c>
      <c r="C112" t="str">
        <f t="shared" si="4"/>
        <v>7</v>
      </c>
      <c r="D112" t="str">
        <f t="shared" si="5"/>
        <v>2027</v>
      </c>
      <c r="E112" s="51" t="s">
        <v>1568</v>
      </c>
      <c r="J112">
        <v>51.55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</row>
    <row r="113" spans="1:18" x14ac:dyDescent="0.2">
      <c r="A113" t="str">
        <f t="shared" si="3"/>
        <v>ICE.2027.8</v>
      </c>
      <c r="B113" t="s">
        <v>1403</v>
      </c>
      <c r="C113" t="str">
        <f t="shared" si="4"/>
        <v>8</v>
      </c>
      <c r="D113" t="str">
        <f t="shared" si="5"/>
        <v>2027</v>
      </c>
      <c r="E113" s="51" t="s">
        <v>1569</v>
      </c>
      <c r="J113">
        <v>53.95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</row>
    <row r="114" spans="1:18" x14ac:dyDescent="0.2">
      <c r="A114" t="str">
        <f t="shared" si="3"/>
        <v>ICE.2027.9</v>
      </c>
      <c r="B114" t="s">
        <v>1403</v>
      </c>
      <c r="C114" t="str">
        <f t="shared" si="4"/>
        <v>9</v>
      </c>
      <c r="D114" t="str">
        <f t="shared" si="5"/>
        <v>2027</v>
      </c>
      <c r="E114" s="51" t="s">
        <v>1570</v>
      </c>
      <c r="J114">
        <v>51.2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</row>
    <row r="115" spans="1:18" x14ac:dyDescent="0.2">
      <c r="A115" t="str">
        <f t="shared" si="3"/>
        <v>ICE.2027.10</v>
      </c>
      <c r="B115" t="s">
        <v>1403</v>
      </c>
      <c r="C115" t="str">
        <f t="shared" si="4"/>
        <v>10</v>
      </c>
      <c r="D115" t="str">
        <f t="shared" si="5"/>
        <v>2027</v>
      </c>
      <c r="E115" s="51" t="s">
        <v>1571</v>
      </c>
      <c r="J115">
        <v>50.65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</row>
    <row r="116" spans="1:18" x14ac:dyDescent="0.2">
      <c r="A116" t="str">
        <f t="shared" si="3"/>
        <v>ICE.2027.11</v>
      </c>
      <c r="B116" t="s">
        <v>1403</v>
      </c>
      <c r="C116" t="str">
        <f t="shared" si="4"/>
        <v>11</v>
      </c>
      <c r="D116" t="str">
        <f t="shared" si="5"/>
        <v>2027</v>
      </c>
      <c r="E116" s="51" t="s">
        <v>1572</v>
      </c>
      <c r="J116">
        <v>49.95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</row>
    <row r="117" spans="1:18" x14ac:dyDescent="0.2">
      <c r="A117" t="str">
        <f t="shared" si="3"/>
        <v>ICE.2027.12</v>
      </c>
      <c r="B117" t="s">
        <v>1403</v>
      </c>
      <c r="C117" t="str">
        <f t="shared" si="4"/>
        <v>12</v>
      </c>
      <c r="D117" t="str">
        <f t="shared" si="5"/>
        <v>2027</v>
      </c>
      <c r="E117" s="51" t="s">
        <v>1573</v>
      </c>
      <c r="J117">
        <v>53.3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</row>
  </sheetData>
  <dataConsolidate/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P15OnPeakPrevious"/>
  <dimension ref="A1:F100"/>
  <sheetViews>
    <sheetView workbookViewId="0">
      <selection activeCell="A2" sqref="A2:M106"/>
    </sheetView>
  </sheetViews>
  <sheetFormatPr defaultRowHeight="12.75" x14ac:dyDescent="0.2"/>
  <cols>
    <col min="1" max="1" width="81.140625" bestFit="1" customWidth="1"/>
  </cols>
  <sheetData>
    <row r="1" spans="1:6" s="1" customFormat="1" x14ac:dyDescent="0.2">
      <c r="A1" s="1" t="s">
        <v>1020</v>
      </c>
      <c r="C1" s="1" t="s">
        <v>1444</v>
      </c>
      <c r="D1" s="1" t="s">
        <v>1445</v>
      </c>
      <c r="E1" s="1" t="s">
        <v>976</v>
      </c>
      <c r="F1" s="45">
        <v>41221</v>
      </c>
    </row>
    <row r="2" spans="1:6" x14ac:dyDescent="0.2">
      <c r="A2" t="s">
        <v>1021</v>
      </c>
      <c r="B2" t="s">
        <v>1446</v>
      </c>
      <c r="C2">
        <v>0</v>
      </c>
      <c r="D2">
        <v>0</v>
      </c>
      <c r="E2">
        <v>0</v>
      </c>
    </row>
    <row r="3" spans="1:6" x14ac:dyDescent="0.2">
      <c r="A3" t="s">
        <v>1022</v>
      </c>
      <c r="B3" t="s">
        <v>1446</v>
      </c>
      <c r="C3">
        <v>0</v>
      </c>
      <c r="D3">
        <v>0</v>
      </c>
      <c r="E3">
        <v>0</v>
      </c>
    </row>
    <row r="4" spans="1:6" x14ac:dyDescent="0.2">
      <c r="A4" t="s">
        <v>1023</v>
      </c>
      <c r="B4" t="s">
        <v>1446</v>
      </c>
      <c r="C4">
        <v>0</v>
      </c>
      <c r="D4">
        <v>0</v>
      </c>
      <c r="E4">
        <v>100</v>
      </c>
    </row>
    <row r="5" spans="1:6" x14ac:dyDescent="0.2">
      <c r="A5" t="s">
        <v>1024</v>
      </c>
      <c r="B5" t="s">
        <v>1446</v>
      </c>
      <c r="C5">
        <v>0</v>
      </c>
      <c r="D5">
        <v>0</v>
      </c>
      <c r="E5">
        <v>156</v>
      </c>
    </row>
    <row r="6" spans="1:6" x14ac:dyDescent="0.2">
      <c r="A6" t="s">
        <v>1025</v>
      </c>
      <c r="B6" t="s">
        <v>1446</v>
      </c>
      <c r="C6">
        <v>0</v>
      </c>
      <c r="D6">
        <v>0</v>
      </c>
      <c r="E6">
        <v>144</v>
      </c>
    </row>
    <row r="7" spans="1:6" x14ac:dyDescent="0.2">
      <c r="A7" t="s">
        <v>1026</v>
      </c>
      <c r="B7" t="s">
        <v>1446</v>
      </c>
      <c r="C7">
        <v>0</v>
      </c>
      <c r="D7">
        <v>0</v>
      </c>
      <c r="E7">
        <v>156</v>
      </c>
    </row>
    <row r="8" spans="1:6" x14ac:dyDescent="0.2">
      <c r="A8" t="s">
        <v>1027</v>
      </c>
      <c r="B8" t="s">
        <v>1446</v>
      </c>
      <c r="C8">
        <v>0</v>
      </c>
      <c r="D8">
        <v>0</v>
      </c>
      <c r="E8">
        <v>52</v>
      </c>
    </row>
    <row r="9" spans="1:6" x14ac:dyDescent="0.2">
      <c r="A9" t="s">
        <v>1028</v>
      </c>
      <c r="B9" t="s">
        <v>1446</v>
      </c>
      <c r="C9">
        <v>0</v>
      </c>
      <c r="D9">
        <v>0</v>
      </c>
      <c r="E9">
        <v>52</v>
      </c>
    </row>
    <row r="10" spans="1:6" x14ac:dyDescent="0.2">
      <c r="A10" t="s">
        <v>1029</v>
      </c>
      <c r="B10" t="s">
        <v>1446</v>
      </c>
      <c r="C10">
        <v>0</v>
      </c>
      <c r="D10">
        <v>0</v>
      </c>
      <c r="E10">
        <v>50</v>
      </c>
    </row>
    <row r="11" spans="1:6" x14ac:dyDescent="0.2">
      <c r="A11" t="s">
        <v>1030</v>
      </c>
      <c r="B11" t="s">
        <v>1446</v>
      </c>
      <c r="C11">
        <v>0</v>
      </c>
      <c r="D11">
        <v>0</v>
      </c>
      <c r="E11">
        <v>156</v>
      </c>
    </row>
    <row r="12" spans="1:6" x14ac:dyDescent="0.2">
      <c r="A12" t="s">
        <v>1031</v>
      </c>
      <c r="B12" t="s">
        <v>1446</v>
      </c>
      <c r="C12">
        <v>0</v>
      </c>
      <c r="D12">
        <v>0</v>
      </c>
      <c r="E12">
        <v>162</v>
      </c>
    </row>
    <row r="13" spans="1:6" x14ac:dyDescent="0.2">
      <c r="A13" t="s">
        <v>1032</v>
      </c>
      <c r="B13" t="s">
        <v>1446</v>
      </c>
      <c r="C13">
        <v>0</v>
      </c>
      <c r="D13">
        <v>0</v>
      </c>
      <c r="E13">
        <v>144</v>
      </c>
    </row>
    <row r="14" spans="1:6" x14ac:dyDescent="0.2">
      <c r="A14" t="s">
        <v>1033</v>
      </c>
      <c r="B14" t="s">
        <v>1446</v>
      </c>
      <c r="C14">
        <v>0</v>
      </c>
      <c r="D14">
        <v>0</v>
      </c>
      <c r="E14">
        <v>54</v>
      </c>
    </row>
    <row r="15" spans="1:6" x14ac:dyDescent="0.2">
      <c r="A15" t="s">
        <v>1034</v>
      </c>
      <c r="B15" t="s">
        <v>1446</v>
      </c>
      <c r="C15">
        <v>0</v>
      </c>
      <c r="D15">
        <v>0</v>
      </c>
      <c r="E15">
        <v>50</v>
      </c>
    </row>
    <row r="16" spans="1:6" x14ac:dyDescent="0.2">
      <c r="A16" t="s">
        <v>1035</v>
      </c>
      <c r="B16" t="s">
        <v>1446</v>
      </c>
      <c r="C16">
        <v>0</v>
      </c>
      <c r="D16">
        <v>0</v>
      </c>
      <c r="E16">
        <v>50</v>
      </c>
    </row>
    <row r="17" spans="1:5" x14ac:dyDescent="0.2">
      <c r="A17" t="s">
        <v>1036</v>
      </c>
      <c r="B17" t="s">
        <v>1446</v>
      </c>
      <c r="C17">
        <v>0</v>
      </c>
      <c r="D17">
        <v>0</v>
      </c>
      <c r="E17">
        <v>26</v>
      </c>
    </row>
    <row r="18" spans="1:5" x14ac:dyDescent="0.2">
      <c r="A18" t="s">
        <v>1037</v>
      </c>
      <c r="B18" t="s">
        <v>1446</v>
      </c>
      <c r="C18">
        <v>0</v>
      </c>
      <c r="D18">
        <v>0</v>
      </c>
      <c r="E18">
        <v>24</v>
      </c>
    </row>
    <row r="19" spans="1:5" x14ac:dyDescent="0.2">
      <c r="A19" t="s">
        <v>1038</v>
      </c>
      <c r="B19" t="s">
        <v>1446</v>
      </c>
      <c r="C19">
        <v>0</v>
      </c>
      <c r="D19">
        <v>0</v>
      </c>
      <c r="E19">
        <v>26</v>
      </c>
    </row>
    <row r="20" spans="1:5" x14ac:dyDescent="0.2">
      <c r="A20" t="s">
        <v>1039</v>
      </c>
      <c r="B20" t="s">
        <v>1446</v>
      </c>
      <c r="C20">
        <v>0</v>
      </c>
      <c r="D20">
        <v>0</v>
      </c>
      <c r="E20">
        <v>52</v>
      </c>
    </row>
    <row r="21" spans="1:5" x14ac:dyDescent="0.2">
      <c r="A21" t="s">
        <v>1040</v>
      </c>
      <c r="B21" t="s">
        <v>1446</v>
      </c>
      <c r="C21">
        <v>0</v>
      </c>
      <c r="D21">
        <v>0</v>
      </c>
      <c r="E21">
        <v>52</v>
      </c>
    </row>
    <row r="22" spans="1:5" x14ac:dyDescent="0.2">
      <c r="A22" t="s">
        <v>1041</v>
      </c>
      <c r="B22" t="s">
        <v>1446</v>
      </c>
      <c r="C22">
        <v>0</v>
      </c>
      <c r="D22">
        <v>0</v>
      </c>
      <c r="E22">
        <v>50</v>
      </c>
    </row>
    <row r="23" spans="1:5" x14ac:dyDescent="0.2">
      <c r="A23" t="s">
        <v>1042</v>
      </c>
      <c r="B23" t="s">
        <v>1446</v>
      </c>
      <c r="C23">
        <v>0</v>
      </c>
      <c r="D23">
        <v>0</v>
      </c>
      <c r="E23">
        <v>52</v>
      </c>
    </row>
    <row r="24" spans="1:5" x14ac:dyDescent="0.2">
      <c r="A24" t="s">
        <v>1043</v>
      </c>
      <c r="B24" t="s">
        <v>1446</v>
      </c>
      <c r="C24">
        <v>0</v>
      </c>
      <c r="D24">
        <v>0</v>
      </c>
      <c r="E24">
        <v>52</v>
      </c>
    </row>
    <row r="25" spans="1:5" x14ac:dyDescent="0.2">
      <c r="A25" t="s">
        <v>1044</v>
      </c>
      <c r="B25" t="s">
        <v>1446</v>
      </c>
      <c r="C25">
        <v>0</v>
      </c>
      <c r="D25">
        <v>0</v>
      </c>
      <c r="E25">
        <v>50</v>
      </c>
    </row>
    <row r="26" spans="1:5" x14ac:dyDescent="0.2">
      <c r="A26" t="s">
        <v>1045</v>
      </c>
      <c r="B26" t="s">
        <v>1446</v>
      </c>
      <c r="C26">
        <v>0</v>
      </c>
      <c r="D26">
        <v>0</v>
      </c>
      <c r="E26">
        <v>27</v>
      </c>
    </row>
    <row r="27" spans="1:5" x14ac:dyDescent="0.2">
      <c r="A27" t="s">
        <v>1046</v>
      </c>
      <c r="B27" t="s">
        <v>1446</v>
      </c>
      <c r="C27">
        <v>0</v>
      </c>
      <c r="D27">
        <v>0</v>
      </c>
      <c r="E27">
        <v>24</v>
      </c>
    </row>
    <row r="28" spans="1:5" x14ac:dyDescent="0.2">
      <c r="A28" t="s">
        <v>1047</v>
      </c>
      <c r="B28" t="s">
        <v>1446</v>
      </c>
      <c r="C28">
        <v>0</v>
      </c>
      <c r="D28">
        <v>0</v>
      </c>
      <c r="E28">
        <v>26</v>
      </c>
    </row>
    <row r="29" spans="1:5" x14ac:dyDescent="0.2">
      <c r="A29" t="s">
        <v>1048</v>
      </c>
      <c r="B29" t="s">
        <v>1446</v>
      </c>
      <c r="C29">
        <v>0</v>
      </c>
      <c r="D29">
        <v>0</v>
      </c>
      <c r="E29">
        <v>0</v>
      </c>
    </row>
    <row r="30" spans="1:5" x14ac:dyDescent="0.2">
      <c r="A30" t="s">
        <v>1049</v>
      </c>
      <c r="B30" t="s">
        <v>1446</v>
      </c>
      <c r="C30">
        <v>0</v>
      </c>
      <c r="D30">
        <v>0</v>
      </c>
      <c r="E30">
        <v>0</v>
      </c>
    </row>
    <row r="31" spans="1:5" x14ac:dyDescent="0.2">
      <c r="A31" t="s">
        <v>1050</v>
      </c>
      <c r="B31" t="s">
        <v>1446</v>
      </c>
      <c r="C31">
        <v>0</v>
      </c>
      <c r="D31">
        <v>0</v>
      </c>
      <c r="E31">
        <v>0</v>
      </c>
    </row>
    <row r="32" spans="1:5" x14ac:dyDescent="0.2">
      <c r="A32" t="s">
        <v>1051</v>
      </c>
      <c r="B32" t="s">
        <v>1446</v>
      </c>
      <c r="C32">
        <v>0</v>
      </c>
      <c r="D32">
        <v>0</v>
      </c>
      <c r="E32">
        <v>0</v>
      </c>
    </row>
    <row r="33" spans="1:5" x14ac:dyDescent="0.2">
      <c r="A33" t="s">
        <v>1052</v>
      </c>
      <c r="B33" t="s">
        <v>1446</v>
      </c>
      <c r="C33">
        <v>0</v>
      </c>
      <c r="D33">
        <v>0</v>
      </c>
      <c r="E33">
        <v>0</v>
      </c>
    </row>
    <row r="34" spans="1:5" x14ac:dyDescent="0.2">
      <c r="A34" t="s">
        <v>1053</v>
      </c>
      <c r="B34" t="s">
        <v>1446</v>
      </c>
      <c r="C34">
        <v>0</v>
      </c>
      <c r="D34">
        <v>0</v>
      </c>
      <c r="E34">
        <v>0</v>
      </c>
    </row>
    <row r="35" spans="1:5" x14ac:dyDescent="0.2">
      <c r="A35" t="s">
        <v>1054</v>
      </c>
      <c r="B35" t="s">
        <v>1446</v>
      </c>
      <c r="C35">
        <v>0</v>
      </c>
      <c r="D35">
        <v>0</v>
      </c>
      <c r="E35">
        <v>0</v>
      </c>
    </row>
    <row r="36" spans="1:5" x14ac:dyDescent="0.2">
      <c r="A36" t="s">
        <v>1055</v>
      </c>
      <c r="B36" t="s">
        <v>1446</v>
      </c>
      <c r="C36">
        <v>0</v>
      </c>
      <c r="D36">
        <v>0</v>
      </c>
      <c r="E36">
        <v>0</v>
      </c>
    </row>
    <row r="37" spans="1:5" x14ac:dyDescent="0.2">
      <c r="A37" t="s">
        <v>1056</v>
      </c>
      <c r="B37" t="s">
        <v>1446</v>
      </c>
      <c r="C37">
        <v>0</v>
      </c>
      <c r="D37">
        <v>0</v>
      </c>
      <c r="E37">
        <v>0</v>
      </c>
    </row>
    <row r="38" spans="1:5" x14ac:dyDescent="0.2">
      <c r="A38" t="s">
        <v>1057</v>
      </c>
      <c r="B38" t="s">
        <v>1446</v>
      </c>
      <c r="C38">
        <v>0</v>
      </c>
      <c r="D38">
        <v>0</v>
      </c>
      <c r="E38">
        <v>0</v>
      </c>
    </row>
    <row r="39" spans="1:5" x14ac:dyDescent="0.2">
      <c r="A39" t="s">
        <v>1058</v>
      </c>
      <c r="B39" t="s">
        <v>1446</v>
      </c>
      <c r="C39">
        <v>0</v>
      </c>
      <c r="D39">
        <v>0</v>
      </c>
      <c r="E39">
        <v>0</v>
      </c>
    </row>
    <row r="40" spans="1:5" x14ac:dyDescent="0.2">
      <c r="A40" t="s">
        <v>1059</v>
      </c>
      <c r="B40" t="s">
        <v>1446</v>
      </c>
      <c r="C40">
        <v>0</v>
      </c>
      <c r="D40">
        <v>0</v>
      </c>
      <c r="E40">
        <v>0</v>
      </c>
    </row>
    <row r="41" spans="1:5" x14ac:dyDescent="0.2">
      <c r="A41" t="s">
        <v>1060</v>
      </c>
      <c r="B41" t="s">
        <v>1446</v>
      </c>
      <c r="C41">
        <v>0</v>
      </c>
      <c r="D41">
        <v>0</v>
      </c>
      <c r="E41">
        <v>0</v>
      </c>
    </row>
    <row r="42" spans="1:5" x14ac:dyDescent="0.2">
      <c r="A42" t="s">
        <v>1061</v>
      </c>
      <c r="B42" t="s">
        <v>1446</v>
      </c>
      <c r="C42">
        <v>0</v>
      </c>
      <c r="D42">
        <v>0</v>
      </c>
      <c r="E42">
        <v>0</v>
      </c>
    </row>
    <row r="43" spans="1:5" x14ac:dyDescent="0.2">
      <c r="A43" t="s">
        <v>1062</v>
      </c>
      <c r="B43" t="s">
        <v>1446</v>
      </c>
      <c r="C43">
        <v>0</v>
      </c>
      <c r="D43">
        <v>0</v>
      </c>
      <c r="E43">
        <v>0</v>
      </c>
    </row>
    <row r="44" spans="1:5" x14ac:dyDescent="0.2">
      <c r="A44" t="s">
        <v>1063</v>
      </c>
      <c r="B44" t="s">
        <v>1446</v>
      </c>
      <c r="C44">
        <v>0</v>
      </c>
      <c r="D44">
        <v>0</v>
      </c>
      <c r="E44">
        <v>0</v>
      </c>
    </row>
    <row r="45" spans="1:5" x14ac:dyDescent="0.2">
      <c r="A45" t="s">
        <v>1064</v>
      </c>
      <c r="B45" t="s">
        <v>1446</v>
      </c>
      <c r="C45">
        <v>0</v>
      </c>
      <c r="D45">
        <v>0</v>
      </c>
      <c r="E45">
        <v>0</v>
      </c>
    </row>
    <row r="46" spans="1:5" x14ac:dyDescent="0.2">
      <c r="A46" t="s">
        <v>1065</v>
      </c>
      <c r="B46" t="s">
        <v>1446</v>
      </c>
      <c r="C46">
        <v>0</v>
      </c>
      <c r="D46">
        <v>0</v>
      </c>
      <c r="E46">
        <v>0</v>
      </c>
    </row>
    <row r="47" spans="1:5" x14ac:dyDescent="0.2">
      <c r="A47" t="s">
        <v>1066</v>
      </c>
      <c r="B47" t="s">
        <v>1446</v>
      </c>
      <c r="C47">
        <v>0</v>
      </c>
      <c r="D47">
        <v>0</v>
      </c>
      <c r="E47">
        <v>0</v>
      </c>
    </row>
    <row r="48" spans="1:5" x14ac:dyDescent="0.2">
      <c r="A48" t="s">
        <v>1067</v>
      </c>
      <c r="B48" t="s">
        <v>1446</v>
      </c>
      <c r="C48">
        <v>0</v>
      </c>
      <c r="D48">
        <v>0</v>
      </c>
      <c r="E48">
        <v>0</v>
      </c>
    </row>
    <row r="49" spans="1:5" x14ac:dyDescent="0.2">
      <c r="A49" t="s">
        <v>1068</v>
      </c>
      <c r="B49" t="s">
        <v>1446</v>
      </c>
      <c r="C49">
        <v>0</v>
      </c>
      <c r="D49">
        <v>0</v>
      </c>
      <c r="E49">
        <v>0</v>
      </c>
    </row>
    <row r="50" spans="1:5" x14ac:dyDescent="0.2">
      <c r="A50" t="s">
        <v>1069</v>
      </c>
      <c r="B50" t="s">
        <v>1446</v>
      </c>
      <c r="C50">
        <v>0</v>
      </c>
      <c r="D50">
        <v>0</v>
      </c>
      <c r="E50">
        <v>0</v>
      </c>
    </row>
    <row r="51" spans="1:5" x14ac:dyDescent="0.2">
      <c r="A51" t="s">
        <v>1070</v>
      </c>
      <c r="B51" t="s">
        <v>1446</v>
      </c>
      <c r="C51">
        <v>0</v>
      </c>
      <c r="D51">
        <v>0</v>
      </c>
      <c r="E51">
        <v>0</v>
      </c>
    </row>
    <row r="52" spans="1:5" x14ac:dyDescent="0.2">
      <c r="A52" t="s">
        <v>1071</v>
      </c>
      <c r="B52" t="s">
        <v>1446</v>
      </c>
      <c r="C52">
        <v>0</v>
      </c>
      <c r="D52">
        <v>0</v>
      </c>
      <c r="E52">
        <v>0</v>
      </c>
    </row>
    <row r="53" spans="1:5" x14ac:dyDescent="0.2">
      <c r="A53" t="s">
        <v>1072</v>
      </c>
      <c r="B53" t="s">
        <v>1446</v>
      </c>
      <c r="C53">
        <v>0</v>
      </c>
      <c r="D53">
        <v>0</v>
      </c>
      <c r="E53">
        <v>0</v>
      </c>
    </row>
    <row r="54" spans="1:5" x14ac:dyDescent="0.2">
      <c r="A54" t="s">
        <v>1073</v>
      </c>
      <c r="B54" t="s">
        <v>1446</v>
      </c>
      <c r="C54">
        <v>0</v>
      </c>
      <c r="D54">
        <v>0</v>
      </c>
      <c r="E54">
        <v>0</v>
      </c>
    </row>
    <row r="55" spans="1:5" x14ac:dyDescent="0.2">
      <c r="A55" t="s">
        <v>1074</v>
      </c>
      <c r="B55" t="s">
        <v>1446</v>
      </c>
      <c r="C55">
        <v>0</v>
      </c>
      <c r="D55">
        <v>0</v>
      </c>
      <c r="E55">
        <v>0</v>
      </c>
    </row>
    <row r="56" spans="1:5" x14ac:dyDescent="0.2">
      <c r="A56" t="s">
        <v>1075</v>
      </c>
      <c r="B56" t="s">
        <v>1446</v>
      </c>
      <c r="C56">
        <v>0</v>
      </c>
      <c r="D56">
        <v>0</v>
      </c>
      <c r="E56">
        <v>0</v>
      </c>
    </row>
    <row r="57" spans="1:5" x14ac:dyDescent="0.2">
      <c r="A57" t="s">
        <v>1076</v>
      </c>
      <c r="B57" t="s">
        <v>1446</v>
      </c>
      <c r="C57">
        <v>0</v>
      </c>
      <c r="D57">
        <v>0</v>
      </c>
      <c r="E57">
        <v>0</v>
      </c>
    </row>
    <row r="58" spans="1:5" x14ac:dyDescent="0.2">
      <c r="A58" t="s">
        <v>1077</v>
      </c>
      <c r="B58" t="s">
        <v>1446</v>
      </c>
      <c r="C58">
        <v>0</v>
      </c>
      <c r="D58">
        <v>0</v>
      </c>
      <c r="E58">
        <v>0</v>
      </c>
    </row>
    <row r="59" spans="1:5" x14ac:dyDescent="0.2">
      <c r="A59" t="s">
        <v>1078</v>
      </c>
      <c r="B59" t="s">
        <v>1446</v>
      </c>
      <c r="C59">
        <v>0</v>
      </c>
      <c r="D59">
        <v>0</v>
      </c>
      <c r="E59">
        <v>0</v>
      </c>
    </row>
    <row r="60" spans="1:5" x14ac:dyDescent="0.2">
      <c r="A60" t="s">
        <v>1079</v>
      </c>
      <c r="B60" t="s">
        <v>1446</v>
      </c>
      <c r="C60">
        <v>0</v>
      </c>
      <c r="D60">
        <v>0</v>
      </c>
      <c r="E60">
        <v>0</v>
      </c>
    </row>
    <row r="61" spans="1:5" x14ac:dyDescent="0.2">
      <c r="A61" t="s">
        <v>1080</v>
      </c>
      <c r="B61" t="s">
        <v>1446</v>
      </c>
      <c r="C61">
        <v>0</v>
      </c>
      <c r="D61">
        <v>0</v>
      </c>
      <c r="E61">
        <v>0</v>
      </c>
    </row>
    <row r="62" spans="1:5" x14ac:dyDescent="0.2">
      <c r="A62" t="s">
        <v>1081</v>
      </c>
      <c r="B62" t="s">
        <v>1446</v>
      </c>
      <c r="C62">
        <v>0</v>
      </c>
      <c r="D62">
        <v>0</v>
      </c>
      <c r="E62">
        <v>0</v>
      </c>
    </row>
    <row r="63" spans="1:5" x14ac:dyDescent="0.2">
      <c r="A63" t="s">
        <v>1082</v>
      </c>
      <c r="B63" t="s">
        <v>1446</v>
      </c>
      <c r="C63">
        <v>0</v>
      </c>
      <c r="D63">
        <v>0</v>
      </c>
      <c r="E63">
        <v>0</v>
      </c>
    </row>
    <row r="64" spans="1:5" x14ac:dyDescent="0.2">
      <c r="A64" t="s">
        <v>1083</v>
      </c>
      <c r="B64" t="s">
        <v>1446</v>
      </c>
      <c r="C64">
        <v>0</v>
      </c>
      <c r="D64">
        <v>0</v>
      </c>
      <c r="E64">
        <v>0</v>
      </c>
    </row>
    <row r="65" spans="1:5" x14ac:dyDescent="0.2">
      <c r="A65" t="s">
        <v>1084</v>
      </c>
      <c r="B65" t="s">
        <v>1446</v>
      </c>
      <c r="C65">
        <v>0</v>
      </c>
      <c r="D65">
        <v>0</v>
      </c>
      <c r="E65">
        <v>0</v>
      </c>
    </row>
    <row r="66" spans="1:5" x14ac:dyDescent="0.2">
      <c r="A66" t="s">
        <v>1085</v>
      </c>
      <c r="B66" t="s">
        <v>1446</v>
      </c>
      <c r="C66">
        <v>0</v>
      </c>
      <c r="D66">
        <v>0</v>
      </c>
      <c r="E66">
        <v>0</v>
      </c>
    </row>
    <row r="67" spans="1:5" x14ac:dyDescent="0.2">
      <c r="A67" t="s">
        <v>1086</v>
      </c>
      <c r="B67" t="s">
        <v>1446</v>
      </c>
      <c r="C67">
        <v>0</v>
      </c>
      <c r="D67">
        <v>0</v>
      </c>
      <c r="E67">
        <v>0</v>
      </c>
    </row>
    <row r="68" spans="1:5" x14ac:dyDescent="0.2">
      <c r="A68" t="s">
        <v>1087</v>
      </c>
      <c r="B68" t="s">
        <v>1446</v>
      </c>
      <c r="C68">
        <v>0</v>
      </c>
      <c r="D68">
        <v>0</v>
      </c>
      <c r="E68">
        <v>0</v>
      </c>
    </row>
    <row r="69" spans="1:5" x14ac:dyDescent="0.2">
      <c r="A69" t="s">
        <v>1088</v>
      </c>
      <c r="B69" t="s">
        <v>1446</v>
      </c>
      <c r="C69">
        <v>0</v>
      </c>
      <c r="D69">
        <v>0</v>
      </c>
      <c r="E69">
        <v>0</v>
      </c>
    </row>
    <row r="70" spans="1:5" x14ac:dyDescent="0.2">
      <c r="A70" t="s">
        <v>1089</v>
      </c>
      <c r="B70" t="s">
        <v>1446</v>
      </c>
      <c r="C70">
        <v>0</v>
      </c>
      <c r="D70">
        <v>0</v>
      </c>
      <c r="E70">
        <v>0</v>
      </c>
    </row>
    <row r="71" spans="1:5" x14ac:dyDescent="0.2">
      <c r="A71" t="s">
        <v>1090</v>
      </c>
      <c r="B71" t="s">
        <v>1446</v>
      </c>
      <c r="C71">
        <v>0</v>
      </c>
      <c r="D71">
        <v>0</v>
      </c>
      <c r="E71">
        <v>0</v>
      </c>
    </row>
    <row r="72" spans="1:5" x14ac:dyDescent="0.2">
      <c r="A72" t="s">
        <v>1091</v>
      </c>
      <c r="B72" t="s">
        <v>1446</v>
      </c>
      <c r="C72">
        <v>0</v>
      </c>
      <c r="D72">
        <v>0</v>
      </c>
      <c r="E72">
        <v>0</v>
      </c>
    </row>
    <row r="73" spans="1:5" x14ac:dyDescent="0.2">
      <c r="A73" t="s">
        <v>1092</v>
      </c>
      <c r="B73" t="s">
        <v>1446</v>
      </c>
      <c r="C73">
        <v>0</v>
      </c>
      <c r="D73">
        <v>0</v>
      </c>
      <c r="E73">
        <v>0</v>
      </c>
    </row>
    <row r="74" spans="1:5" x14ac:dyDescent="0.2">
      <c r="A74" t="s">
        <v>1093</v>
      </c>
      <c r="B74" t="s">
        <v>1446</v>
      </c>
      <c r="C74">
        <v>0</v>
      </c>
      <c r="D74">
        <v>0</v>
      </c>
      <c r="E74">
        <v>0</v>
      </c>
    </row>
    <row r="75" spans="1:5" x14ac:dyDescent="0.2">
      <c r="A75" t="s">
        <v>1094</v>
      </c>
      <c r="B75" t="s">
        <v>1446</v>
      </c>
      <c r="C75">
        <v>0</v>
      </c>
      <c r="D75">
        <v>0</v>
      </c>
      <c r="E75">
        <v>0</v>
      </c>
    </row>
    <row r="76" spans="1:5" x14ac:dyDescent="0.2">
      <c r="A76" t="s">
        <v>1095</v>
      </c>
      <c r="B76" t="s">
        <v>1446</v>
      </c>
      <c r="C76">
        <v>0</v>
      </c>
      <c r="D76">
        <v>0</v>
      </c>
      <c r="E76">
        <v>0</v>
      </c>
    </row>
    <row r="77" spans="1:5" x14ac:dyDescent="0.2">
      <c r="A77" t="s">
        <v>1096</v>
      </c>
      <c r="B77" t="s">
        <v>1446</v>
      </c>
      <c r="C77">
        <v>0</v>
      </c>
      <c r="D77">
        <v>0</v>
      </c>
      <c r="E77">
        <v>0</v>
      </c>
    </row>
    <row r="78" spans="1:5" x14ac:dyDescent="0.2">
      <c r="A78" t="s">
        <v>1097</v>
      </c>
      <c r="B78" t="s">
        <v>1446</v>
      </c>
      <c r="C78">
        <v>0</v>
      </c>
      <c r="D78">
        <v>0</v>
      </c>
      <c r="E78">
        <v>0</v>
      </c>
    </row>
    <row r="79" spans="1:5" x14ac:dyDescent="0.2">
      <c r="A79" t="s">
        <v>1098</v>
      </c>
      <c r="B79" t="s">
        <v>1446</v>
      </c>
      <c r="C79">
        <v>0</v>
      </c>
      <c r="D79">
        <v>0</v>
      </c>
      <c r="E79">
        <v>0</v>
      </c>
    </row>
    <row r="80" spans="1:5" x14ac:dyDescent="0.2">
      <c r="A80" t="s">
        <v>1099</v>
      </c>
      <c r="B80" t="s">
        <v>1446</v>
      </c>
      <c r="C80">
        <v>0</v>
      </c>
      <c r="D80">
        <v>0</v>
      </c>
      <c r="E80">
        <v>0</v>
      </c>
    </row>
    <row r="81" spans="1:5" x14ac:dyDescent="0.2">
      <c r="A81" t="s">
        <v>1100</v>
      </c>
      <c r="B81" t="s">
        <v>1446</v>
      </c>
      <c r="C81">
        <v>0</v>
      </c>
      <c r="D81">
        <v>0</v>
      </c>
      <c r="E81">
        <v>0</v>
      </c>
    </row>
    <row r="82" spans="1:5" x14ac:dyDescent="0.2">
      <c r="A82" t="s">
        <v>1101</v>
      </c>
      <c r="B82" t="s">
        <v>1446</v>
      </c>
      <c r="C82">
        <v>0</v>
      </c>
      <c r="D82">
        <v>0</v>
      </c>
      <c r="E82">
        <v>0</v>
      </c>
    </row>
    <row r="83" spans="1:5" x14ac:dyDescent="0.2">
      <c r="A83" t="s">
        <v>287</v>
      </c>
      <c r="B83" t="s">
        <v>1446</v>
      </c>
      <c r="C83">
        <v>0</v>
      </c>
      <c r="D83">
        <v>0</v>
      </c>
      <c r="E83">
        <v>0</v>
      </c>
    </row>
    <row r="84" spans="1:5" x14ac:dyDescent="0.2">
      <c r="A84" t="s">
        <v>288</v>
      </c>
      <c r="B84" t="s">
        <v>1446</v>
      </c>
      <c r="C84">
        <v>0</v>
      </c>
      <c r="D84">
        <v>0</v>
      </c>
      <c r="E84">
        <v>0</v>
      </c>
    </row>
    <row r="85" spans="1:5" x14ac:dyDescent="0.2">
      <c r="A85" t="s">
        <v>289</v>
      </c>
      <c r="B85" t="s">
        <v>1446</v>
      </c>
      <c r="C85">
        <v>0</v>
      </c>
      <c r="D85">
        <v>0</v>
      </c>
      <c r="E85">
        <v>0</v>
      </c>
    </row>
    <row r="86" spans="1:5" x14ac:dyDescent="0.2">
      <c r="A86" t="s">
        <v>290</v>
      </c>
      <c r="B86" t="s">
        <v>1446</v>
      </c>
      <c r="C86">
        <v>0</v>
      </c>
      <c r="D86">
        <v>0</v>
      </c>
      <c r="E86">
        <v>0</v>
      </c>
    </row>
    <row r="87" spans="1:5" x14ac:dyDescent="0.2">
      <c r="A87" t="s">
        <v>1430</v>
      </c>
      <c r="B87" t="s">
        <v>1446</v>
      </c>
      <c r="C87">
        <v>0</v>
      </c>
      <c r="D87">
        <v>0</v>
      </c>
      <c r="E87">
        <v>0</v>
      </c>
    </row>
    <row r="88" spans="1:5" x14ac:dyDescent="0.2">
      <c r="A88" t="s">
        <v>1431</v>
      </c>
      <c r="B88" t="s">
        <v>1446</v>
      </c>
      <c r="C88">
        <v>0</v>
      </c>
      <c r="D88">
        <v>0</v>
      </c>
      <c r="E88">
        <v>0</v>
      </c>
    </row>
    <row r="89" spans="1:5" x14ac:dyDescent="0.2">
      <c r="A89" t="s">
        <v>1432</v>
      </c>
      <c r="B89" t="s">
        <v>1446</v>
      </c>
      <c r="C89">
        <v>0</v>
      </c>
      <c r="D89">
        <v>0</v>
      </c>
      <c r="E89">
        <v>0</v>
      </c>
    </row>
    <row r="90" spans="1:5" x14ac:dyDescent="0.2">
      <c r="A90" t="s">
        <v>1433</v>
      </c>
      <c r="B90" t="s">
        <v>1446</v>
      </c>
      <c r="C90">
        <v>0</v>
      </c>
      <c r="D90">
        <v>0</v>
      </c>
      <c r="E90">
        <v>0</v>
      </c>
    </row>
    <row r="91" spans="1:5" x14ac:dyDescent="0.2">
      <c r="A91" t="s">
        <v>1434</v>
      </c>
      <c r="B91" t="s">
        <v>1446</v>
      </c>
      <c r="C91">
        <v>0</v>
      </c>
      <c r="D91">
        <v>0</v>
      </c>
      <c r="E91">
        <v>0</v>
      </c>
    </row>
    <row r="92" spans="1:5" x14ac:dyDescent="0.2">
      <c r="A92" t="s">
        <v>1435</v>
      </c>
      <c r="B92" t="s">
        <v>1446</v>
      </c>
      <c r="C92">
        <v>0</v>
      </c>
      <c r="D92">
        <v>0</v>
      </c>
      <c r="E92">
        <v>0</v>
      </c>
    </row>
    <row r="93" spans="1:5" x14ac:dyDescent="0.2">
      <c r="A93" t="s">
        <v>1436</v>
      </c>
      <c r="B93" t="s">
        <v>1446</v>
      </c>
      <c r="C93">
        <v>0</v>
      </c>
      <c r="D93">
        <v>0</v>
      </c>
      <c r="E93">
        <v>0</v>
      </c>
    </row>
    <row r="94" spans="1:5" x14ac:dyDescent="0.2">
      <c r="A94" t="s">
        <v>1437</v>
      </c>
      <c r="B94" t="s">
        <v>1446</v>
      </c>
      <c r="C94">
        <v>0</v>
      </c>
      <c r="D94">
        <v>0</v>
      </c>
      <c r="E94">
        <v>0</v>
      </c>
    </row>
    <row r="95" spans="1:5" x14ac:dyDescent="0.2">
      <c r="A95" t="s">
        <v>1438</v>
      </c>
      <c r="B95" t="s">
        <v>1446</v>
      </c>
      <c r="C95">
        <v>0</v>
      </c>
      <c r="D95">
        <v>0</v>
      </c>
      <c r="E95">
        <v>0</v>
      </c>
    </row>
    <row r="96" spans="1:5" x14ac:dyDescent="0.2">
      <c r="A96" t="s">
        <v>1439</v>
      </c>
      <c r="B96" t="s">
        <v>1446</v>
      </c>
      <c r="C96">
        <v>0</v>
      </c>
      <c r="D96">
        <v>0</v>
      </c>
      <c r="E96">
        <v>0</v>
      </c>
    </row>
    <row r="97" spans="1:5" x14ac:dyDescent="0.2">
      <c r="A97" t="s">
        <v>1440</v>
      </c>
      <c r="B97" t="s">
        <v>1446</v>
      </c>
      <c r="C97">
        <v>0</v>
      </c>
      <c r="D97">
        <v>0</v>
      </c>
      <c r="E97">
        <v>0</v>
      </c>
    </row>
    <row r="98" spans="1:5" x14ac:dyDescent="0.2">
      <c r="A98" t="s">
        <v>1441</v>
      </c>
      <c r="B98" t="s">
        <v>1446</v>
      </c>
      <c r="C98">
        <v>0</v>
      </c>
      <c r="D98">
        <v>0</v>
      </c>
      <c r="E98">
        <v>0</v>
      </c>
    </row>
    <row r="99" spans="1:5" x14ac:dyDescent="0.2">
      <c r="A99" t="s">
        <v>1442</v>
      </c>
      <c r="B99" t="s">
        <v>1446</v>
      </c>
      <c r="C99">
        <v>0</v>
      </c>
      <c r="D99">
        <v>0</v>
      </c>
      <c r="E99">
        <v>0</v>
      </c>
    </row>
    <row r="100" spans="1:5" x14ac:dyDescent="0.2">
      <c r="A100" t="s">
        <v>1443</v>
      </c>
      <c r="B100" t="s">
        <v>1446</v>
      </c>
      <c r="C100">
        <v>0</v>
      </c>
      <c r="D100">
        <v>0</v>
      </c>
      <c r="E100">
        <v>0</v>
      </c>
    </row>
  </sheetData>
  <dataConsolidate/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P15OffPeak"/>
  <dimension ref="A1:T117"/>
  <sheetViews>
    <sheetView workbookViewId="0">
      <selection sqref="A1:IV65536"/>
    </sheetView>
  </sheetViews>
  <sheetFormatPr defaultRowHeight="12.75" x14ac:dyDescent="0.2"/>
  <cols>
    <col min="1" max="1" width="11.140625" bestFit="1" customWidth="1"/>
    <col min="2" max="2" width="8.5703125" bestFit="1" customWidth="1"/>
    <col min="3" max="3" width="5.7109375" bestFit="1" customWidth="1"/>
    <col min="4" max="4" width="5.140625" bestFit="1" customWidth="1"/>
    <col min="5" max="5" width="7.7109375" bestFit="1" customWidth="1"/>
    <col min="6" max="6" width="5.85546875" bestFit="1" customWidth="1"/>
    <col min="7" max="7" width="5.140625" bestFit="1" customWidth="1"/>
    <col min="8" max="8" width="4.85546875" bestFit="1" customWidth="1"/>
    <col min="9" max="9" width="6" bestFit="1" customWidth="1"/>
    <col min="10" max="10" width="10.85546875" bestFit="1" customWidth="1"/>
    <col min="11" max="12" width="8" bestFit="1" customWidth="1"/>
    <col min="13" max="13" width="8.7109375" bestFit="1" customWidth="1"/>
    <col min="14" max="14" width="10.5703125" bestFit="1" customWidth="1"/>
    <col min="15" max="16" width="4.5703125" bestFit="1" customWidth="1"/>
    <col min="17" max="17" width="9.5703125" bestFit="1" customWidth="1"/>
    <col min="18" max="18" width="11.140625" bestFit="1" customWidth="1"/>
  </cols>
  <sheetData>
    <row r="1" spans="1:20" s="1" customFormat="1" x14ac:dyDescent="0.2">
      <c r="A1" s="1" t="s">
        <v>1404</v>
      </c>
      <c r="B1" s="1" t="s">
        <v>1402</v>
      </c>
      <c r="C1" s="1" t="s">
        <v>974</v>
      </c>
      <c r="D1" s="1" t="s">
        <v>980</v>
      </c>
      <c r="E1" s="50" t="s">
        <v>1364</v>
      </c>
      <c r="F1" s="45" t="s">
        <v>1365</v>
      </c>
      <c r="G1" s="1" t="s">
        <v>1366</v>
      </c>
      <c r="H1" s="1" t="s">
        <v>1367</v>
      </c>
      <c r="I1" s="1" t="s">
        <v>1368</v>
      </c>
      <c r="J1" s="1" t="s">
        <v>978</v>
      </c>
      <c r="K1" s="1" t="s">
        <v>1369</v>
      </c>
      <c r="L1" s="1" t="s">
        <v>975</v>
      </c>
      <c r="M1" s="1" t="s">
        <v>979</v>
      </c>
      <c r="N1" s="1" t="s">
        <v>969</v>
      </c>
      <c r="O1" s="1" t="s">
        <v>1444</v>
      </c>
      <c r="P1" s="1" t="s">
        <v>1445</v>
      </c>
      <c r="Q1" s="1" t="s">
        <v>976</v>
      </c>
      <c r="R1" s="1" t="s">
        <v>1510</v>
      </c>
      <c r="T1" s="45">
        <v>43236</v>
      </c>
    </row>
    <row r="2" spans="1:20" x14ac:dyDescent="0.2">
      <c r="A2" t="str">
        <f>B2&amp;"."&amp;D2&amp;"."&amp;C2</f>
        <v>ICE.2018.5</v>
      </c>
      <c r="B2" t="s">
        <v>1403</v>
      </c>
      <c r="C2" t="str">
        <f>TEXT(DATEVALUE("1"&amp;E2),"M")</f>
        <v>5</v>
      </c>
      <c r="D2" t="str">
        <f>TEXT(DATEVALUE("1"&amp;E2),"YYYY")</f>
        <v>2018</v>
      </c>
      <c r="E2" s="51" t="s">
        <v>1370</v>
      </c>
      <c r="J2">
        <v>18.71</v>
      </c>
      <c r="K2">
        <v>0.17</v>
      </c>
      <c r="L2">
        <v>0</v>
      </c>
      <c r="M2">
        <v>1525</v>
      </c>
      <c r="N2">
        <v>0</v>
      </c>
      <c r="O2">
        <v>0</v>
      </c>
      <c r="P2">
        <v>0</v>
      </c>
      <c r="Q2">
        <v>0</v>
      </c>
      <c r="R2">
        <v>0</v>
      </c>
    </row>
    <row r="3" spans="1:20" x14ac:dyDescent="0.2">
      <c r="A3" t="str">
        <f t="shared" ref="A3:A66" si="0">B3&amp;"."&amp;D3&amp;"."&amp;C3</f>
        <v>ICE.2018.6</v>
      </c>
      <c r="B3" t="s">
        <v>1403</v>
      </c>
      <c r="C3" t="str">
        <f t="shared" ref="C3:C66" si="1">TEXT(DATEVALUE("1"&amp;E3),"M")</f>
        <v>6</v>
      </c>
      <c r="D3" t="str">
        <f t="shared" ref="D3:D66" si="2">TEXT(DATEVALUE("1"&amp;E3),"YYYY")</f>
        <v>2018</v>
      </c>
      <c r="E3" s="51" t="s">
        <v>1371</v>
      </c>
      <c r="J3">
        <v>23.25</v>
      </c>
      <c r="K3">
        <v>-0.2</v>
      </c>
      <c r="L3">
        <v>0</v>
      </c>
      <c r="M3">
        <v>1260</v>
      </c>
      <c r="N3">
        <v>0</v>
      </c>
      <c r="O3">
        <v>0</v>
      </c>
      <c r="P3">
        <v>0</v>
      </c>
      <c r="Q3">
        <v>0</v>
      </c>
      <c r="R3">
        <v>0</v>
      </c>
    </row>
    <row r="4" spans="1:20" x14ac:dyDescent="0.2">
      <c r="A4" t="str">
        <f t="shared" si="0"/>
        <v>ICE.2018.7</v>
      </c>
      <c r="B4" t="s">
        <v>1403</v>
      </c>
      <c r="C4" t="str">
        <f t="shared" si="1"/>
        <v>7</v>
      </c>
      <c r="D4" t="str">
        <f t="shared" si="2"/>
        <v>2018</v>
      </c>
      <c r="E4" s="51" t="s">
        <v>1372</v>
      </c>
      <c r="J4">
        <v>32.5</v>
      </c>
      <c r="K4">
        <v>-0.35</v>
      </c>
      <c r="L4">
        <v>0</v>
      </c>
      <c r="M4">
        <v>1625</v>
      </c>
      <c r="N4">
        <v>0</v>
      </c>
      <c r="O4">
        <v>0</v>
      </c>
      <c r="P4">
        <v>0</v>
      </c>
      <c r="Q4">
        <v>0</v>
      </c>
      <c r="R4">
        <v>0</v>
      </c>
    </row>
    <row r="5" spans="1:20" x14ac:dyDescent="0.2">
      <c r="A5" t="str">
        <f t="shared" si="0"/>
        <v>ICE.2018.8</v>
      </c>
      <c r="B5" t="s">
        <v>1403</v>
      </c>
      <c r="C5" t="str">
        <f t="shared" si="1"/>
        <v>8</v>
      </c>
      <c r="D5" t="str">
        <f t="shared" si="2"/>
        <v>2018</v>
      </c>
      <c r="E5" s="51" t="s">
        <v>1373</v>
      </c>
      <c r="J5">
        <v>34.799999999999997</v>
      </c>
      <c r="K5">
        <v>-0.4</v>
      </c>
      <c r="L5">
        <v>0</v>
      </c>
      <c r="M5">
        <v>1575</v>
      </c>
      <c r="N5">
        <v>0</v>
      </c>
      <c r="O5">
        <v>0</v>
      </c>
      <c r="P5">
        <v>0</v>
      </c>
      <c r="Q5">
        <v>0</v>
      </c>
      <c r="R5">
        <v>0</v>
      </c>
    </row>
    <row r="6" spans="1:20" x14ac:dyDescent="0.2">
      <c r="A6" t="str">
        <f t="shared" si="0"/>
        <v>ICE.2018.9</v>
      </c>
      <c r="B6" t="s">
        <v>1403</v>
      </c>
      <c r="C6" t="str">
        <f t="shared" si="1"/>
        <v>9</v>
      </c>
      <c r="D6" t="str">
        <f t="shared" si="2"/>
        <v>2018</v>
      </c>
      <c r="E6" s="51" t="s">
        <v>1374</v>
      </c>
      <c r="J6">
        <v>33.049999999999997</v>
      </c>
      <c r="K6">
        <v>0</v>
      </c>
      <c r="L6">
        <v>0</v>
      </c>
      <c r="M6">
        <v>1385</v>
      </c>
      <c r="N6">
        <v>0</v>
      </c>
      <c r="O6">
        <v>0</v>
      </c>
      <c r="P6">
        <v>0</v>
      </c>
      <c r="Q6">
        <v>0</v>
      </c>
      <c r="R6">
        <v>0</v>
      </c>
    </row>
    <row r="7" spans="1:20" x14ac:dyDescent="0.2">
      <c r="A7" t="str">
        <f t="shared" si="0"/>
        <v>ICE.2018.10</v>
      </c>
      <c r="B7" t="s">
        <v>1403</v>
      </c>
      <c r="C7" t="str">
        <f t="shared" si="1"/>
        <v>10</v>
      </c>
      <c r="D7" t="str">
        <f t="shared" si="2"/>
        <v>2018</v>
      </c>
      <c r="E7" s="51" t="s">
        <v>1375</v>
      </c>
      <c r="J7">
        <v>31.6</v>
      </c>
      <c r="K7">
        <v>-0.25</v>
      </c>
      <c r="L7">
        <v>0</v>
      </c>
      <c r="M7">
        <v>1475</v>
      </c>
      <c r="N7">
        <v>0</v>
      </c>
      <c r="O7">
        <v>0</v>
      </c>
      <c r="P7">
        <v>0</v>
      </c>
      <c r="Q7">
        <v>0</v>
      </c>
      <c r="R7">
        <v>0</v>
      </c>
    </row>
    <row r="8" spans="1:20" x14ac:dyDescent="0.2">
      <c r="A8" t="str">
        <f t="shared" si="0"/>
        <v>ICE.2018.11</v>
      </c>
      <c r="B8" t="s">
        <v>1403</v>
      </c>
      <c r="C8" t="str">
        <f t="shared" si="1"/>
        <v>11</v>
      </c>
      <c r="D8" t="str">
        <f t="shared" si="2"/>
        <v>2018</v>
      </c>
      <c r="E8" s="51" t="s">
        <v>1376</v>
      </c>
      <c r="J8">
        <v>31.5</v>
      </c>
      <c r="K8">
        <v>0</v>
      </c>
      <c r="L8">
        <v>0</v>
      </c>
      <c r="M8">
        <v>1450</v>
      </c>
      <c r="N8">
        <v>0</v>
      </c>
      <c r="O8">
        <v>0</v>
      </c>
      <c r="P8">
        <v>0</v>
      </c>
      <c r="Q8">
        <v>0</v>
      </c>
      <c r="R8">
        <v>0</v>
      </c>
    </row>
    <row r="9" spans="1:20" x14ac:dyDescent="0.2">
      <c r="A9" t="str">
        <f t="shared" si="0"/>
        <v>ICE.2018.12</v>
      </c>
      <c r="B9" t="s">
        <v>1403</v>
      </c>
      <c r="C9" t="str">
        <f t="shared" si="1"/>
        <v>12</v>
      </c>
      <c r="D9" t="str">
        <f t="shared" si="2"/>
        <v>2018</v>
      </c>
      <c r="E9" s="51" t="s">
        <v>1377</v>
      </c>
      <c r="J9">
        <v>38.35</v>
      </c>
      <c r="K9">
        <v>0</v>
      </c>
      <c r="L9">
        <v>0</v>
      </c>
      <c r="M9">
        <v>1450</v>
      </c>
      <c r="N9">
        <v>0</v>
      </c>
      <c r="O9">
        <v>0</v>
      </c>
      <c r="P9">
        <v>0</v>
      </c>
      <c r="Q9">
        <v>0</v>
      </c>
      <c r="R9">
        <v>0</v>
      </c>
    </row>
    <row r="10" spans="1:20" x14ac:dyDescent="0.2">
      <c r="A10" t="str">
        <f t="shared" si="0"/>
        <v>ICE.2019.1</v>
      </c>
      <c r="B10" t="s">
        <v>1403</v>
      </c>
      <c r="C10" t="str">
        <f t="shared" si="1"/>
        <v>1</v>
      </c>
      <c r="D10" t="str">
        <f t="shared" si="2"/>
        <v>2019</v>
      </c>
      <c r="E10" s="51" t="s">
        <v>1378</v>
      </c>
      <c r="J10">
        <v>35.35</v>
      </c>
      <c r="K10">
        <v>-0.15</v>
      </c>
      <c r="L10">
        <v>0</v>
      </c>
      <c r="M10">
        <v>1075</v>
      </c>
      <c r="N10">
        <v>0</v>
      </c>
      <c r="O10">
        <v>0</v>
      </c>
      <c r="P10">
        <v>0</v>
      </c>
      <c r="Q10">
        <v>0</v>
      </c>
      <c r="R10">
        <v>0</v>
      </c>
    </row>
    <row r="11" spans="1:20" x14ac:dyDescent="0.2">
      <c r="A11" t="str">
        <f t="shared" si="0"/>
        <v>ICE.2019.2</v>
      </c>
      <c r="B11" t="s">
        <v>1403</v>
      </c>
      <c r="C11" t="str">
        <f t="shared" si="1"/>
        <v>2</v>
      </c>
      <c r="D11" t="str">
        <f t="shared" si="2"/>
        <v>2019</v>
      </c>
      <c r="E11" s="51" t="s">
        <v>1379</v>
      </c>
      <c r="J11">
        <v>32.6</v>
      </c>
      <c r="K11">
        <v>-0.15</v>
      </c>
      <c r="L11">
        <v>0</v>
      </c>
      <c r="M11">
        <v>1075</v>
      </c>
      <c r="N11">
        <v>0</v>
      </c>
      <c r="O11">
        <v>0</v>
      </c>
      <c r="P11">
        <v>0</v>
      </c>
      <c r="Q11">
        <v>0</v>
      </c>
      <c r="R11">
        <v>0</v>
      </c>
    </row>
    <row r="12" spans="1:20" x14ac:dyDescent="0.2">
      <c r="A12" t="str">
        <f t="shared" si="0"/>
        <v>ICE.2019.3</v>
      </c>
      <c r="B12" t="s">
        <v>1403</v>
      </c>
      <c r="C12" t="str">
        <f t="shared" si="1"/>
        <v>3</v>
      </c>
      <c r="D12" t="str">
        <f t="shared" si="2"/>
        <v>2019</v>
      </c>
      <c r="E12" s="51" t="s">
        <v>1380</v>
      </c>
      <c r="J12">
        <v>28.05</v>
      </c>
      <c r="K12">
        <v>-0.15</v>
      </c>
      <c r="L12">
        <v>0</v>
      </c>
      <c r="M12">
        <v>1075</v>
      </c>
      <c r="N12">
        <v>0</v>
      </c>
      <c r="O12">
        <v>0</v>
      </c>
      <c r="P12">
        <v>0</v>
      </c>
      <c r="Q12">
        <v>0</v>
      </c>
      <c r="R12">
        <v>0</v>
      </c>
    </row>
    <row r="13" spans="1:20" x14ac:dyDescent="0.2">
      <c r="A13" t="str">
        <f t="shared" si="0"/>
        <v>ICE.2019.4</v>
      </c>
      <c r="B13" t="s">
        <v>1403</v>
      </c>
      <c r="C13" t="str">
        <f t="shared" si="1"/>
        <v>4</v>
      </c>
      <c r="D13" t="str">
        <f t="shared" si="2"/>
        <v>2019</v>
      </c>
      <c r="E13" s="51" t="s">
        <v>1381</v>
      </c>
      <c r="J13">
        <v>20.5</v>
      </c>
      <c r="K13">
        <v>-0.05</v>
      </c>
      <c r="L13">
        <v>0</v>
      </c>
      <c r="M13">
        <v>1000</v>
      </c>
      <c r="N13">
        <v>0</v>
      </c>
      <c r="O13">
        <v>0</v>
      </c>
      <c r="P13">
        <v>0</v>
      </c>
      <c r="Q13">
        <v>0</v>
      </c>
      <c r="R13">
        <v>0</v>
      </c>
    </row>
    <row r="14" spans="1:20" x14ac:dyDescent="0.2">
      <c r="A14" t="str">
        <f t="shared" si="0"/>
        <v>ICE.2019.5</v>
      </c>
      <c r="B14" t="s">
        <v>1403</v>
      </c>
      <c r="C14" t="str">
        <f t="shared" si="1"/>
        <v>5</v>
      </c>
      <c r="D14" t="str">
        <f t="shared" si="2"/>
        <v>2019</v>
      </c>
      <c r="E14" s="51" t="s">
        <v>1382</v>
      </c>
      <c r="J14">
        <v>22.15</v>
      </c>
      <c r="K14">
        <v>-0.05</v>
      </c>
      <c r="L14">
        <v>0</v>
      </c>
      <c r="M14">
        <v>1000</v>
      </c>
      <c r="N14">
        <v>0</v>
      </c>
      <c r="O14">
        <v>0</v>
      </c>
      <c r="P14">
        <v>0</v>
      </c>
      <c r="Q14">
        <v>0</v>
      </c>
      <c r="R14">
        <v>0</v>
      </c>
    </row>
    <row r="15" spans="1:20" x14ac:dyDescent="0.2">
      <c r="A15" t="str">
        <f t="shared" si="0"/>
        <v>ICE.2019.6</v>
      </c>
      <c r="B15" t="s">
        <v>1403</v>
      </c>
      <c r="C15" t="str">
        <f t="shared" si="1"/>
        <v>6</v>
      </c>
      <c r="D15" t="str">
        <f t="shared" si="2"/>
        <v>2019</v>
      </c>
      <c r="E15" s="51" t="s">
        <v>1383</v>
      </c>
      <c r="J15">
        <v>26.25</v>
      </c>
      <c r="K15">
        <v>-0.05</v>
      </c>
      <c r="L15">
        <v>0</v>
      </c>
      <c r="M15">
        <v>1000</v>
      </c>
      <c r="N15">
        <v>0</v>
      </c>
      <c r="O15">
        <v>0</v>
      </c>
      <c r="P15">
        <v>0</v>
      </c>
      <c r="Q15">
        <v>0</v>
      </c>
      <c r="R15">
        <v>0</v>
      </c>
    </row>
    <row r="16" spans="1:20" x14ac:dyDescent="0.2">
      <c r="A16" t="str">
        <f t="shared" si="0"/>
        <v>ICE.2019.7</v>
      </c>
      <c r="B16" t="s">
        <v>1403</v>
      </c>
      <c r="C16" t="str">
        <f t="shared" si="1"/>
        <v>7</v>
      </c>
      <c r="D16" t="str">
        <f t="shared" si="2"/>
        <v>2019</v>
      </c>
      <c r="E16" s="51" t="s">
        <v>1384</v>
      </c>
      <c r="J16">
        <v>30.85</v>
      </c>
      <c r="K16">
        <v>0.15</v>
      </c>
      <c r="L16">
        <v>0</v>
      </c>
      <c r="M16">
        <v>1255</v>
      </c>
      <c r="N16">
        <v>0</v>
      </c>
      <c r="O16">
        <v>0</v>
      </c>
      <c r="P16">
        <v>0</v>
      </c>
      <c r="Q16">
        <v>0</v>
      </c>
      <c r="R16">
        <v>0</v>
      </c>
    </row>
    <row r="17" spans="1:18" x14ac:dyDescent="0.2">
      <c r="A17" t="str">
        <f t="shared" si="0"/>
        <v>ICE.2019.8</v>
      </c>
      <c r="B17" t="s">
        <v>1403</v>
      </c>
      <c r="C17" t="str">
        <f t="shared" si="1"/>
        <v>8</v>
      </c>
      <c r="D17" t="str">
        <f t="shared" si="2"/>
        <v>2019</v>
      </c>
      <c r="E17" s="51" t="s">
        <v>1385</v>
      </c>
      <c r="J17">
        <v>33</v>
      </c>
      <c r="K17">
        <v>0.15</v>
      </c>
      <c r="L17">
        <v>0</v>
      </c>
      <c r="M17">
        <v>1255</v>
      </c>
      <c r="N17">
        <v>0</v>
      </c>
      <c r="O17">
        <v>0</v>
      </c>
      <c r="P17">
        <v>0</v>
      </c>
      <c r="Q17">
        <v>0</v>
      </c>
      <c r="R17">
        <v>0</v>
      </c>
    </row>
    <row r="18" spans="1:18" x14ac:dyDescent="0.2">
      <c r="A18" t="str">
        <f t="shared" si="0"/>
        <v>ICE.2019.9</v>
      </c>
      <c r="B18" t="s">
        <v>1403</v>
      </c>
      <c r="C18" t="str">
        <f t="shared" si="1"/>
        <v>9</v>
      </c>
      <c r="D18" t="str">
        <f t="shared" si="2"/>
        <v>2019</v>
      </c>
      <c r="E18" s="51" t="s">
        <v>1386</v>
      </c>
      <c r="J18">
        <v>31.5</v>
      </c>
      <c r="K18">
        <v>0.15</v>
      </c>
      <c r="L18">
        <v>0</v>
      </c>
      <c r="M18">
        <v>1255</v>
      </c>
      <c r="N18">
        <v>0</v>
      </c>
      <c r="O18">
        <v>0</v>
      </c>
      <c r="P18">
        <v>0</v>
      </c>
      <c r="Q18">
        <v>0</v>
      </c>
      <c r="R18">
        <v>0</v>
      </c>
    </row>
    <row r="19" spans="1:18" x14ac:dyDescent="0.2">
      <c r="A19" t="str">
        <f t="shared" si="0"/>
        <v>ICE.2019.10</v>
      </c>
      <c r="B19" t="s">
        <v>1403</v>
      </c>
      <c r="C19" t="str">
        <f t="shared" si="1"/>
        <v>10</v>
      </c>
      <c r="D19" t="str">
        <f t="shared" si="2"/>
        <v>2019</v>
      </c>
      <c r="E19" s="51" t="s">
        <v>1387</v>
      </c>
      <c r="J19">
        <v>30.95</v>
      </c>
      <c r="K19">
        <v>0.05</v>
      </c>
      <c r="L19">
        <v>0</v>
      </c>
      <c r="M19">
        <v>970</v>
      </c>
      <c r="N19">
        <v>0</v>
      </c>
      <c r="O19">
        <v>0</v>
      </c>
      <c r="P19">
        <v>0</v>
      </c>
      <c r="Q19">
        <v>0</v>
      </c>
      <c r="R19">
        <v>0</v>
      </c>
    </row>
    <row r="20" spans="1:18" x14ac:dyDescent="0.2">
      <c r="A20" t="str">
        <f t="shared" si="0"/>
        <v>ICE.2019.11</v>
      </c>
      <c r="B20" t="s">
        <v>1403</v>
      </c>
      <c r="C20" t="str">
        <f t="shared" si="1"/>
        <v>11</v>
      </c>
      <c r="D20" t="str">
        <f t="shared" si="2"/>
        <v>2019</v>
      </c>
      <c r="E20" s="51" t="s">
        <v>1388</v>
      </c>
      <c r="J20">
        <v>30.7</v>
      </c>
      <c r="K20">
        <v>0.05</v>
      </c>
      <c r="L20">
        <v>0</v>
      </c>
      <c r="M20">
        <v>970</v>
      </c>
      <c r="N20">
        <v>0</v>
      </c>
      <c r="O20">
        <v>0</v>
      </c>
      <c r="P20">
        <v>0</v>
      </c>
      <c r="Q20">
        <v>0</v>
      </c>
      <c r="R20">
        <v>0</v>
      </c>
    </row>
    <row r="21" spans="1:18" x14ac:dyDescent="0.2">
      <c r="A21" t="str">
        <f t="shared" si="0"/>
        <v>ICE.2019.12</v>
      </c>
      <c r="B21" t="s">
        <v>1403</v>
      </c>
      <c r="C21" t="str">
        <f t="shared" si="1"/>
        <v>12</v>
      </c>
      <c r="D21" t="str">
        <f t="shared" si="2"/>
        <v>2019</v>
      </c>
      <c r="E21" s="51" t="s">
        <v>1389</v>
      </c>
      <c r="J21">
        <v>32.9</v>
      </c>
      <c r="K21">
        <v>0.05</v>
      </c>
      <c r="L21">
        <v>0</v>
      </c>
      <c r="M21">
        <v>970</v>
      </c>
      <c r="N21">
        <v>0</v>
      </c>
      <c r="O21">
        <v>0</v>
      </c>
      <c r="P21">
        <v>0</v>
      </c>
      <c r="Q21">
        <v>0</v>
      </c>
      <c r="R21">
        <v>0</v>
      </c>
    </row>
    <row r="22" spans="1:18" x14ac:dyDescent="0.2">
      <c r="A22" t="str">
        <f t="shared" si="0"/>
        <v>ICE.2020.1</v>
      </c>
      <c r="B22" t="s">
        <v>1403</v>
      </c>
      <c r="C22" t="str">
        <f t="shared" si="1"/>
        <v>1</v>
      </c>
      <c r="D22" t="str">
        <f t="shared" si="2"/>
        <v>2020</v>
      </c>
      <c r="E22" s="51" t="s">
        <v>1390</v>
      </c>
      <c r="J22">
        <v>35.1</v>
      </c>
      <c r="K22">
        <v>-0.2</v>
      </c>
      <c r="L22">
        <v>50</v>
      </c>
      <c r="M22">
        <v>705</v>
      </c>
      <c r="N22">
        <v>50</v>
      </c>
      <c r="O22">
        <v>0</v>
      </c>
      <c r="P22">
        <v>0</v>
      </c>
      <c r="Q22">
        <v>50</v>
      </c>
      <c r="R22">
        <v>0</v>
      </c>
    </row>
    <row r="23" spans="1:18" x14ac:dyDescent="0.2">
      <c r="A23" t="str">
        <f t="shared" si="0"/>
        <v>ICE.2020.2</v>
      </c>
      <c r="B23" t="s">
        <v>1403</v>
      </c>
      <c r="C23" t="str">
        <f t="shared" si="1"/>
        <v>2</v>
      </c>
      <c r="D23" t="str">
        <f t="shared" si="2"/>
        <v>2020</v>
      </c>
      <c r="E23" s="51" t="s">
        <v>1391</v>
      </c>
      <c r="J23">
        <v>33.950000000000003</v>
      </c>
      <c r="K23">
        <v>-0.2</v>
      </c>
      <c r="L23">
        <v>50</v>
      </c>
      <c r="M23">
        <v>705</v>
      </c>
      <c r="N23">
        <v>50</v>
      </c>
      <c r="O23">
        <v>0</v>
      </c>
      <c r="P23">
        <v>0</v>
      </c>
      <c r="Q23">
        <v>50</v>
      </c>
      <c r="R23">
        <v>0</v>
      </c>
    </row>
    <row r="24" spans="1:18" x14ac:dyDescent="0.2">
      <c r="A24" t="str">
        <f t="shared" si="0"/>
        <v>ICE.2020.3</v>
      </c>
      <c r="B24" t="s">
        <v>1403</v>
      </c>
      <c r="C24" t="str">
        <f t="shared" si="1"/>
        <v>3</v>
      </c>
      <c r="D24" t="str">
        <f t="shared" si="2"/>
        <v>2020</v>
      </c>
      <c r="E24" s="51" t="s">
        <v>1392</v>
      </c>
      <c r="J24">
        <v>30.35</v>
      </c>
      <c r="K24">
        <v>-0.15</v>
      </c>
      <c r="L24">
        <v>50</v>
      </c>
      <c r="M24">
        <v>705</v>
      </c>
      <c r="N24">
        <v>50</v>
      </c>
      <c r="O24">
        <v>0</v>
      </c>
      <c r="P24">
        <v>0</v>
      </c>
      <c r="Q24">
        <v>50</v>
      </c>
      <c r="R24">
        <v>0</v>
      </c>
    </row>
    <row r="25" spans="1:18" x14ac:dyDescent="0.2">
      <c r="A25" t="str">
        <f t="shared" si="0"/>
        <v>ICE.2020.4</v>
      </c>
      <c r="B25" t="s">
        <v>1403</v>
      </c>
      <c r="C25" t="str">
        <f t="shared" si="1"/>
        <v>4</v>
      </c>
      <c r="D25" t="str">
        <f t="shared" si="2"/>
        <v>2020</v>
      </c>
      <c r="E25" s="51" t="s">
        <v>1393</v>
      </c>
      <c r="J25">
        <v>25.1</v>
      </c>
      <c r="K25">
        <v>-0.15</v>
      </c>
      <c r="L25">
        <v>50</v>
      </c>
      <c r="M25">
        <v>655</v>
      </c>
      <c r="N25">
        <v>50</v>
      </c>
      <c r="O25">
        <v>0</v>
      </c>
      <c r="P25">
        <v>0</v>
      </c>
      <c r="Q25">
        <v>50</v>
      </c>
      <c r="R25">
        <v>0</v>
      </c>
    </row>
    <row r="26" spans="1:18" x14ac:dyDescent="0.2">
      <c r="A26" t="str">
        <f t="shared" si="0"/>
        <v>ICE.2020.5</v>
      </c>
      <c r="B26" t="s">
        <v>1403</v>
      </c>
      <c r="C26" t="str">
        <f t="shared" si="1"/>
        <v>5</v>
      </c>
      <c r="D26" t="str">
        <f t="shared" si="2"/>
        <v>2020</v>
      </c>
      <c r="E26" s="51" t="s">
        <v>1394</v>
      </c>
      <c r="J26">
        <v>24.95</v>
      </c>
      <c r="K26">
        <v>-0.15</v>
      </c>
      <c r="L26">
        <v>50</v>
      </c>
      <c r="M26">
        <v>655</v>
      </c>
      <c r="N26">
        <v>50</v>
      </c>
      <c r="O26">
        <v>0</v>
      </c>
      <c r="P26">
        <v>0</v>
      </c>
      <c r="Q26">
        <v>50</v>
      </c>
      <c r="R26">
        <v>0</v>
      </c>
    </row>
    <row r="27" spans="1:18" x14ac:dyDescent="0.2">
      <c r="A27" t="str">
        <f t="shared" si="0"/>
        <v>ICE.2020.6</v>
      </c>
      <c r="B27" t="s">
        <v>1403</v>
      </c>
      <c r="C27" t="str">
        <f t="shared" si="1"/>
        <v>6</v>
      </c>
      <c r="D27" t="str">
        <f t="shared" si="2"/>
        <v>2020</v>
      </c>
      <c r="E27" s="51" t="s">
        <v>1395</v>
      </c>
      <c r="J27">
        <v>25.8</v>
      </c>
      <c r="K27">
        <v>-0.15</v>
      </c>
      <c r="L27">
        <v>50</v>
      </c>
      <c r="M27">
        <v>655</v>
      </c>
      <c r="N27">
        <v>50</v>
      </c>
      <c r="O27">
        <v>0</v>
      </c>
      <c r="P27">
        <v>0</v>
      </c>
      <c r="Q27">
        <v>50</v>
      </c>
      <c r="R27">
        <v>0</v>
      </c>
    </row>
    <row r="28" spans="1:18" x14ac:dyDescent="0.2">
      <c r="A28" t="str">
        <f t="shared" si="0"/>
        <v>ICE.2020.7</v>
      </c>
      <c r="B28" t="s">
        <v>1403</v>
      </c>
      <c r="C28" t="str">
        <f t="shared" si="1"/>
        <v>7</v>
      </c>
      <c r="D28" t="str">
        <f t="shared" si="2"/>
        <v>2020</v>
      </c>
      <c r="E28" s="51" t="s">
        <v>1396</v>
      </c>
      <c r="J28">
        <v>32.25</v>
      </c>
      <c r="K28">
        <v>-0.2</v>
      </c>
      <c r="L28">
        <v>50</v>
      </c>
      <c r="M28">
        <v>655</v>
      </c>
      <c r="N28">
        <v>50</v>
      </c>
      <c r="O28">
        <v>0</v>
      </c>
      <c r="P28">
        <v>0</v>
      </c>
      <c r="Q28">
        <v>50</v>
      </c>
      <c r="R28">
        <v>0</v>
      </c>
    </row>
    <row r="29" spans="1:18" x14ac:dyDescent="0.2">
      <c r="A29" t="str">
        <f t="shared" si="0"/>
        <v>ICE.2020.8</v>
      </c>
      <c r="B29" t="s">
        <v>1403</v>
      </c>
      <c r="C29" t="str">
        <f t="shared" si="1"/>
        <v>8</v>
      </c>
      <c r="D29" t="str">
        <f t="shared" si="2"/>
        <v>2020</v>
      </c>
      <c r="E29" s="51" t="s">
        <v>1397</v>
      </c>
      <c r="J29">
        <v>34</v>
      </c>
      <c r="K29">
        <v>-0.2</v>
      </c>
      <c r="L29">
        <v>50</v>
      </c>
      <c r="M29">
        <v>655</v>
      </c>
      <c r="N29">
        <v>50</v>
      </c>
      <c r="O29">
        <v>0</v>
      </c>
      <c r="P29">
        <v>0</v>
      </c>
      <c r="Q29">
        <v>50</v>
      </c>
      <c r="R29">
        <v>0</v>
      </c>
    </row>
    <row r="30" spans="1:18" x14ac:dyDescent="0.2">
      <c r="A30" t="str">
        <f t="shared" si="0"/>
        <v>ICE.2020.9</v>
      </c>
      <c r="B30" t="s">
        <v>1403</v>
      </c>
      <c r="C30" t="str">
        <f t="shared" si="1"/>
        <v>9</v>
      </c>
      <c r="D30" t="str">
        <f t="shared" si="2"/>
        <v>2020</v>
      </c>
      <c r="E30" s="51" t="s">
        <v>1398</v>
      </c>
      <c r="J30">
        <v>32.85</v>
      </c>
      <c r="K30">
        <v>-0.2</v>
      </c>
      <c r="L30">
        <v>50</v>
      </c>
      <c r="M30">
        <v>655</v>
      </c>
      <c r="N30">
        <v>50</v>
      </c>
      <c r="O30">
        <v>0</v>
      </c>
      <c r="P30">
        <v>0</v>
      </c>
      <c r="Q30">
        <v>50</v>
      </c>
      <c r="R30">
        <v>0</v>
      </c>
    </row>
    <row r="31" spans="1:18" x14ac:dyDescent="0.2">
      <c r="A31" t="str">
        <f t="shared" si="0"/>
        <v>ICE.2020.10</v>
      </c>
      <c r="B31" t="s">
        <v>1403</v>
      </c>
      <c r="C31" t="str">
        <f t="shared" si="1"/>
        <v>10</v>
      </c>
      <c r="D31" t="str">
        <f t="shared" si="2"/>
        <v>2020</v>
      </c>
      <c r="E31" s="51" t="s">
        <v>1399</v>
      </c>
      <c r="J31">
        <v>33</v>
      </c>
      <c r="K31">
        <v>-0.2</v>
      </c>
      <c r="L31">
        <v>50</v>
      </c>
      <c r="M31">
        <v>655</v>
      </c>
      <c r="N31">
        <v>50</v>
      </c>
      <c r="O31">
        <v>0</v>
      </c>
      <c r="P31">
        <v>0</v>
      </c>
      <c r="Q31">
        <v>50</v>
      </c>
      <c r="R31">
        <v>0</v>
      </c>
    </row>
    <row r="32" spans="1:18" x14ac:dyDescent="0.2">
      <c r="A32" t="str">
        <f t="shared" si="0"/>
        <v>ICE.2020.11</v>
      </c>
      <c r="B32" t="s">
        <v>1403</v>
      </c>
      <c r="C32" t="str">
        <f t="shared" si="1"/>
        <v>11</v>
      </c>
      <c r="D32" t="str">
        <f t="shared" si="2"/>
        <v>2020</v>
      </c>
      <c r="E32" s="51" t="s">
        <v>1400</v>
      </c>
      <c r="J32">
        <v>32.65</v>
      </c>
      <c r="K32">
        <v>-0.2</v>
      </c>
      <c r="L32">
        <v>50</v>
      </c>
      <c r="M32">
        <v>655</v>
      </c>
      <c r="N32">
        <v>50</v>
      </c>
      <c r="O32">
        <v>0</v>
      </c>
      <c r="P32">
        <v>0</v>
      </c>
      <c r="Q32">
        <v>50</v>
      </c>
      <c r="R32">
        <v>0</v>
      </c>
    </row>
    <row r="33" spans="1:18" x14ac:dyDescent="0.2">
      <c r="A33" t="str">
        <f t="shared" si="0"/>
        <v>ICE.2020.12</v>
      </c>
      <c r="B33" t="s">
        <v>1403</v>
      </c>
      <c r="C33" t="str">
        <f t="shared" si="1"/>
        <v>12</v>
      </c>
      <c r="D33" t="str">
        <f t="shared" si="2"/>
        <v>2020</v>
      </c>
      <c r="E33" s="51" t="s">
        <v>1401</v>
      </c>
      <c r="J33">
        <v>35.25</v>
      </c>
      <c r="K33">
        <v>-0.2</v>
      </c>
      <c r="L33">
        <v>50</v>
      </c>
      <c r="M33">
        <v>655</v>
      </c>
      <c r="N33">
        <v>50</v>
      </c>
      <c r="O33">
        <v>0</v>
      </c>
      <c r="P33">
        <v>0</v>
      </c>
      <c r="Q33">
        <v>50</v>
      </c>
      <c r="R33">
        <v>0</v>
      </c>
    </row>
    <row r="34" spans="1:18" x14ac:dyDescent="0.2">
      <c r="A34" t="str">
        <f t="shared" si="0"/>
        <v>ICE.2021.1</v>
      </c>
      <c r="B34" t="s">
        <v>1403</v>
      </c>
      <c r="C34" t="str">
        <f t="shared" si="1"/>
        <v>1</v>
      </c>
      <c r="D34" t="str">
        <f t="shared" si="2"/>
        <v>2021</v>
      </c>
      <c r="E34" s="51" t="s">
        <v>1405</v>
      </c>
      <c r="J34">
        <v>38.549999999999997</v>
      </c>
      <c r="K34">
        <v>-0.2</v>
      </c>
      <c r="L34">
        <v>0</v>
      </c>
      <c r="M34">
        <v>80</v>
      </c>
      <c r="N34">
        <v>0</v>
      </c>
      <c r="O34">
        <v>0</v>
      </c>
      <c r="P34">
        <v>0</v>
      </c>
      <c r="Q34">
        <v>0</v>
      </c>
      <c r="R34">
        <v>0</v>
      </c>
    </row>
    <row r="35" spans="1:18" x14ac:dyDescent="0.2">
      <c r="A35" t="str">
        <f t="shared" si="0"/>
        <v>ICE.2021.2</v>
      </c>
      <c r="B35" t="s">
        <v>1403</v>
      </c>
      <c r="C35" t="str">
        <f t="shared" si="1"/>
        <v>2</v>
      </c>
      <c r="D35" t="str">
        <f t="shared" si="2"/>
        <v>2021</v>
      </c>
      <c r="E35" s="51" t="s">
        <v>1406</v>
      </c>
      <c r="J35">
        <v>37.85</v>
      </c>
      <c r="K35">
        <v>-0.15</v>
      </c>
      <c r="L35">
        <v>0</v>
      </c>
      <c r="M35">
        <v>80</v>
      </c>
      <c r="N35">
        <v>0</v>
      </c>
      <c r="O35">
        <v>0</v>
      </c>
      <c r="P35">
        <v>0</v>
      </c>
      <c r="Q35">
        <v>0</v>
      </c>
      <c r="R35">
        <v>0</v>
      </c>
    </row>
    <row r="36" spans="1:18" x14ac:dyDescent="0.2">
      <c r="A36" t="str">
        <f t="shared" si="0"/>
        <v>ICE.2021.3</v>
      </c>
      <c r="B36" t="s">
        <v>1403</v>
      </c>
      <c r="C36" t="str">
        <f t="shared" si="1"/>
        <v>3</v>
      </c>
      <c r="D36" t="str">
        <f t="shared" si="2"/>
        <v>2021</v>
      </c>
      <c r="E36" s="51" t="s">
        <v>1407</v>
      </c>
      <c r="J36">
        <v>33.85</v>
      </c>
      <c r="K36">
        <v>-0.15</v>
      </c>
      <c r="L36">
        <v>0</v>
      </c>
      <c r="M36">
        <v>80</v>
      </c>
      <c r="N36">
        <v>0</v>
      </c>
      <c r="O36">
        <v>0</v>
      </c>
      <c r="P36">
        <v>0</v>
      </c>
      <c r="Q36">
        <v>0</v>
      </c>
      <c r="R36">
        <v>0</v>
      </c>
    </row>
    <row r="37" spans="1:18" x14ac:dyDescent="0.2">
      <c r="A37" t="str">
        <f t="shared" si="0"/>
        <v>ICE.2021.4</v>
      </c>
      <c r="B37" t="s">
        <v>1403</v>
      </c>
      <c r="C37" t="str">
        <f t="shared" si="1"/>
        <v>4</v>
      </c>
      <c r="D37" t="str">
        <f t="shared" si="2"/>
        <v>2021</v>
      </c>
      <c r="E37" s="51" t="s">
        <v>1408</v>
      </c>
      <c r="J37">
        <v>26.85</v>
      </c>
      <c r="K37">
        <v>-0.1</v>
      </c>
      <c r="L37">
        <v>0</v>
      </c>
      <c r="M37">
        <v>80</v>
      </c>
      <c r="N37">
        <v>0</v>
      </c>
      <c r="O37">
        <v>0</v>
      </c>
      <c r="P37">
        <v>0</v>
      </c>
      <c r="Q37">
        <v>0</v>
      </c>
      <c r="R37">
        <v>0</v>
      </c>
    </row>
    <row r="38" spans="1:18" x14ac:dyDescent="0.2">
      <c r="A38" t="str">
        <f t="shared" si="0"/>
        <v>ICE.2021.5</v>
      </c>
      <c r="B38" t="s">
        <v>1403</v>
      </c>
      <c r="C38" t="str">
        <f t="shared" si="1"/>
        <v>5</v>
      </c>
      <c r="D38" t="str">
        <f t="shared" si="2"/>
        <v>2021</v>
      </c>
      <c r="E38" s="51" t="s">
        <v>1409</v>
      </c>
      <c r="J38">
        <v>26.7</v>
      </c>
      <c r="K38">
        <v>-0.1</v>
      </c>
      <c r="L38">
        <v>0</v>
      </c>
      <c r="M38">
        <v>80</v>
      </c>
      <c r="N38">
        <v>0</v>
      </c>
      <c r="O38">
        <v>0</v>
      </c>
      <c r="P38">
        <v>0</v>
      </c>
      <c r="Q38">
        <v>0</v>
      </c>
      <c r="R38">
        <v>0</v>
      </c>
    </row>
    <row r="39" spans="1:18" x14ac:dyDescent="0.2">
      <c r="A39" t="str">
        <f t="shared" si="0"/>
        <v>ICE.2021.6</v>
      </c>
      <c r="B39" t="s">
        <v>1403</v>
      </c>
      <c r="C39" t="str">
        <f t="shared" si="1"/>
        <v>6</v>
      </c>
      <c r="D39" t="str">
        <f t="shared" si="2"/>
        <v>2021</v>
      </c>
      <c r="E39" s="51" t="s">
        <v>1410</v>
      </c>
      <c r="J39">
        <v>27.8</v>
      </c>
      <c r="K39">
        <v>-0.15</v>
      </c>
      <c r="L39">
        <v>0</v>
      </c>
      <c r="M39">
        <v>80</v>
      </c>
      <c r="N39">
        <v>0</v>
      </c>
      <c r="O39">
        <v>0</v>
      </c>
      <c r="P39">
        <v>0</v>
      </c>
      <c r="Q39">
        <v>0</v>
      </c>
      <c r="R39">
        <v>0</v>
      </c>
    </row>
    <row r="40" spans="1:18" x14ac:dyDescent="0.2">
      <c r="A40" t="str">
        <f t="shared" si="0"/>
        <v>ICE.2021.7</v>
      </c>
      <c r="B40" t="s">
        <v>1403</v>
      </c>
      <c r="C40" t="str">
        <f t="shared" si="1"/>
        <v>7</v>
      </c>
      <c r="D40" t="str">
        <f t="shared" si="2"/>
        <v>2021</v>
      </c>
      <c r="E40" s="51" t="s">
        <v>1411</v>
      </c>
      <c r="J40">
        <v>34.75</v>
      </c>
      <c r="K40">
        <v>-0.15</v>
      </c>
      <c r="L40">
        <v>0</v>
      </c>
      <c r="M40">
        <v>80</v>
      </c>
      <c r="N40">
        <v>0</v>
      </c>
      <c r="O40">
        <v>0</v>
      </c>
      <c r="P40">
        <v>0</v>
      </c>
      <c r="Q40">
        <v>0</v>
      </c>
      <c r="R40">
        <v>0</v>
      </c>
    </row>
    <row r="41" spans="1:18" x14ac:dyDescent="0.2">
      <c r="A41" t="str">
        <f t="shared" si="0"/>
        <v>ICE.2021.8</v>
      </c>
      <c r="B41" t="s">
        <v>1403</v>
      </c>
      <c r="C41" t="str">
        <f t="shared" si="1"/>
        <v>8</v>
      </c>
      <c r="D41" t="str">
        <f t="shared" si="2"/>
        <v>2021</v>
      </c>
      <c r="E41" s="51" t="s">
        <v>1412</v>
      </c>
      <c r="J41">
        <v>36.75</v>
      </c>
      <c r="K41">
        <v>-0.15</v>
      </c>
      <c r="L41">
        <v>0</v>
      </c>
      <c r="M41">
        <v>80</v>
      </c>
      <c r="N41">
        <v>0</v>
      </c>
      <c r="O41">
        <v>0</v>
      </c>
      <c r="P41">
        <v>0</v>
      </c>
      <c r="Q41">
        <v>0</v>
      </c>
      <c r="R41">
        <v>0</v>
      </c>
    </row>
    <row r="42" spans="1:18" x14ac:dyDescent="0.2">
      <c r="A42" t="str">
        <f t="shared" si="0"/>
        <v>ICE.2021.9</v>
      </c>
      <c r="B42" t="s">
        <v>1403</v>
      </c>
      <c r="C42" t="str">
        <f t="shared" si="1"/>
        <v>9</v>
      </c>
      <c r="D42" t="str">
        <f t="shared" si="2"/>
        <v>2021</v>
      </c>
      <c r="E42" s="51" t="s">
        <v>1413</v>
      </c>
      <c r="J42">
        <v>35.65</v>
      </c>
      <c r="K42">
        <v>-0.15</v>
      </c>
      <c r="L42">
        <v>0</v>
      </c>
      <c r="M42">
        <v>80</v>
      </c>
      <c r="N42">
        <v>0</v>
      </c>
      <c r="O42">
        <v>0</v>
      </c>
      <c r="P42">
        <v>0</v>
      </c>
      <c r="Q42">
        <v>0</v>
      </c>
      <c r="R42">
        <v>0</v>
      </c>
    </row>
    <row r="43" spans="1:18" x14ac:dyDescent="0.2">
      <c r="A43" t="str">
        <f t="shared" si="0"/>
        <v>ICE.2021.10</v>
      </c>
      <c r="B43" t="s">
        <v>1403</v>
      </c>
      <c r="C43" t="str">
        <f t="shared" si="1"/>
        <v>10</v>
      </c>
      <c r="D43" t="str">
        <f t="shared" si="2"/>
        <v>2021</v>
      </c>
      <c r="E43" s="51" t="s">
        <v>1414</v>
      </c>
      <c r="J43">
        <v>36.1</v>
      </c>
      <c r="K43">
        <v>-0.15</v>
      </c>
      <c r="L43">
        <v>0</v>
      </c>
      <c r="M43">
        <v>80</v>
      </c>
      <c r="N43">
        <v>0</v>
      </c>
      <c r="O43">
        <v>0</v>
      </c>
      <c r="P43">
        <v>0</v>
      </c>
      <c r="Q43">
        <v>0</v>
      </c>
      <c r="R43">
        <v>0</v>
      </c>
    </row>
    <row r="44" spans="1:18" x14ac:dyDescent="0.2">
      <c r="A44" t="str">
        <f t="shared" si="0"/>
        <v>ICE.2021.11</v>
      </c>
      <c r="B44" t="s">
        <v>1403</v>
      </c>
      <c r="C44" t="str">
        <f t="shared" si="1"/>
        <v>11</v>
      </c>
      <c r="D44" t="str">
        <f t="shared" si="2"/>
        <v>2021</v>
      </c>
      <c r="E44" s="51" t="s">
        <v>1415</v>
      </c>
      <c r="J44">
        <v>36.9</v>
      </c>
      <c r="K44">
        <v>-0.15</v>
      </c>
      <c r="L44">
        <v>0</v>
      </c>
      <c r="M44">
        <v>80</v>
      </c>
      <c r="N44">
        <v>0</v>
      </c>
      <c r="O44">
        <v>0</v>
      </c>
      <c r="P44">
        <v>0</v>
      </c>
      <c r="Q44">
        <v>0</v>
      </c>
      <c r="R44">
        <v>0</v>
      </c>
    </row>
    <row r="45" spans="1:18" x14ac:dyDescent="0.2">
      <c r="A45" t="str">
        <f t="shared" si="0"/>
        <v>ICE.2021.12</v>
      </c>
      <c r="B45" t="s">
        <v>1403</v>
      </c>
      <c r="C45" t="str">
        <f t="shared" si="1"/>
        <v>12</v>
      </c>
      <c r="D45" t="str">
        <f t="shared" si="2"/>
        <v>2021</v>
      </c>
      <c r="E45" s="51" t="s">
        <v>1416</v>
      </c>
      <c r="J45">
        <v>39.6</v>
      </c>
      <c r="K45">
        <v>-0.2</v>
      </c>
      <c r="L45">
        <v>0</v>
      </c>
      <c r="M45">
        <v>80</v>
      </c>
      <c r="N45">
        <v>0</v>
      </c>
      <c r="O45">
        <v>0</v>
      </c>
      <c r="P45">
        <v>0</v>
      </c>
      <c r="Q45">
        <v>0</v>
      </c>
      <c r="R45">
        <v>0</v>
      </c>
    </row>
    <row r="46" spans="1:18" x14ac:dyDescent="0.2">
      <c r="A46" t="str">
        <f t="shared" si="0"/>
        <v>ICE.2022.1</v>
      </c>
      <c r="B46" t="s">
        <v>1403</v>
      </c>
      <c r="C46" t="str">
        <f t="shared" si="1"/>
        <v>1</v>
      </c>
      <c r="D46" t="str">
        <f t="shared" si="2"/>
        <v>2022</v>
      </c>
      <c r="E46" s="51" t="s">
        <v>1485</v>
      </c>
      <c r="J46">
        <v>39.15</v>
      </c>
      <c r="K46">
        <v>-0.15</v>
      </c>
      <c r="L46">
        <v>0</v>
      </c>
      <c r="M46">
        <v>5</v>
      </c>
      <c r="N46">
        <v>0</v>
      </c>
      <c r="O46">
        <v>0</v>
      </c>
      <c r="P46">
        <v>0</v>
      </c>
      <c r="Q46">
        <v>0</v>
      </c>
      <c r="R46">
        <v>0</v>
      </c>
    </row>
    <row r="47" spans="1:18" x14ac:dyDescent="0.2">
      <c r="A47" t="str">
        <f t="shared" si="0"/>
        <v>ICE.2022.2</v>
      </c>
      <c r="B47" t="s">
        <v>1403</v>
      </c>
      <c r="C47" t="str">
        <f t="shared" si="1"/>
        <v>2</v>
      </c>
      <c r="D47" t="str">
        <f t="shared" si="2"/>
        <v>2022</v>
      </c>
      <c r="E47" s="51" t="s">
        <v>1486</v>
      </c>
      <c r="J47">
        <v>38.200000000000003</v>
      </c>
      <c r="K47">
        <v>-0.15</v>
      </c>
      <c r="L47">
        <v>0</v>
      </c>
      <c r="M47">
        <v>5</v>
      </c>
      <c r="N47">
        <v>0</v>
      </c>
      <c r="O47">
        <v>0</v>
      </c>
      <c r="P47">
        <v>0</v>
      </c>
      <c r="Q47">
        <v>0</v>
      </c>
      <c r="R47">
        <v>0</v>
      </c>
    </row>
    <row r="48" spans="1:18" x14ac:dyDescent="0.2">
      <c r="A48" t="str">
        <f t="shared" si="0"/>
        <v>ICE.2022.3</v>
      </c>
      <c r="B48" t="s">
        <v>1403</v>
      </c>
      <c r="C48" t="str">
        <f t="shared" si="1"/>
        <v>3</v>
      </c>
      <c r="D48" t="str">
        <f t="shared" si="2"/>
        <v>2022</v>
      </c>
      <c r="E48" s="51" t="s">
        <v>1487</v>
      </c>
      <c r="J48">
        <v>34</v>
      </c>
      <c r="K48">
        <v>-0.15</v>
      </c>
      <c r="L48">
        <v>0</v>
      </c>
      <c r="M48">
        <v>5</v>
      </c>
      <c r="N48">
        <v>0</v>
      </c>
      <c r="O48">
        <v>0</v>
      </c>
      <c r="P48">
        <v>0</v>
      </c>
      <c r="Q48">
        <v>0</v>
      </c>
      <c r="R48">
        <v>0</v>
      </c>
    </row>
    <row r="49" spans="1:18" x14ac:dyDescent="0.2">
      <c r="A49" t="str">
        <f t="shared" si="0"/>
        <v>ICE.2022.4</v>
      </c>
      <c r="B49" t="s">
        <v>1403</v>
      </c>
      <c r="C49" t="str">
        <f t="shared" si="1"/>
        <v>4</v>
      </c>
      <c r="D49" t="str">
        <f t="shared" si="2"/>
        <v>2022</v>
      </c>
      <c r="E49" s="51" t="s">
        <v>1488</v>
      </c>
      <c r="J49">
        <v>28.75</v>
      </c>
      <c r="K49">
        <v>-0.1</v>
      </c>
      <c r="L49">
        <v>0</v>
      </c>
      <c r="M49">
        <v>5</v>
      </c>
      <c r="N49">
        <v>0</v>
      </c>
      <c r="O49">
        <v>0</v>
      </c>
      <c r="P49">
        <v>0</v>
      </c>
      <c r="Q49">
        <v>0</v>
      </c>
      <c r="R49">
        <v>0</v>
      </c>
    </row>
    <row r="50" spans="1:18" x14ac:dyDescent="0.2">
      <c r="A50" t="str">
        <f t="shared" si="0"/>
        <v>ICE.2022.5</v>
      </c>
      <c r="B50" t="s">
        <v>1403</v>
      </c>
      <c r="C50" t="str">
        <f t="shared" si="1"/>
        <v>5</v>
      </c>
      <c r="D50" t="str">
        <f t="shared" si="2"/>
        <v>2022</v>
      </c>
      <c r="E50" s="51" t="s">
        <v>1489</v>
      </c>
      <c r="J50">
        <v>28.4</v>
      </c>
      <c r="K50">
        <v>-0.1</v>
      </c>
      <c r="L50">
        <v>0</v>
      </c>
      <c r="M50">
        <v>5</v>
      </c>
      <c r="N50">
        <v>0</v>
      </c>
      <c r="O50">
        <v>0</v>
      </c>
      <c r="P50">
        <v>0</v>
      </c>
      <c r="Q50">
        <v>0</v>
      </c>
      <c r="R50">
        <v>0</v>
      </c>
    </row>
    <row r="51" spans="1:18" x14ac:dyDescent="0.2">
      <c r="A51" t="str">
        <f t="shared" si="0"/>
        <v>ICE.2022.6</v>
      </c>
      <c r="B51" t="s">
        <v>1403</v>
      </c>
      <c r="C51" t="str">
        <f t="shared" si="1"/>
        <v>6</v>
      </c>
      <c r="D51" t="str">
        <f t="shared" si="2"/>
        <v>2022</v>
      </c>
      <c r="E51" s="51" t="s">
        <v>1490</v>
      </c>
      <c r="J51">
        <v>29.85</v>
      </c>
      <c r="K51">
        <v>-0.1</v>
      </c>
      <c r="L51">
        <v>0</v>
      </c>
      <c r="M51">
        <v>5</v>
      </c>
      <c r="N51">
        <v>0</v>
      </c>
      <c r="O51">
        <v>0</v>
      </c>
      <c r="P51">
        <v>0</v>
      </c>
      <c r="Q51">
        <v>0</v>
      </c>
      <c r="R51">
        <v>0</v>
      </c>
    </row>
    <row r="52" spans="1:18" x14ac:dyDescent="0.2">
      <c r="A52" t="str">
        <f t="shared" si="0"/>
        <v>ICE.2022.7</v>
      </c>
      <c r="B52" t="s">
        <v>1403</v>
      </c>
      <c r="C52" t="str">
        <f t="shared" si="1"/>
        <v>7</v>
      </c>
      <c r="D52" t="str">
        <f t="shared" si="2"/>
        <v>2022</v>
      </c>
      <c r="E52" s="51" t="s">
        <v>1491</v>
      </c>
      <c r="J52">
        <v>36.75</v>
      </c>
      <c r="K52">
        <v>-0.15</v>
      </c>
      <c r="L52">
        <v>0</v>
      </c>
      <c r="M52">
        <v>5</v>
      </c>
      <c r="N52">
        <v>0</v>
      </c>
      <c r="O52">
        <v>0</v>
      </c>
      <c r="P52">
        <v>0</v>
      </c>
      <c r="Q52">
        <v>0</v>
      </c>
      <c r="R52">
        <v>0</v>
      </c>
    </row>
    <row r="53" spans="1:18" x14ac:dyDescent="0.2">
      <c r="A53" t="str">
        <f t="shared" si="0"/>
        <v>ICE.2022.8</v>
      </c>
      <c r="B53" t="s">
        <v>1403</v>
      </c>
      <c r="C53" t="str">
        <f t="shared" si="1"/>
        <v>8</v>
      </c>
      <c r="D53" t="str">
        <f t="shared" si="2"/>
        <v>2022</v>
      </c>
      <c r="E53" s="51" t="s">
        <v>1492</v>
      </c>
      <c r="J53">
        <v>38.65</v>
      </c>
      <c r="K53">
        <v>-0.15</v>
      </c>
      <c r="L53">
        <v>0</v>
      </c>
      <c r="M53">
        <v>5</v>
      </c>
      <c r="N53">
        <v>0</v>
      </c>
      <c r="O53">
        <v>0</v>
      </c>
      <c r="P53">
        <v>0</v>
      </c>
      <c r="Q53">
        <v>0</v>
      </c>
      <c r="R53">
        <v>0</v>
      </c>
    </row>
    <row r="54" spans="1:18" x14ac:dyDescent="0.2">
      <c r="A54" t="str">
        <f t="shared" si="0"/>
        <v>ICE.2022.9</v>
      </c>
      <c r="B54" t="s">
        <v>1403</v>
      </c>
      <c r="C54" t="str">
        <f t="shared" si="1"/>
        <v>9</v>
      </c>
      <c r="D54" t="str">
        <f t="shared" si="2"/>
        <v>2022</v>
      </c>
      <c r="E54" s="51" t="s">
        <v>1493</v>
      </c>
      <c r="J54">
        <v>37.549999999999997</v>
      </c>
      <c r="K54">
        <v>-0.15</v>
      </c>
      <c r="L54">
        <v>0</v>
      </c>
      <c r="M54">
        <v>5</v>
      </c>
      <c r="N54">
        <v>0</v>
      </c>
      <c r="O54">
        <v>0</v>
      </c>
      <c r="P54">
        <v>0</v>
      </c>
      <c r="Q54">
        <v>0</v>
      </c>
      <c r="R54">
        <v>0</v>
      </c>
    </row>
    <row r="55" spans="1:18" x14ac:dyDescent="0.2">
      <c r="A55" t="str">
        <f t="shared" si="0"/>
        <v>ICE.2022.10</v>
      </c>
      <c r="B55" t="s">
        <v>1403</v>
      </c>
      <c r="C55" t="str">
        <f t="shared" si="1"/>
        <v>10</v>
      </c>
      <c r="D55" t="str">
        <f t="shared" si="2"/>
        <v>2022</v>
      </c>
      <c r="E55" s="51" t="s">
        <v>1494</v>
      </c>
      <c r="J55">
        <v>38.049999999999997</v>
      </c>
      <c r="K55">
        <v>-0.15</v>
      </c>
      <c r="L55">
        <v>0</v>
      </c>
      <c r="M55">
        <v>5</v>
      </c>
      <c r="N55">
        <v>0</v>
      </c>
      <c r="O55">
        <v>0</v>
      </c>
      <c r="P55">
        <v>0</v>
      </c>
      <c r="Q55">
        <v>0</v>
      </c>
      <c r="R55">
        <v>0</v>
      </c>
    </row>
    <row r="56" spans="1:18" x14ac:dyDescent="0.2">
      <c r="A56" t="str">
        <f t="shared" si="0"/>
        <v>ICE.2022.11</v>
      </c>
      <c r="B56" t="s">
        <v>1403</v>
      </c>
      <c r="C56" t="str">
        <f t="shared" si="1"/>
        <v>11</v>
      </c>
      <c r="D56" t="str">
        <f t="shared" si="2"/>
        <v>2022</v>
      </c>
      <c r="E56" s="51" t="s">
        <v>1495</v>
      </c>
      <c r="J56">
        <v>37.9</v>
      </c>
      <c r="K56">
        <v>-0.15</v>
      </c>
      <c r="L56">
        <v>0</v>
      </c>
      <c r="M56">
        <v>5</v>
      </c>
      <c r="N56">
        <v>0</v>
      </c>
      <c r="O56">
        <v>0</v>
      </c>
      <c r="P56">
        <v>0</v>
      </c>
      <c r="Q56">
        <v>0</v>
      </c>
      <c r="R56">
        <v>0</v>
      </c>
    </row>
    <row r="57" spans="1:18" x14ac:dyDescent="0.2">
      <c r="A57" t="str">
        <f t="shared" si="0"/>
        <v>ICE.2022.12</v>
      </c>
      <c r="B57" t="s">
        <v>1403</v>
      </c>
      <c r="C57" t="str">
        <f t="shared" si="1"/>
        <v>12</v>
      </c>
      <c r="D57" t="str">
        <f t="shared" si="2"/>
        <v>2022</v>
      </c>
      <c r="E57" s="51" t="s">
        <v>1496</v>
      </c>
      <c r="J57">
        <v>40.75</v>
      </c>
      <c r="K57">
        <v>-0.15</v>
      </c>
      <c r="L57">
        <v>0</v>
      </c>
      <c r="M57">
        <v>5</v>
      </c>
      <c r="N57">
        <v>0</v>
      </c>
      <c r="O57">
        <v>0</v>
      </c>
      <c r="P57">
        <v>0</v>
      </c>
      <c r="Q57">
        <v>0</v>
      </c>
      <c r="R57">
        <v>0</v>
      </c>
    </row>
    <row r="58" spans="1:18" x14ac:dyDescent="0.2">
      <c r="A58" t="str">
        <f t="shared" si="0"/>
        <v>ICE.2023.1</v>
      </c>
      <c r="B58" t="s">
        <v>1403</v>
      </c>
      <c r="C58" t="str">
        <f t="shared" si="1"/>
        <v>1</v>
      </c>
      <c r="D58" t="str">
        <f t="shared" si="2"/>
        <v>2023</v>
      </c>
      <c r="E58" s="51" t="s">
        <v>1511</v>
      </c>
      <c r="J58">
        <v>40.450000000000003</v>
      </c>
      <c r="K58">
        <v>-0.15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</row>
    <row r="59" spans="1:18" x14ac:dyDescent="0.2">
      <c r="A59" t="str">
        <f t="shared" si="0"/>
        <v>ICE.2023.2</v>
      </c>
      <c r="B59" t="s">
        <v>1403</v>
      </c>
      <c r="C59" t="str">
        <f t="shared" si="1"/>
        <v>2</v>
      </c>
      <c r="D59" t="str">
        <f t="shared" si="2"/>
        <v>2023</v>
      </c>
      <c r="E59" s="51" t="s">
        <v>1512</v>
      </c>
      <c r="J59">
        <v>39.5</v>
      </c>
      <c r="K59">
        <v>-0.15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</row>
    <row r="60" spans="1:18" x14ac:dyDescent="0.2">
      <c r="A60" t="str">
        <f t="shared" si="0"/>
        <v>ICE.2023.3</v>
      </c>
      <c r="B60" t="s">
        <v>1403</v>
      </c>
      <c r="C60" t="str">
        <f t="shared" si="1"/>
        <v>3</v>
      </c>
      <c r="D60" t="str">
        <f t="shared" si="2"/>
        <v>2023</v>
      </c>
      <c r="E60" s="51" t="s">
        <v>1513</v>
      </c>
      <c r="J60">
        <v>35.25</v>
      </c>
      <c r="K60">
        <v>-0.15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</row>
    <row r="61" spans="1:18" x14ac:dyDescent="0.2">
      <c r="A61" t="str">
        <f t="shared" si="0"/>
        <v>ICE.2023.4</v>
      </c>
      <c r="B61" t="s">
        <v>1403</v>
      </c>
      <c r="C61" t="str">
        <f t="shared" si="1"/>
        <v>4</v>
      </c>
      <c r="D61" t="str">
        <f t="shared" si="2"/>
        <v>2023</v>
      </c>
      <c r="E61" s="51" t="s">
        <v>1514</v>
      </c>
      <c r="J61">
        <v>29.4</v>
      </c>
      <c r="K61">
        <v>-0.1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</row>
    <row r="62" spans="1:18" x14ac:dyDescent="0.2">
      <c r="A62" t="str">
        <f t="shared" si="0"/>
        <v>ICE.2023.5</v>
      </c>
      <c r="B62" t="s">
        <v>1403</v>
      </c>
      <c r="C62" t="str">
        <f t="shared" si="1"/>
        <v>5</v>
      </c>
      <c r="D62" t="str">
        <f t="shared" si="2"/>
        <v>2023</v>
      </c>
      <c r="E62" s="51" t="s">
        <v>1515</v>
      </c>
      <c r="J62">
        <v>29.15</v>
      </c>
      <c r="K62">
        <v>-0.1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</row>
    <row r="63" spans="1:18" x14ac:dyDescent="0.2">
      <c r="A63" t="str">
        <f t="shared" si="0"/>
        <v>ICE.2023.6</v>
      </c>
      <c r="B63" t="s">
        <v>1403</v>
      </c>
      <c r="C63" t="str">
        <f t="shared" si="1"/>
        <v>6</v>
      </c>
      <c r="D63" t="str">
        <f t="shared" si="2"/>
        <v>2023</v>
      </c>
      <c r="E63" s="51" t="s">
        <v>1516</v>
      </c>
      <c r="J63">
        <v>30.55</v>
      </c>
      <c r="K63">
        <v>-0.1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</row>
    <row r="64" spans="1:18" x14ac:dyDescent="0.2">
      <c r="A64" t="str">
        <f t="shared" si="0"/>
        <v>ICE.2023.7</v>
      </c>
      <c r="B64" t="s">
        <v>1403</v>
      </c>
      <c r="C64" t="str">
        <f t="shared" si="1"/>
        <v>7</v>
      </c>
      <c r="D64" t="str">
        <f t="shared" si="2"/>
        <v>2023</v>
      </c>
      <c r="E64" s="51" t="s">
        <v>1517</v>
      </c>
      <c r="J64">
        <v>37.9</v>
      </c>
      <c r="K64">
        <v>-0.15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</row>
    <row r="65" spans="1:18" x14ac:dyDescent="0.2">
      <c r="A65" t="str">
        <f t="shared" si="0"/>
        <v>ICE.2023.8</v>
      </c>
      <c r="B65" t="s">
        <v>1403</v>
      </c>
      <c r="C65" t="str">
        <f t="shared" si="1"/>
        <v>8</v>
      </c>
      <c r="D65" t="str">
        <f t="shared" si="2"/>
        <v>2023</v>
      </c>
      <c r="E65" s="51" t="s">
        <v>1518</v>
      </c>
      <c r="J65">
        <v>40.299999999999997</v>
      </c>
      <c r="K65">
        <v>-0.15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</row>
    <row r="66" spans="1:18" x14ac:dyDescent="0.2">
      <c r="A66" t="str">
        <f t="shared" si="0"/>
        <v>ICE.2023.9</v>
      </c>
      <c r="B66" t="s">
        <v>1403</v>
      </c>
      <c r="C66" t="str">
        <f t="shared" si="1"/>
        <v>9</v>
      </c>
      <c r="D66" t="str">
        <f t="shared" si="2"/>
        <v>2023</v>
      </c>
      <c r="E66" s="51" t="s">
        <v>1519</v>
      </c>
      <c r="J66">
        <v>38.65</v>
      </c>
      <c r="K66">
        <v>-0.15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</row>
    <row r="67" spans="1:18" x14ac:dyDescent="0.2">
      <c r="A67" t="str">
        <f t="shared" ref="A67:A117" si="3">B67&amp;"."&amp;D67&amp;"."&amp;C67</f>
        <v>ICE.2023.10</v>
      </c>
      <c r="B67" t="s">
        <v>1403</v>
      </c>
      <c r="C67" t="str">
        <f t="shared" ref="C67:C117" si="4">TEXT(DATEVALUE("1"&amp;E67),"M")</f>
        <v>10</v>
      </c>
      <c r="D67" t="str">
        <f t="shared" ref="D67:D117" si="5">TEXT(DATEVALUE("1"&amp;E67),"YYYY")</f>
        <v>2023</v>
      </c>
      <c r="E67" s="51" t="s">
        <v>1520</v>
      </c>
      <c r="J67">
        <v>39.299999999999997</v>
      </c>
      <c r="K67">
        <v>-0.15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</row>
    <row r="68" spans="1:18" x14ac:dyDescent="0.2">
      <c r="A68" t="str">
        <f t="shared" si="3"/>
        <v>ICE.2023.11</v>
      </c>
      <c r="B68" t="s">
        <v>1403</v>
      </c>
      <c r="C68" t="str">
        <f t="shared" si="4"/>
        <v>11</v>
      </c>
      <c r="D68" t="str">
        <f t="shared" si="5"/>
        <v>2023</v>
      </c>
      <c r="E68" s="51" t="s">
        <v>1521</v>
      </c>
      <c r="J68">
        <v>39.049999999999997</v>
      </c>
      <c r="K68">
        <v>-0.15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</row>
    <row r="69" spans="1:18" x14ac:dyDescent="0.2">
      <c r="A69" t="str">
        <f t="shared" si="3"/>
        <v>ICE.2023.12</v>
      </c>
      <c r="B69" t="s">
        <v>1403</v>
      </c>
      <c r="C69" t="str">
        <f t="shared" si="4"/>
        <v>12</v>
      </c>
      <c r="D69" t="str">
        <f t="shared" si="5"/>
        <v>2023</v>
      </c>
      <c r="E69" s="51" t="s">
        <v>1522</v>
      </c>
      <c r="J69">
        <v>41.75</v>
      </c>
      <c r="K69">
        <v>-0.15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</row>
    <row r="70" spans="1:18" x14ac:dyDescent="0.2">
      <c r="A70" t="str">
        <f t="shared" si="3"/>
        <v>ICE.2024.1</v>
      </c>
      <c r="B70" t="s">
        <v>1403</v>
      </c>
      <c r="C70" t="str">
        <f t="shared" si="4"/>
        <v>1</v>
      </c>
      <c r="D70" t="str">
        <f t="shared" si="5"/>
        <v>2024</v>
      </c>
      <c r="E70" s="51" t="s">
        <v>1523</v>
      </c>
      <c r="J70">
        <v>41.3</v>
      </c>
      <c r="K70">
        <v>-0.15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</row>
    <row r="71" spans="1:18" x14ac:dyDescent="0.2">
      <c r="A71" t="str">
        <f t="shared" si="3"/>
        <v>ICE.2024.2</v>
      </c>
      <c r="B71" t="s">
        <v>1403</v>
      </c>
      <c r="C71" t="str">
        <f t="shared" si="4"/>
        <v>2</v>
      </c>
      <c r="D71" t="str">
        <f t="shared" si="5"/>
        <v>2024</v>
      </c>
      <c r="E71" s="51" t="s">
        <v>1524</v>
      </c>
      <c r="J71">
        <v>40.450000000000003</v>
      </c>
      <c r="K71">
        <v>-0.15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</row>
    <row r="72" spans="1:18" x14ac:dyDescent="0.2">
      <c r="A72" t="str">
        <f t="shared" si="3"/>
        <v>ICE.2024.3</v>
      </c>
      <c r="B72" t="s">
        <v>1403</v>
      </c>
      <c r="C72" t="str">
        <f t="shared" si="4"/>
        <v>3</v>
      </c>
      <c r="D72" t="str">
        <f t="shared" si="5"/>
        <v>2024</v>
      </c>
      <c r="E72" s="51" t="s">
        <v>1525</v>
      </c>
      <c r="J72">
        <v>36.200000000000003</v>
      </c>
      <c r="K72">
        <v>-0.15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</row>
    <row r="73" spans="1:18" x14ac:dyDescent="0.2">
      <c r="A73" t="str">
        <f t="shared" si="3"/>
        <v>ICE.2024.4</v>
      </c>
      <c r="B73" t="s">
        <v>1403</v>
      </c>
      <c r="C73" t="str">
        <f t="shared" si="4"/>
        <v>4</v>
      </c>
      <c r="D73" t="str">
        <f t="shared" si="5"/>
        <v>2024</v>
      </c>
      <c r="E73" s="51" t="s">
        <v>1526</v>
      </c>
      <c r="J73">
        <v>30.15</v>
      </c>
      <c r="K73">
        <v>-0.1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</row>
    <row r="74" spans="1:18" x14ac:dyDescent="0.2">
      <c r="A74" t="str">
        <f t="shared" si="3"/>
        <v>ICE.2024.5</v>
      </c>
      <c r="B74" t="s">
        <v>1403</v>
      </c>
      <c r="C74" t="str">
        <f t="shared" si="4"/>
        <v>5</v>
      </c>
      <c r="D74" t="str">
        <f t="shared" si="5"/>
        <v>2024</v>
      </c>
      <c r="E74" s="51" t="s">
        <v>1527</v>
      </c>
      <c r="J74">
        <v>29.95</v>
      </c>
      <c r="K74">
        <v>-0.1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</row>
    <row r="75" spans="1:18" x14ac:dyDescent="0.2">
      <c r="A75" t="str">
        <f t="shared" si="3"/>
        <v>ICE.2024.6</v>
      </c>
      <c r="B75" t="s">
        <v>1403</v>
      </c>
      <c r="C75" t="str">
        <f t="shared" si="4"/>
        <v>6</v>
      </c>
      <c r="D75" t="str">
        <f t="shared" si="5"/>
        <v>2024</v>
      </c>
      <c r="E75" s="51" t="s">
        <v>1528</v>
      </c>
      <c r="J75">
        <v>30.85</v>
      </c>
      <c r="K75">
        <v>-0.1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</row>
    <row r="76" spans="1:18" x14ac:dyDescent="0.2">
      <c r="A76" t="str">
        <f t="shared" si="3"/>
        <v>ICE.2024.7</v>
      </c>
      <c r="B76" t="s">
        <v>1403</v>
      </c>
      <c r="C76" t="str">
        <f t="shared" si="4"/>
        <v>7</v>
      </c>
      <c r="D76" t="str">
        <f t="shared" si="5"/>
        <v>2024</v>
      </c>
      <c r="E76" s="51" t="s">
        <v>1529</v>
      </c>
      <c r="J76">
        <v>39.200000000000003</v>
      </c>
      <c r="K76">
        <v>-0.15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</row>
    <row r="77" spans="1:18" x14ac:dyDescent="0.2">
      <c r="A77" t="str">
        <f t="shared" si="3"/>
        <v>ICE.2024.8</v>
      </c>
      <c r="B77" t="s">
        <v>1403</v>
      </c>
      <c r="C77" t="str">
        <f t="shared" si="4"/>
        <v>8</v>
      </c>
      <c r="D77" t="str">
        <f t="shared" si="5"/>
        <v>2024</v>
      </c>
      <c r="E77" s="51" t="s">
        <v>1530</v>
      </c>
      <c r="J77">
        <v>41.6</v>
      </c>
      <c r="K77">
        <v>-0.15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</row>
    <row r="78" spans="1:18" x14ac:dyDescent="0.2">
      <c r="A78" t="str">
        <f t="shared" si="3"/>
        <v>ICE.2024.9</v>
      </c>
      <c r="B78" t="s">
        <v>1403</v>
      </c>
      <c r="C78" t="str">
        <f t="shared" si="4"/>
        <v>9</v>
      </c>
      <c r="D78" t="str">
        <f t="shared" si="5"/>
        <v>2024</v>
      </c>
      <c r="E78" s="51" t="s">
        <v>1531</v>
      </c>
      <c r="J78">
        <v>40.049999999999997</v>
      </c>
      <c r="K78">
        <v>-0.15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</row>
    <row r="79" spans="1:18" x14ac:dyDescent="0.2">
      <c r="A79" t="str">
        <f t="shared" si="3"/>
        <v>ICE.2024.10</v>
      </c>
      <c r="B79" t="s">
        <v>1403</v>
      </c>
      <c r="C79" t="str">
        <f t="shared" si="4"/>
        <v>10</v>
      </c>
      <c r="D79" t="str">
        <f t="shared" si="5"/>
        <v>2024</v>
      </c>
      <c r="E79" s="51" t="s">
        <v>1532</v>
      </c>
      <c r="J79">
        <v>40.6</v>
      </c>
      <c r="K79">
        <v>-0.15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</row>
    <row r="80" spans="1:18" x14ac:dyDescent="0.2">
      <c r="A80" t="str">
        <f t="shared" si="3"/>
        <v>ICE.2024.11</v>
      </c>
      <c r="B80" t="s">
        <v>1403</v>
      </c>
      <c r="C80" t="str">
        <f t="shared" si="4"/>
        <v>11</v>
      </c>
      <c r="D80" t="str">
        <f t="shared" si="5"/>
        <v>2024</v>
      </c>
      <c r="E80" s="51" t="s">
        <v>1533</v>
      </c>
      <c r="J80">
        <v>40.4</v>
      </c>
      <c r="K80">
        <v>-0.15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</row>
    <row r="81" spans="1:18" x14ac:dyDescent="0.2">
      <c r="A81" t="str">
        <f t="shared" si="3"/>
        <v>ICE.2024.12</v>
      </c>
      <c r="B81" t="s">
        <v>1403</v>
      </c>
      <c r="C81" t="str">
        <f t="shared" si="4"/>
        <v>12</v>
      </c>
      <c r="D81" t="str">
        <f t="shared" si="5"/>
        <v>2024</v>
      </c>
      <c r="E81" s="51" t="s">
        <v>1534</v>
      </c>
      <c r="J81">
        <v>43.35</v>
      </c>
      <c r="K81">
        <v>-0.15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</row>
    <row r="82" spans="1:18" x14ac:dyDescent="0.2">
      <c r="A82" t="str">
        <f t="shared" si="3"/>
        <v>ICE.2025.1</v>
      </c>
      <c r="B82" t="s">
        <v>1403</v>
      </c>
      <c r="C82" t="str">
        <f t="shared" si="4"/>
        <v>1</v>
      </c>
      <c r="D82" t="str">
        <f t="shared" si="5"/>
        <v>2025</v>
      </c>
      <c r="E82" s="51" t="s">
        <v>1538</v>
      </c>
      <c r="J82">
        <v>42.6</v>
      </c>
      <c r="K82">
        <v>-0.15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</row>
    <row r="83" spans="1:18" x14ac:dyDescent="0.2">
      <c r="A83" t="str">
        <f t="shared" si="3"/>
        <v>ICE.2025.2</v>
      </c>
      <c r="B83" t="s">
        <v>1403</v>
      </c>
      <c r="C83" t="str">
        <f t="shared" si="4"/>
        <v>2</v>
      </c>
      <c r="D83" t="str">
        <f t="shared" si="5"/>
        <v>2025</v>
      </c>
      <c r="E83" s="51" t="s">
        <v>1539</v>
      </c>
      <c r="J83">
        <v>41.65</v>
      </c>
      <c r="K83">
        <v>-0.15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</row>
    <row r="84" spans="1:18" x14ac:dyDescent="0.2">
      <c r="A84" t="str">
        <f t="shared" si="3"/>
        <v>ICE.2025.3</v>
      </c>
      <c r="B84" t="s">
        <v>1403</v>
      </c>
      <c r="C84" t="str">
        <f t="shared" si="4"/>
        <v>3</v>
      </c>
      <c r="D84" t="str">
        <f t="shared" si="5"/>
        <v>2025</v>
      </c>
      <c r="E84" s="51" t="s">
        <v>1540</v>
      </c>
      <c r="J84">
        <v>37.200000000000003</v>
      </c>
      <c r="K84">
        <v>-0.15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</row>
    <row r="85" spans="1:18" x14ac:dyDescent="0.2">
      <c r="A85" t="str">
        <f t="shared" si="3"/>
        <v>ICE.2025.4</v>
      </c>
      <c r="B85" t="s">
        <v>1403</v>
      </c>
      <c r="C85" t="str">
        <f t="shared" si="4"/>
        <v>4</v>
      </c>
      <c r="D85" t="str">
        <f t="shared" si="5"/>
        <v>2025</v>
      </c>
      <c r="E85" s="51" t="s">
        <v>1541</v>
      </c>
      <c r="J85">
        <v>30.95</v>
      </c>
      <c r="K85">
        <v>-0.1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</row>
    <row r="86" spans="1:18" x14ac:dyDescent="0.2">
      <c r="A86" t="str">
        <f t="shared" si="3"/>
        <v>ICE.2025.5</v>
      </c>
      <c r="B86" t="s">
        <v>1403</v>
      </c>
      <c r="C86" t="str">
        <f t="shared" si="4"/>
        <v>5</v>
      </c>
      <c r="D86" t="str">
        <f t="shared" si="5"/>
        <v>2025</v>
      </c>
      <c r="E86" s="51" t="s">
        <v>1542</v>
      </c>
      <c r="J86">
        <v>30.75</v>
      </c>
      <c r="K86">
        <v>-0.1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</row>
    <row r="87" spans="1:18" x14ac:dyDescent="0.2">
      <c r="A87" t="str">
        <f t="shared" si="3"/>
        <v>ICE.2025.6</v>
      </c>
      <c r="B87" t="s">
        <v>1403</v>
      </c>
      <c r="C87" t="str">
        <f t="shared" si="4"/>
        <v>6</v>
      </c>
      <c r="D87" t="str">
        <f t="shared" si="5"/>
        <v>2025</v>
      </c>
      <c r="E87" s="51" t="s">
        <v>1543</v>
      </c>
      <c r="J87">
        <v>31.75</v>
      </c>
      <c r="K87">
        <v>-0.1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</row>
    <row r="88" spans="1:18" x14ac:dyDescent="0.2">
      <c r="A88" t="str">
        <f t="shared" si="3"/>
        <v>ICE.2025.7</v>
      </c>
      <c r="B88" t="s">
        <v>1403</v>
      </c>
      <c r="C88" t="str">
        <f t="shared" si="4"/>
        <v>7</v>
      </c>
      <c r="D88" t="str">
        <f t="shared" si="5"/>
        <v>2025</v>
      </c>
      <c r="E88" s="51" t="s">
        <v>1544</v>
      </c>
      <c r="J88">
        <v>40.4</v>
      </c>
      <c r="K88">
        <v>-0.15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</row>
    <row r="89" spans="1:18" x14ac:dyDescent="0.2">
      <c r="A89" t="str">
        <f t="shared" si="3"/>
        <v>ICE.2025.8</v>
      </c>
      <c r="B89" t="s">
        <v>1403</v>
      </c>
      <c r="C89" t="str">
        <f t="shared" si="4"/>
        <v>8</v>
      </c>
      <c r="D89" t="str">
        <f t="shared" si="5"/>
        <v>2025</v>
      </c>
      <c r="E89" s="51" t="s">
        <v>1545</v>
      </c>
      <c r="J89">
        <v>42.65</v>
      </c>
      <c r="K89">
        <v>-0.15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</row>
    <row r="90" spans="1:18" x14ac:dyDescent="0.2">
      <c r="A90" t="str">
        <f t="shared" si="3"/>
        <v>ICE.2025.9</v>
      </c>
      <c r="B90" t="s">
        <v>1403</v>
      </c>
      <c r="C90" t="str">
        <f t="shared" si="4"/>
        <v>9</v>
      </c>
      <c r="D90" t="str">
        <f t="shared" si="5"/>
        <v>2025</v>
      </c>
      <c r="E90" s="51" t="s">
        <v>1546</v>
      </c>
      <c r="J90">
        <v>41.2</v>
      </c>
      <c r="K90">
        <v>-0.15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</row>
    <row r="91" spans="1:18" x14ac:dyDescent="0.2">
      <c r="A91" t="str">
        <f t="shared" si="3"/>
        <v>ICE.2025.10</v>
      </c>
      <c r="B91" t="s">
        <v>1403</v>
      </c>
      <c r="C91" t="str">
        <f t="shared" si="4"/>
        <v>10</v>
      </c>
      <c r="D91" t="str">
        <f t="shared" si="5"/>
        <v>2025</v>
      </c>
      <c r="E91" s="51" t="s">
        <v>1547</v>
      </c>
      <c r="J91">
        <v>41.85</v>
      </c>
      <c r="K91">
        <v>-0.15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</row>
    <row r="92" spans="1:18" x14ac:dyDescent="0.2">
      <c r="A92" t="str">
        <f t="shared" si="3"/>
        <v>ICE.2025.11</v>
      </c>
      <c r="B92" t="s">
        <v>1403</v>
      </c>
      <c r="C92" t="str">
        <f t="shared" si="4"/>
        <v>11</v>
      </c>
      <c r="D92" t="str">
        <f t="shared" si="5"/>
        <v>2025</v>
      </c>
      <c r="E92" s="51" t="s">
        <v>1548</v>
      </c>
      <c r="J92">
        <v>41.55</v>
      </c>
      <c r="K92">
        <v>-0.15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</row>
    <row r="93" spans="1:18" x14ac:dyDescent="0.2">
      <c r="A93" t="str">
        <f t="shared" si="3"/>
        <v>ICE.2025.12</v>
      </c>
      <c r="B93" t="s">
        <v>1403</v>
      </c>
      <c r="C93" t="str">
        <f t="shared" si="4"/>
        <v>12</v>
      </c>
      <c r="D93" t="str">
        <f t="shared" si="5"/>
        <v>2025</v>
      </c>
      <c r="E93" s="51" t="s">
        <v>1549</v>
      </c>
      <c r="J93">
        <v>44.55</v>
      </c>
      <c r="K93">
        <v>-0.15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</row>
    <row r="94" spans="1:18" x14ac:dyDescent="0.2">
      <c r="A94" t="str">
        <f t="shared" si="3"/>
        <v>ICE.2026.1</v>
      </c>
      <c r="B94" t="s">
        <v>1403</v>
      </c>
      <c r="C94" t="str">
        <f t="shared" si="4"/>
        <v>1</v>
      </c>
      <c r="D94" t="str">
        <f t="shared" si="5"/>
        <v>2026</v>
      </c>
      <c r="E94" s="51" t="s">
        <v>1550</v>
      </c>
      <c r="J94">
        <v>43.75</v>
      </c>
      <c r="K94">
        <v>-0.15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</row>
    <row r="95" spans="1:18" x14ac:dyDescent="0.2">
      <c r="A95" t="str">
        <f t="shared" si="3"/>
        <v>ICE.2026.2</v>
      </c>
      <c r="B95" t="s">
        <v>1403</v>
      </c>
      <c r="C95" t="str">
        <f t="shared" si="4"/>
        <v>2</v>
      </c>
      <c r="D95" t="str">
        <f t="shared" si="5"/>
        <v>2026</v>
      </c>
      <c r="E95" s="51" t="s">
        <v>1551</v>
      </c>
      <c r="J95">
        <v>42.8</v>
      </c>
      <c r="K95">
        <v>-0.15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</row>
    <row r="96" spans="1:18" x14ac:dyDescent="0.2">
      <c r="A96" t="str">
        <f t="shared" si="3"/>
        <v>ICE.2026.3</v>
      </c>
      <c r="B96" t="s">
        <v>1403</v>
      </c>
      <c r="C96" t="str">
        <f t="shared" si="4"/>
        <v>3</v>
      </c>
      <c r="D96" t="str">
        <f t="shared" si="5"/>
        <v>2026</v>
      </c>
      <c r="E96" s="51" t="s">
        <v>1552</v>
      </c>
      <c r="J96">
        <v>38.15</v>
      </c>
      <c r="K96">
        <v>-0.15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</row>
    <row r="97" spans="1:18" x14ac:dyDescent="0.2">
      <c r="A97" t="str">
        <f t="shared" si="3"/>
        <v>ICE.2026.4</v>
      </c>
      <c r="B97" t="s">
        <v>1403</v>
      </c>
      <c r="C97" t="str">
        <f t="shared" si="4"/>
        <v>4</v>
      </c>
      <c r="D97" t="str">
        <f t="shared" si="5"/>
        <v>2026</v>
      </c>
      <c r="E97" s="51" t="s">
        <v>1553</v>
      </c>
      <c r="J97">
        <v>31.9</v>
      </c>
      <c r="K97">
        <v>-0.1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</row>
    <row r="98" spans="1:18" x14ac:dyDescent="0.2">
      <c r="A98" t="str">
        <f t="shared" si="3"/>
        <v>ICE.2026.5</v>
      </c>
      <c r="B98" t="s">
        <v>1403</v>
      </c>
      <c r="C98" t="str">
        <f t="shared" si="4"/>
        <v>5</v>
      </c>
      <c r="D98" t="str">
        <f t="shared" si="5"/>
        <v>2026</v>
      </c>
      <c r="E98" s="51" t="s">
        <v>1554</v>
      </c>
      <c r="J98">
        <v>31.7</v>
      </c>
      <c r="K98">
        <v>-0.1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</row>
    <row r="99" spans="1:18" x14ac:dyDescent="0.2">
      <c r="A99" t="str">
        <f t="shared" si="3"/>
        <v>ICE.2026.6</v>
      </c>
      <c r="B99" t="s">
        <v>1403</v>
      </c>
      <c r="C99" t="str">
        <f t="shared" si="4"/>
        <v>6</v>
      </c>
      <c r="D99" t="str">
        <f t="shared" si="5"/>
        <v>2026</v>
      </c>
      <c r="E99" s="51" t="s">
        <v>1555</v>
      </c>
      <c r="J99">
        <v>32.6</v>
      </c>
      <c r="K99">
        <v>-0.1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</row>
    <row r="100" spans="1:18" x14ac:dyDescent="0.2">
      <c r="A100" t="str">
        <f t="shared" si="3"/>
        <v>ICE.2026.7</v>
      </c>
      <c r="B100" t="s">
        <v>1403</v>
      </c>
      <c r="C100" t="str">
        <f t="shared" si="4"/>
        <v>7</v>
      </c>
      <c r="D100" t="str">
        <f t="shared" si="5"/>
        <v>2026</v>
      </c>
      <c r="E100" s="51" t="s">
        <v>1556</v>
      </c>
      <c r="J100">
        <v>41.45</v>
      </c>
      <c r="K100">
        <v>-0.15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</row>
    <row r="101" spans="1:18" x14ac:dyDescent="0.2">
      <c r="A101" t="str">
        <f t="shared" si="3"/>
        <v>ICE.2026.8</v>
      </c>
      <c r="B101" t="s">
        <v>1403</v>
      </c>
      <c r="C101" t="str">
        <f t="shared" si="4"/>
        <v>8</v>
      </c>
      <c r="D101" t="str">
        <f t="shared" si="5"/>
        <v>2026</v>
      </c>
      <c r="E101" s="51" t="s">
        <v>1557</v>
      </c>
      <c r="J101">
        <v>44.1</v>
      </c>
      <c r="K101">
        <v>-0.15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</row>
    <row r="102" spans="1:18" x14ac:dyDescent="0.2">
      <c r="A102" t="str">
        <f t="shared" si="3"/>
        <v>ICE.2026.9</v>
      </c>
      <c r="B102" t="s">
        <v>1403</v>
      </c>
      <c r="C102" t="str">
        <f t="shared" si="4"/>
        <v>9</v>
      </c>
      <c r="D102" t="str">
        <f t="shared" si="5"/>
        <v>2026</v>
      </c>
      <c r="E102" s="51" t="s">
        <v>1558</v>
      </c>
      <c r="J102">
        <v>42.45</v>
      </c>
      <c r="K102">
        <v>-0.15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</row>
    <row r="103" spans="1:18" x14ac:dyDescent="0.2">
      <c r="A103" t="str">
        <f t="shared" si="3"/>
        <v>ICE.2026.10</v>
      </c>
      <c r="B103" t="s">
        <v>1403</v>
      </c>
      <c r="C103" t="str">
        <f t="shared" si="4"/>
        <v>10</v>
      </c>
      <c r="D103" t="str">
        <f t="shared" si="5"/>
        <v>2026</v>
      </c>
      <c r="E103" s="51" t="s">
        <v>1559</v>
      </c>
      <c r="J103">
        <v>43.05</v>
      </c>
      <c r="K103">
        <v>-0.15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</row>
    <row r="104" spans="1:18" x14ac:dyDescent="0.2">
      <c r="A104" t="str">
        <f t="shared" si="3"/>
        <v>ICE.2026.11</v>
      </c>
      <c r="B104" t="s">
        <v>1403</v>
      </c>
      <c r="C104" t="str">
        <f t="shared" si="4"/>
        <v>11</v>
      </c>
      <c r="D104" t="str">
        <f t="shared" si="5"/>
        <v>2026</v>
      </c>
      <c r="E104" s="51" t="s">
        <v>1560</v>
      </c>
      <c r="J104">
        <v>42.65</v>
      </c>
      <c r="K104">
        <v>-0.15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</row>
    <row r="105" spans="1:18" x14ac:dyDescent="0.2">
      <c r="A105" t="str">
        <f t="shared" si="3"/>
        <v>ICE.2026.12</v>
      </c>
      <c r="B105" t="s">
        <v>1403</v>
      </c>
      <c r="C105" t="str">
        <f t="shared" si="4"/>
        <v>12</v>
      </c>
      <c r="D105" t="str">
        <f t="shared" si="5"/>
        <v>2026</v>
      </c>
      <c r="E105" s="51" t="s">
        <v>1561</v>
      </c>
      <c r="J105">
        <v>45.8</v>
      </c>
      <c r="K105">
        <v>-0.15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</row>
    <row r="106" spans="1:18" x14ac:dyDescent="0.2">
      <c r="A106" t="str">
        <f t="shared" si="3"/>
        <v>ICE.2027.1</v>
      </c>
      <c r="B106" t="s">
        <v>1403</v>
      </c>
      <c r="C106" t="str">
        <f t="shared" si="4"/>
        <v>1</v>
      </c>
      <c r="D106" t="str">
        <f t="shared" si="5"/>
        <v>2027</v>
      </c>
      <c r="E106" s="51" t="s">
        <v>1562</v>
      </c>
      <c r="J106">
        <v>44.9</v>
      </c>
      <c r="K106">
        <v>-0.15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</row>
    <row r="107" spans="1:18" x14ac:dyDescent="0.2">
      <c r="A107" t="str">
        <f t="shared" si="3"/>
        <v>ICE.2027.2</v>
      </c>
      <c r="B107" t="s">
        <v>1403</v>
      </c>
      <c r="C107" t="str">
        <f t="shared" si="4"/>
        <v>2</v>
      </c>
      <c r="D107" t="str">
        <f t="shared" si="5"/>
        <v>2027</v>
      </c>
      <c r="E107" s="51" t="s">
        <v>1563</v>
      </c>
      <c r="J107">
        <v>43.85</v>
      </c>
      <c r="K107">
        <v>-0.15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</row>
    <row r="108" spans="1:18" x14ac:dyDescent="0.2">
      <c r="A108" t="str">
        <f t="shared" si="3"/>
        <v>ICE.2027.3</v>
      </c>
      <c r="B108" t="s">
        <v>1403</v>
      </c>
      <c r="C108" t="str">
        <f t="shared" si="4"/>
        <v>3</v>
      </c>
      <c r="D108" t="str">
        <f t="shared" si="5"/>
        <v>2027</v>
      </c>
      <c r="E108" s="51" t="s">
        <v>1564</v>
      </c>
      <c r="J108">
        <v>39.200000000000003</v>
      </c>
      <c r="K108">
        <v>-0.15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</row>
    <row r="109" spans="1:18" x14ac:dyDescent="0.2">
      <c r="A109" t="str">
        <f t="shared" si="3"/>
        <v>ICE.2027.4</v>
      </c>
      <c r="B109" t="s">
        <v>1403</v>
      </c>
      <c r="C109" t="str">
        <f t="shared" si="4"/>
        <v>4</v>
      </c>
      <c r="D109" t="str">
        <f t="shared" si="5"/>
        <v>2027</v>
      </c>
      <c r="E109" s="51" t="s">
        <v>1565</v>
      </c>
      <c r="J109">
        <v>32.799999999999997</v>
      </c>
      <c r="K109">
        <v>-0.1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</row>
    <row r="110" spans="1:18" x14ac:dyDescent="0.2">
      <c r="A110" t="str">
        <f t="shared" si="3"/>
        <v>ICE.2027.5</v>
      </c>
      <c r="B110" t="s">
        <v>1403</v>
      </c>
      <c r="C110" t="str">
        <f t="shared" si="4"/>
        <v>5</v>
      </c>
      <c r="D110" t="str">
        <f t="shared" si="5"/>
        <v>2027</v>
      </c>
      <c r="E110" s="51" t="s">
        <v>1566</v>
      </c>
      <c r="J110">
        <v>32.5</v>
      </c>
      <c r="K110">
        <v>-0.1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</row>
    <row r="111" spans="1:18" x14ac:dyDescent="0.2">
      <c r="A111" t="str">
        <f t="shared" si="3"/>
        <v>ICE.2027.6</v>
      </c>
      <c r="B111" t="s">
        <v>1403</v>
      </c>
      <c r="C111" t="str">
        <f t="shared" si="4"/>
        <v>6</v>
      </c>
      <c r="D111" t="str">
        <f t="shared" si="5"/>
        <v>2027</v>
      </c>
      <c r="E111" s="51" t="s">
        <v>1567</v>
      </c>
      <c r="J111">
        <v>33.5</v>
      </c>
      <c r="K111">
        <v>-0.1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</row>
    <row r="112" spans="1:18" x14ac:dyDescent="0.2">
      <c r="A112" t="str">
        <f t="shared" si="3"/>
        <v>ICE.2027.7</v>
      </c>
      <c r="B112" t="s">
        <v>1403</v>
      </c>
      <c r="C112" t="str">
        <f t="shared" si="4"/>
        <v>7</v>
      </c>
      <c r="D112" t="str">
        <f t="shared" si="5"/>
        <v>2027</v>
      </c>
      <c r="E112" s="51" t="s">
        <v>1568</v>
      </c>
      <c r="J112">
        <v>42.5</v>
      </c>
      <c r="K112">
        <v>-0.15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</row>
    <row r="113" spans="1:18" x14ac:dyDescent="0.2">
      <c r="A113" t="str">
        <f t="shared" si="3"/>
        <v>ICE.2027.8</v>
      </c>
      <c r="B113" t="s">
        <v>1403</v>
      </c>
      <c r="C113" t="str">
        <f t="shared" si="4"/>
        <v>8</v>
      </c>
      <c r="D113" t="str">
        <f t="shared" si="5"/>
        <v>2027</v>
      </c>
      <c r="E113" s="51" t="s">
        <v>1569</v>
      </c>
      <c r="J113">
        <v>45</v>
      </c>
      <c r="K113">
        <v>-0.15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</row>
    <row r="114" spans="1:18" x14ac:dyDescent="0.2">
      <c r="A114" t="str">
        <f t="shared" si="3"/>
        <v>ICE.2027.9</v>
      </c>
      <c r="B114" t="s">
        <v>1403</v>
      </c>
      <c r="C114" t="str">
        <f t="shared" si="4"/>
        <v>9</v>
      </c>
      <c r="D114" t="str">
        <f t="shared" si="5"/>
        <v>2027</v>
      </c>
      <c r="E114" s="51" t="s">
        <v>1570</v>
      </c>
      <c r="J114">
        <v>43.45</v>
      </c>
      <c r="K114">
        <v>-0.15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</row>
    <row r="115" spans="1:18" x14ac:dyDescent="0.2">
      <c r="A115" t="str">
        <f t="shared" si="3"/>
        <v>ICE.2027.10</v>
      </c>
      <c r="B115" t="s">
        <v>1403</v>
      </c>
      <c r="C115" t="str">
        <f t="shared" si="4"/>
        <v>10</v>
      </c>
      <c r="D115" t="str">
        <f t="shared" si="5"/>
        <v>2027</v>
      </c>
      <c r="E115" s="51" t="s">
        <v>1571</v>
      </c>
      <c r="J115">
        <v>44.15</v>
      </c>
      <c r="K115">
        <v>-0.15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</row>
    <row r="116" spans="1:18" x14ac:dyDescent="0.2">
      <c r="A116" t="str">
        <f t="shared" si="3"/>
        <v>ICE.2027.11</v>
      </c>
      <c r="B116" t="s">
        <v>1403</v>
      </c>
      <c r="C116" t="str">
        <f t="shared" si="4"/>
        <v>11</v>
      </c>
      <c r="D116" t="str">
        <f t="shared" si="5"/>
        <v>2027</v>
      </c>
      <c r="E116" s="51" t="s">
        <v>1572</v>
      </c>
      <c r="J116">
        <v>43.75</v>
      </c>
      <c r="K116">
        <v>-0.15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</row>
    <row r="117" spans="1:18" x14ac:dyDescent="0.2">
      <c r="A117" t="str">
        <f t="shared" si="3"/>
        <v>ICE.2027.12</v>
      </c>
      <c r="B117" t="s">
        <v>1403</v>
      </c>
      <c r="C117" t="str">
        <f t="shared" si="4"/>
        <v>12</v>
      </c>
      <c r="D117" t="str">
        <f t="shared" si="5"/>
        <v>2027</v>
      </c>
      <c r="E117" s="51" t="s">
        <v>1573</v>
      </c>
      <c r="J117">
        <v>47.05</v>
      </c>
      <c r="K117">
        <v>-0.15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P15OffPeakPrevious"/>
  <dimension ref="A1:F88"/>
  <sheetViews>
    <sheetView workbookViewId="0"/>
  </sheetViews>
  <sheetFormatPr defaultRowHeight="12.75" x14ac:dyDescent="0.2"/>
  <cols>
    <col min="1" max="1" width="81.140625" bestFit="1" customWidth="1"/>
  </cols>
  <sheetData>
    <row r="1" spans="1:6" s="1" customFormat="1" x14ac:dyDescent="0.2">
      <c r="A1" s="1" t="s">
        <v>1020</v>
      </c>
      <c r="C1" s="1" t="s">
        <v>1444</v>
      </c>
      <c r="D1" s="1" t="s">
        <v>1445</v>
      </c>
      <c r="E1" s="1" t="s">
        <v>976</v>
      </c>
      <c r="F1" s="45">
        <v>41221</v>
      </c>
    </row>
    <row r="2" spans="1:6" x14ac:dyDescent="0.2">
      <c r="A2" t="s">
        <v>1447</v>
      </c>
      <c r="B2" t="s">
        <v>1446</v>
      </c>
      <c r="C2">
        <v>0</v>
      </c>
      <c r="D2">
        <v>0</v>
      </c>
      <c r="E2">
        <v>0</v>
      </c>
    </row>
    <row r="3" spans="1:6" x14ac:dyDescent="0.2">
      <c r="A3" t="s">
        <v>1448</v>
      </c>
      <c r="B3" t="s">
        <v>1446</v>
      </c>
      <c r="C3">
        <v>0</v>
      </c>
      <c r="D3">
        <v>0</v>
      </c>
      <c r="E3">
        <v>0</v>
      </c>
    </row>
    <row r="4" spans="1:6" x14ac:dyDescent="0.2">
      <c r="A4" t="s">
        <v>1449</v>
      </c>
      <c r="B4" t="s">
        <v>1446</v>
      </c>
      <c r="C4">
        <v>0</v>
      </c>
      <c r="D4">
        <v>0</v>
      </c>
      <c r="E4">
        <v>0</v>
      </c>
    </row>
    <row r="5" spans="1:6" x14ac:dyDescent="0.2">
      <c r="A5" t="s">
        <v>1450</v>
      </c>
      <c r="B5" t="s">
        <v>1446</v>
      </c>
      <c r="C5">
        <v>0</v>
      </c>
      <c r="D5">
        <v>0</v>
      </c>
      <c r="E5">
        <v>656</v>
      </c>
    </row>
    <row r="6" spans="1:6" x14ac:dyDescent="0.2">
      <c r="A6" t="s">
        <v>1451</v>
      </c>
      <c r="B6" t="s">
        <v>1446</v>
      </c>
      <c r="C6">
        <v>0</v>
      </c>
      <c r="D6">
        <v>0</v>
      </c>
      <c r="E6">
        <v>576</v>
      </c>
    </row>
    <row r="7" spans="1:6" x14ac:dyDescent="0.2">
      <c r="A7" t="s">
        <v>1452</v>
      </c>
      <c r="B7" t="s">
        <v>1446</v>
      </c>
      <c r="C7">
        <v>0</v>
      </c>
      <c r="D7">
        <v>0</v>
      </c>
      <c r="E7">
        <v>654</v>
      </c>
    </row>
    <row r="8" spans="1:6" x14ac:dyDescent="0.2">
      <c r="A8" t="s">
        <v>1453</v>
      </c>
      <c r="B8" t="s">
        <v>1446</v>
      </c>
      <c r="C8">
        <v>0</v>
      </c>
      <c r="D8">
        <v>0</v>
      </c>
      <c r="E8">
        <v>0</v>
      </c>
    </row>
    <row r="9" spans="1:6" x14ac:dyDescent="0.2">
      <c r="A9" t="s">
        <v>1454</v>
      </c>
      <c r="B9" t="s">
        <v>1446</v>
      </c>
      <c r="C9">
        <v>0</v>
      </c>
      <c r="D9">
        <v>0</v>
      </c>
      <c r="E9">
        <v>0</v>
      </c>
    </row>
    <row r="10" spans="1:6" x14ac:dyDescent="0.2">
      <c r="A10" t="s">
        <v>1455</v>
      </c>
      <c r="B10" t="s">
        <v>1446</v>
      </c>
      <c r="C10">
        <v>0</v>
      </c>
      <c r="D10">
        <v>0</v>
      </c>
      <c r="E10">
        <v>0</v>
      </c>
    </row>
    <row r="11" spans="1:6" x14ac:dyDescent="0.2">
      <c r="A11" t="s">
        <v>1456</v>
      </c>
      <c r="B11" t="s">
        <v>1446</v>
      </c>
      <c r="C11">
        <v>0</v>
      </c>
      <c r="D11">
        <v>0</v>
      </c>
      <c r="E11">
        <v>0</v>
      </c>
    </row>
    <row r="12" spans="1:6" x14ac:dyDescent="0.2">
      <c r="A12" t="s">
        <v>1457</v>
      </c>
      <c r="B12" t="s">
        <v>1446</v>
      </c>
      <c r="C12">
        <v>0</v>
      </c>
      <c r="D12">
        <v>0</v>
      </c>
      <c r="E12">
        <v>0</v>
      </c>
    </row>
    <row r="13" spans="1:6" x14ac:dyDescent="0.2">
      <c r="A13" t="s">
        <v>1458</v>
      </c>
      <c r="B13" t="s">
        <v>1446</v>
      </c>
      <c r="C13">
        <v>0</v>
      </c>
      <c r="D13">
        <v>0</v>
      </c>
      <c r="E13">
        <v>0</v>
      </c>
    </row>
    <row r="14" spans="1:6" x14ac:dyDescent="0.2">
      <c r="A14" t="s">
        <v>1459</v>
      </c>
      <c r="B14" t="s">
        <v>1446</v>
      </c>
      <c r="C14">
        <v>0</v>
      </c>
      <c r="D14">
        <v>0</v>
      </c>
      <c r="E14">
        <v>0</v>
      </c>
    </row>
    <row r="15" spans="1:6" x14ac:dyDescent="0.2">
      <c r="A15" t="s">
        <v>1460</v>
      </c>
      <c r="B15" t="s">
        <v>1446</v>
      </c>
      <c r="C15">
        <v>0</v>
      </c>
      <c r="D15">
        <v>0</v>
      </c>
      <c r="E15">
        <v>0</v>
      </c>
    </row>
    <row r="16" spans="1:6" x14ac:dyDescent="0.2">
      <c r="A16" t="s">
        <v>1461</v>
      </c>
      <c r="B16" t="s">
        <v>1446</v>
      </c>
      <c r="C16">
        <v>0</v>
      </c>
      <c r="D16">
        <v>0</v>
      </c>
      <c r="E16">
        <v>0</v>
      </c>
    </row>
    <row r="17" spans="1:5" x14ac:dyDescent="0.2">
      <c r="A17" t="s">
        <v>1462</v>
      </c>
      <c r="B17" t="s">
        <v>1446</v>
      </c>
      <c r="C17">
        <v>0</v>
      </c>
      <c r="D17">
        <v>0</v>
      </c>
      <c r="E17">
        <v>328</v>
      </c>
    </row>
    <row r="18" spans="1:5" x14ac:dyDescent="0.2">
      <c r="A18" t="s">
        <v>1463</v>
      </c>
      <c r="B18" t="s">
        <v>1446</v>
      </c>
      <c r="C18">
        <v>0</v>
      </c>
      <c r="D18">
        <v>0</v>
      </c>
      <c r="E18">
        <v>288</v>
      </c>
    </row>
    <row r="19" spans="1:5" x14ac:dyDescent="0.2">
      <c r="A19" t="s">
        <v>1464</v>
      </c>
      <c r="B19" t="s">
        <v>1446</v>
      </c>
      <c r="C19">
        <v>0</v>
      </c>
      <c r="D19">
        <v>0</v>
      </c>
      <c r="E19">
        <v>327</v>
      </c>
    </row>
    <row r="20" spans="1:5" x14ac:dyDescent="0.2">
      <c r="A20" t="s">
        <v>1465</v>
      </c>
      <c r="B20" t="s">
        <v>1446</v>
      </c>
      <c r="C20">
        <v>0</v>
      </c>
      <c r="D20">
        <v>0</v>
      </c>
      <c r="E20">
        <v>304</v>
      </c>
    </row>
    <row r="21" spans="1:5" x14ac:dyDescent="0.2">
      <c r="A21" t="s">
        <v>1466</v>
      </c>
      <c r="B21" t="s">
        <v>1446</v>
      </c>
      <c r="C21">
        <v>0</v>
      </c>
      <c r="D21">
        <v>0</v>
      </c>
      <c r="E21">
        <v>328</v>
      </c>
    </row>
    <row r="22" spans="1:5" x14ac:dyDescent="0.2">
      <c r="A22" t="s">
        <v>1467</v>
      </c>
      <c r="B22" t="s">
        <v>1446</v>
      </c>
      <c r="C22">
        <v>0</v>
      </c>
      <c r="D22">
        <v>0</v>
      </c>
      <c r="E22">
        <v>320</v>
      </c>
    </row>
    <row r="23" spans="1:5" x14ac:dyDescent="0.2">
      <c r="A23" t="s">
        <v>1468</v>
      </c>
      <c r="B23" t="s">
        <v>1446</v>
      </c>
      <c r="C23">
        <v>0</v>
      </c>
      <c r="D23">
        <v>0</v>
      </c>
      <c r="E23">
        <v>328</v>
      </c>
    </row>
    <row r="24" spans="1:5" x14ac:dyDescent="0.2">
      <c r="A24" t="s">
        <v>1469</v>
      </c>
      <c r="B24" t="s">
        <v>1446</v>
      </c>
      <c r="C24">
        <v>0</v>
      </c>
      <c r="D24">
        <v>0</v>
      </c>
      <c r="E24">
        <v>328</v>
      </c>
    </row>
    <row r="25" spans="1:5" x14ac:dyDescent="0.2">
      <c r="A25" t="s">
        <v>1470</v>
      </c>
      <c r="B25" t="s">
        <v>1446</v>
      </c>
      <c r="C25">
        <v>0</v>
      </c>
      <c r="D25">
        <v>0</v>
      </c>
      <c r="E25">
        <v>320</v>
      </c>
    </row>
    <row r="26" spans="1:5" x14ac:dyDescent="0.2">
      <c r="A26" t="s">
        <v>1471</v>
      </c>
      <c r="B26" t="s">
        <v>1446</v>
      </c>
      <c r="C26">
        <v>0</v>
      </c>
      <c r="D26">
        <v>0</v>
      </c>
      <c r="E26">
        <v>312</v>
      </c>
    </row>
    <row r="27" spans="1:5" x14ac:dyDescent="0.2">
      <c r="A27" t="s">
        <v>1472</v>
      </c>
      <c r="B27" t="s">
        <v>1446</v>
      </c>
      <c r="C27">
        <v>0</v>
      </c>
      <c r="D27">
        <v>0</v>
      </c>
      <c r="E27">
        <v>337</v>
      </c>
    </row>
    <row r="28" spans="1:5" x14ac:dyDescent="0.2">
      <c r="A28" t="s">
        <v>1473</v>
      </c>
      <c r="B28" t="s">
        <v>1446</v>
      </c>
      <c r="C28">
        <v>0</v>
      </c>
      <c r="D28">
        <v>0</v>
      </c>
      <c r="E28">
        <v>328</v>
      </c>
    </row>
    <row r="29" spans="1:5" x14ac:dyDescent="0.2">
      <c r="A29" t="s">
        <v>1474</v>
      </c>
      <c r="B29" t="s">
        <v>1446</v>
      </c>
      <c r="C29">
        <v>0</v>
      </c>
      <c r="D29">
        <v>0</v>
      </c>
      <c r="E29">
        <v>0</v>
      </c>
    </row>
    <row r="30" spans="1:5" x14ac:dyDescent="0.2">
      <c r="A30" t="s">
        <v>1475</v>
      </c>
      <c r="B30" t="s">
        <v>1446</v>
      </c>
      <c r="C30">
        <v>0</v>
      </c>
      <c r="D30">
        <v>0</v>
      </c>
      <c r="E30">
        <v>0</v>
      </c>
    </row>
    <row r="31" spans="1:5" x14ac:dyDescent="0.2">
      <c r="A31" t="s">
        <v>699</v>
      </c>
      <c r="B31" t="s">
        <v>1446</v>
      </c>
      <c r="C31">
        <v>0</v>
      </c>
      <c r="D31">
        <v>0</v>
      </c>
      <c r="E31">
        <v>0</v>
      </c>
    </row>
    <row r="32" spans="1:5" x14ac:dyDescent="0.2">
      <c r="A32" t="s">
        <v>700</v>
      </c>
      <c r="B32" t="s">
        <v>1446</v>
      </c>
      <c r="C32">
        <v>0</v>
      </c>
      <c r="D32">
        <v>0</v>
      </c>
      <c r="E32">
        <v>0</v>
      </c>
    </row>
    <row r="33" spans="1:5" x14ac:dyDescent="0.2">
      <c r="A33" t="s">
        <v>701</v>
      </c>
      <c r="B33" t="s">
        <v>1446</v>
      </c>
      <c r="C33">
        <v>0</v>
      </c>
      <c r="D33">
        <v>0</v>
      </c>
      <c r="E33">
        <v>0</v>
      </c>
    </row>
    <row r="34" spans="1:5" x14ac:dyDescent="0.2">
      <c r="A34" t="s">
        <v>702</v>
      </c>
      <c r="B34" t="s">
        <v>1446</v>
      </c>
      <c r="C34">
        <v>0</v>
      </c>
      <c r="D34">
        <v>0</v>
      </c>
      <c r="E34">
        <v>0</v>
      </c>
    </row>
    <row r="35" spans="1:5" x14ac:dyDescent="0.2">
      <c r="A35" t="s">
        <v>703</v>
      </c>
      <c r="B35" t="s">
        <v>1446</v>
      </c>
      <c r="C35">
        <v>0</v>
      </c>
      <c r="D35">
        <v>0</v>
      </c>
      <c r="E35">
        <v>0</v>
      </c>
    </row>
    <row r="36" spans="1:5" x14ac:dyDescent="0.2">
      <c r="A36" t="s">
        <v>704</v>
      </c>
      <c r="B36" t="s">
        <v>1446</v>
      </c>
      <c r="C36">
        <v>0</v>
      </c>
      <c r="D36">
        <v>0</v>
      </c>
      <c r="E36">
        <v>0</v>
      </c>
    </row>
    <row r="37" spans="1:5" x14ac:dyDescent="0.2">
      <c r="A37" t="s">
        <v>705</v>
      </c>
      <c r="B37" t="s">
        <v>1446</v>
      </c>
      <c r="C37">
        <v>0</v>
      </c>
      <c r="D37">
        <v>0</v>
      </c>
      <c r="E37">
        <v>0</v>
      </c>
    </row>
    <row r="38" spans="1:5" x14ac:dyDescent="0.2">
      <c r="A38" t="s">
        <v>706</v>
      </c>
      <c r="B38" t="s">
        <v>1446</v>
      </c>
      <c r="C38">
        <v>0</v>
      </c>
      <c r="D38">
        <v>0</v>
      </c>
      <c r="E38">
        <v>0</v>
      </c>
    </row>
    <row r="39" spans="1:5" x14ac:dyDescent="0.2">
      <c r="A39" t="s">
        <v>707</v>
      </c>
      <c r="B39" t="s">
        <v>1446</v>
      </c>
      <c r="C39">
        <v>0</v>
      </c>
      <c r="D39">
        <v>0</v>
      </c>
      <c r="E39">
        <v>0</v>
      </c>
    </row>
    <row r="40" spans="1:5" x14ac:dyDescent="0.2">
      <c r="A40" t="s">
        <v>708</v>
      </c>
      <c r="B40" t="s">
        <v>1446</v>
      </c>
      <c r="C40">
        <v>0</v>
      </c>
      <c r="D40">
        <v>0</v>
      </c>
      <c r="E40">
        <v>0</v>
      </c>
    </row>
    <row r="41" spans="1:5" x14ac:dyDescent="0.2">
      <c r="A41" t="s">
        <v>709</v>
      </c>
      <c r="B41" t="s">
        <v>1446</v>
      </c>
      <c r="C41">
        <v>0</v>
      </c>
      <c r="D41">
        <v>0</v>
      </c>
      <c r="E41">
        <v>0</v>
      </c>
    </row>
    <row r="42" spans="1:5" x14ac:dyDescent="0.2">
      <c r="A42" t="s">
        <v>710</v>
      </c>
      <c r="B42" t="s">
        <v>1446</v>
      </c>
      <c r="C42">
        <v>0</v>
      </c>
      <c r="D42">
        <v>0</v>
      </c>
      <c r="E42">
        <v>0</v>
      </c>
    </row>
    <row r="43" spans="1:5" x14ac:dyDescent="0.2">
      <c r="A43" t="s">
        <v>711</v>
      </c>
      <c r="B43" t="s">
        <v>1446</v>
      </c>
      <c r="C43">
        <v>0</v>
      </c>
      <c r="D43">
        <v>0</v>
      </c>
      <c r="E43">
        <v>0</v>
      </c>
    </row>
    <row r="44" spans="1:5" x14ac:dyDescent="0.2">
      <c r="A44" t="s">
        <v>1102</v>
      </c>
      <c r="B44" t="s">
        <v>1446</v>
      </c>
      <c r="C44">
        <v>0</v>
      </c>
      <c r="D44">
        <v>0</v>
      </c>
      <c r="E44">
        <v>0</v>
      </c>
    </row>
    <row r="45" spans="1:5" x14ac:dyDescent="0.2">
      <c r="A45" t="s">
        <v>1103</v>
      </c>
      <c r="B45" t="s">
        <v>1446</v>
      </c>
      <c r="C45">
        <v>0</v>
      </c>
      <c r="D45">
        <v>0</v>
      </c>
      <c r="E45">
        <v>0</v>
      </c>
    </row>
    <row r="46" spans="1:5" x14ac:dyDescent="0.2">
      <c r="A46" t="s">
        <v>1104</v>
      </c>
      <c r="B46" t="s">
        <v>1446</v>
      </c>
      <c r="C46">
        <v>0</v>
      </c>
      <c r="D46">
        <v>0</v>
      </c>
      <c r="E46">
        <v>0</v>
      </c>
    </row>
    <row r="47" spans="1:5" x14ac:dyDescent="0.2">
      <c r="A47" t="s">
        <v>1105</v>
      </c>
      <c r="B47" t="s">
        <v>1446</v>
      </c>
      <c r="C47">
        <v>0</v>
      </c>
      <c r="D47">
        <v>0</v>
      </c>
      <c r="E47">
        <v>0</v>
      </c>
    </row>
    <row r="48" spans="1:5" x14ac:dyDescent="0.2">
      <c r="A48" t="s">
        <v>1106</v>
      </c>
      <c r="B48" t="s">
        <v>1446</v>
      </c>
      <c r="C48">
        <v>0</v>
      </c>
      <c r="D48">
        <v>0</v>
      </c>
      <c r="E48">
        <v>0</v>
      </c>
    </row>
    <row r="49" spans="1:5" x14ac:dyDescent="0.2">
      <c r="A49" t="s">
        <v>1107</v>
      </c>
      <c r="B49" t="s">
        <v>1446</v>
      </c>
      <c r="C49">
        <v>0</v>
      </c>
      <c r="D49">
        <v>0</v>
      </c>
      <c r="E49">
        <v>0</v>
      </c>
    </row>
    <row r="50" spans="1:5" x14ac:dyDescent="0.2">
      <c r="A50" t="s">
        <v>1108</v>
      </c>
      <c r="B50" t="s">
        <v>1446</v>
      </c>
      <c r="C50">
        <v>0</v>
      </c>
      <c r="D50">
        <v>0</v>
      </c>
      <c r="E50">
        <v>0</v>
      </c>
    </row>
    <row r="51" spans="1:5" x14ac:dyDescent="0.2">
      <c r="A51" t="s">
        <v>1109</v>
      </c>
      <c r="B51" t="s">
        <v>1446</v>
      </c>
      <c r="C51">
        <v>0</v>
      </c>
      <c r="D51">
        <v>0</v>
      </c>
      <c r="E51">
        <v>0</v>
      </c>
    </row>
    <row r="52" spans="1:5" x14ac:dyDescent="0.2">
      <c r="A52" t="s">
        <v>1110</v>
      </c>
      <c r="B52" t="s">
        <v>1446</v>
      </c>
      <c r="C52">
        <v>0</v>
      </c>
      <c r="D52">
        <v>0</v>
      </c>
      <c r="E52">
        <v>0</v>
      </c>
    </row>
    <row r="53" spans="1:5" x14ac:dyDescent="0.2">
      <c r="A53" t="s">
        <v>1111</v>
      </c>
      <c r="B53" t="s">
        <v>1446</v>
      </c>
      <c r="C53">
        <v>0</v>
      </c>
      <c r="D53">
        <v>0</v>
      </c>
      <c r="E53">
        <v>0</v>
      </c>
    </row>
    <row r="54" spans="1:5" x14ac:dyDescent="0.2">
      <c r="A54" t="s">
        <v>1112</v>
      </c>
      <c r="B54" t="s">
        <v>1446</v>
      </c>
      <c r="C54">
        <v>0</v>
      </c>
      <c r="D54">
        <v>0</v>
      </c>
      <c r="E54">
        <v>0</v>
      </c>
    </row>
    <row r="55" spans="1:5" x14ac:dyDescent="0.2">
      <c r="A55" t="s">
        <v>1113</v>
      </c>
      <c r="B55" t="s">
        <v>1446</v>
      </c>
      <c r="C55">
        <v>0</v>
      </c>
      <c r="D55">
        <v>0</v>
      </c>
      <c r="E55">
        <v>0</v>
      </c>
    </row>
    <row r="56" spans="1:5" x14ac:dyDescent="0.2">
      <c r="A56" t="s">
        <v>1114</v>
      </c>
      <c r="B56" t="s">
        <v>1446</v>
      </c>
      <c r="C56">
        <v>0</v>
      </c>
      <c r="D56">
        <v>0</v>
      </c>
      <c r="E56">
        <v>0</v>
      </c>
    </row>
    <row r="57" spans="1:5" x14ac:dyDescent="0.2">
      <c r="A57" t="s">
        <v>1115</v>
      </c>
      <c r="B57" t="s">
        <v>1446</v>
      </c>
      <c r="C57">
        <v>0</v>
      </c>
      <c r="D57">
        <v>0</v>
      </c>
      <c r="E57">
        <v>0</v>
      </c>
    </row>
    <row r="58" spans="1:5" x14ac:dyDescent="0.2">
      <c r="A58" t="s">
        <v>1116</v>
      </c>
      <c r="B58" t="s">
        <v>1446</v>
      </c>
      <c r="C58">
        <v>0</v>
      </c>
      <c r="D58">
        <v>0</v>
      </c>
      <c r="E58">
        <v>0</v>
      </c>
    </row>
    <row r="59" spans="1:5" x14ac:dyDescent="0.2">
      <c r="A59" t="s">
        <v>1117</v>
      </c>
      <c r="B59" t="s">
        <v>1446</v>
      </c>
      <c r="C59">
        <v>0</v>
      </c>
      <c r="D59">
        <v>0</v>
      </c>
      <c r="E59">
        <v>0</v>
      </c>
    </row>
    <row r="60" spans="1:5" x14ac:dyDescent="0.2">
      <c r="A60" t="s">
        <v>1118</v>
      </c>
      <c r="B60" t="s">
        <v>1446</v>
      </c>
      <c r="C60">
        <v>0</v>
      </c>
      <c r="D60">
        <v>0</v>
      </c>
      <c r="E60">
        <v>0</v>
      </c>
    </row>
    <row r="61" spans="1:5" x14ac:dyDescent="0.2">
      <c r="A61" t="s">
        <v>1119</v>
      </c>
      <c r="B61" t="s">
        <v>1446</v>
      </c>
      <c r="C61">
        <v>0</v>
      </c>
      <c r="D61">
        <v>0</v>
      </c>
      <c r="E61">
        <v>0</v>
      </c>
    </row>
    <row r="62" spans="1:5" x14ac:dyDescent="0.2">
      <c r="A62" t="s">
        <v>1120</v>
      </c>
      <c r="B62" t="s">
        <v>1446</v>
      </c>
      <c r="C62">
        <v>0</v>
      </c>
      <c r="D62">
        <v>0</v>
      </c>
      <c r="E62">
        <v>0</v>
      </c>
    </row>
    <row r="63" spans="1:5" x14ac:dyDescent="0.2">
      <c r="A63" t="s">
        <v>1121</v>
      </c>
      <c r="B63" t="s">
        <v>1446</v>
      </c>
      <c r="C63">
        <v>0</v>
      </c>
      <c r="D63">
        <v>0</v>
      </c>
      <c r="E63">
        <v>0</v>
      </c>
    </row>
    <row r="64" spans="1:5" x14ac:dyDescent="0.2">
      <c r="A64" t="s">
        <v>1122</v>
      </c>
      <c r="B64" t="s">
        <v>1446</v>
      </c>
      <c r="C64">
        <v>0</v>
      </c>
      <c r="D64">
        <v>0</v>
      </c>
      <c r="E64">
        <v>0</v>
      </c>
    </row>
    <row r="65" spans="1:5" x14ac:dyDescent="0.2">
      <c r="A65" t="s">
        <v>1123</v>
      </c>
      <c r="B65" t="s">
        <v>1446</v>
      </c>
      <c r="C65">
        <v>0</v>
      </c>
      <c r="D65">
        <v>0</v>
      </c>
      <c r="E65">
        <v>0</v>
      </c>
    </row>
    <row r="66" spans="1:5" x14ac:dyDescent="0.2">
      <c r="A66" t="s">
        <v>1124</v>
      </c>
      <c r="B66" t="s">
        <v>1446</v>
      </c>
      <c r="C66">
        <v>0</v>
      </c>
      <c r="D66">
        <v>0</v>
      </c>
      <c r="E66">
        <v>0</v>
      </c>
    </row>
    <row r="67" spans="1:5" x14ac:dyDescent="0.2">
      <c r="A67" t="s">
        <v>1125</v>
      </c>
      <c r="B67" t="s">
        <v>1446</v>
      </c>
      <c r="C67">
        <v>0</v>
      </c>
      <c r="D67">
        <v>0</v>
      </c>
      <c r="E67">
        <v>0</v>
      </c>
    </row>
    <row r="68" spans="1:5" x14ac:dyDescent="0.2">
      <c r="A68" t="s">
        <v>1126</v>
      </c>
      <c r="B68" t="s">
        <v>1446</v>
      </c>
      <c r="C68">
        <v>0</v>
      </c>
      <c r="D68">
        <v>0</v>
      </c>
      <c r="E68">
        <v>0</v>
      </c>
    </row>
    <row r="69" spans="1:5" x14ac:dyDescent="0.2">
      <c r="A69" t="s">
        <v>1127</v>
      </c>
      <c r="B69" t="s">
        <v>1446</v>
      </c>
      <c r="C69">
        <v>0</v>
      </c>
      <c r="D69">
        <v>0</v>
      </c>
      <c r="E69">
        <v>0</v>
      </c>
    </row>
    <row r="70" spans="1:5" x14ac:dyDescent="0.2">
      <c r="A70" t="s">
        <v>1128</v>
      </c>
      <c r="B70" t="s">
        <v>1446</v>
      </c>
      <c r="C70">
        <v>0</v>
      </c>
      <c r="D70">
        <v>0</v>
      </c>
      <c r="E70">
        <v>0</v>
      </c>
    </row>
    <row r="71" spans="1:5" x14ac:dyDescent="0.2">
      <c r="A71" t="s">
        <v>1129</v>
      </c>
      <c r="B71" t="s">
        <v>1446</v>
      </c>
      <c r="C71">
        <v>0</v>
      </c>
      <c r="D71">
        <v>0</v>
      </c>
      <c r="E71">
        <v>0</v>
      </c>
    </row>
    <row r="72" spans="1:5" x14ac:dyDescent="0.2">
      <c r="A72" t="s">
        <v>1130</v>
      </c>
      <c r="B72" t="s">
        <v>1446</v>
      </c>
      <c r="C72">
        <v>0</v>
      </c>
      <c r="D72">
        <v>0</v>
      </c>
      <c r="E72">
        <v>0</v>
      </c>
    </row>
    <row r="73" spans="1:5" x14ac:dyDescent="0.2">
      <c r="A73" t="s">
        <v>1131</v>
      </c>
      <c r="B73" t="s">
        <v>1446</v>
      </c>
      <c r="C73">
        <v>0</v>
      </c>
      <c r="D73">
        <v>0</v>
      </c>
      <c r="E73">
        <v>0</v>
      </c>
    </row>
    <row r="74" spans="1:5" x14ac:dyDescent="0.2">
      <c r="A74" t="s">
        <v>1132</v>
      </c>
      <c r="B74" t="s">
        <v>1446</v>
      </c>
      <c r="C74">
        <v>0</v>
      </c>
      <c r="D74">
        <v>0</v>
      </c>
      <c r="E74">
        <v>0</v>
      </c>
    </row>
    <row r="75" spans="1:5" x14ac:dyDescent="0.2">
      <c r="A75" t="s">
        <v>1133</v>
      </c>
      <c r="B75" t="s">
        <v>1446</v>
      </c>
      <c r="C75">
        <v>0</v>
      </c>
      <c r="D75">
        <v>0</v>
      </c>
      <c r="E75">
        <v>0</v>
      </c>
    </row>
    <row r="76" spans="1:5" x14ac:dyDescent="0.2">
      <c r="A76" t="s">
        <v>1134</v>
      </c>
      <c r="B76" t="s">
        <v>1446</v>
      </c>
      <c r="C76">
        <v>0</v>
      </c>
      <c r="D76">
        <v>0</v>
      </c>
      <c r="E76">
        <v>0</v>
      </c>
    </row>
    <row r="77" spans="1:5" x14ac:dyDescent="0.2">
      <c r="A77" t="s">
        <v>1135</v>
      </c>
      <c r="B77" t="s">
        <v>1446</v>
      </c>
      <c r="C77">
        <v>0</v>
      </c>
      <c r="D77">
        <v>0</v>
      </c>
      <c r="E77">
        <v>0</v>
      </c>
    </row>
    <row r="78" spans="1:5" x14ac:dyDescent="0.2">
      <c r="A78" t="s">
        <v>1136</v>
      </c>
      <c r="B78" t="s">
        <v>1446</v>
      </c>
      <c r="C78">
        <v>0</v>
      </c>
      <c r="D78">
        <v>0</v>
      </c>
      <c r="E78">
        <v>0</v>
      </c>
    </row>
    <row r="79" spans="1:5" x14ac:dyDescent="0.2">
      <c r="A79" t="s">
        <v>1137</v>
      </c>
      <c r="B79" t="s">
        <v>1446</v>
      </c>
      <c r="C79">
        <v>0</v>
      </c>
      <c r="D79">
        <v>0</v>
      </c>
      <c r="E79">
        <v>0</v>
      </c>
    </row>
    <row r="80" spans="1:5" x14ac:dyDescent="0.2">
      <c r="A80" t="s">
        <v>1138</v>
      </c>
      <c r="B80" t="s">
        <v>1446</v>
      </c>
      <c r="C80">
        <v>0</v>
      </c>
      <c r="D80">
        <v>0</v>
      </c>
      <c r="E80">
        <v>0</v>
      </c>
    </row>
    <row r="81" spans="1:5" x14ac:dyDescent="0.2">
      <c r="A81" t="s">
        <v>1139</v>
      </c>
      <c r="B81" t="s">
        <v>1446</v>
      </c>
      <c r="C81">
        <v>0</v>
      </c>
      <c r="D81">
        <v>0</v>
      </c>
      <c r="E81">
        <v>0</v>
      </c>
    </row>
    <row r="82" spans="1:5" x14ac:dyDescent="0.2">
      <c r="A82" t="s">
        <v>1140</v>
      </c>
      <c r="B82" t="s">
        <v>1446</v>
      </c>
      <c r="C82">
        <v>0</v>
      </c>
      <c r="D82">
        <v>0</v>
      </c>
      <c r="E82">
        <v>0</v>
      </c>
    </row>
    <row r="83" spans="1:5" x14ac:dyDescent="0.2">
      <c r="A83" t="s">
        <v>1141</v>
      </c>
      <c r="B83" t="s">
        <v>1446</v>
      </c>
      <c r="C83">
        <v>0</v>
      </c>
      <c r="D83">
        <v>0</v>
      </c>
      <c r="E83">
        <v>0</v>
      </c>
    </row>
    <row r="84" spans="1:5" x14ac:dyDescent="0.2">
      <c r="A84" t="s">
        <v>1142</v>
      </c>
      <c r="B84" t="s">
        <v>1446</v>
      </c>
      <c r="C84">
        <v>0</v>
      </c>
      <c r="D84">
        <v>0</v>
      </c>
      <c r="E84">
        <v>0</v>
      </c>
    </row>
    <row r="85" spans="1:5" x14ac:dyDescent="0.2">
      <c r="A85" t="s">
        <v>1143</v>
      </c>
      <c r="B85" t="s">
        <v>1446</v>
      </c>
      <c r="C85">
        <v>0</v>
      </c>
      <c r="D85">
        <v>0</v>
      </c>
      <c r="E85">
        <v>0</v>
      </c>
    </row>
    <row r="86" spans="1:5" x14ac:dyDescent="0.2">
      <c r="A86" t="s">
        <v>1144</v>
      </c>
      <c r="B86" t="s">
        <v>1446</v>
      </c>
      <c r="C86">
        <v>0</v>
      </c>
      <c r="D86">
        <v>0</v>
      </c>
      <c r="E86">
        <v>0</v>
      </c>
    </row>
    <row r="87" spans="1:5" x14ac:dyDescent="0.2">
      <c r="A87" t="s">
        <v>1145</v>
      </c>
      <c r="B87" t="s">
        <v>1446</v>
      </c>
      <c r="C87">
        <v>0</v>
      </c>
      <c r="D87">
        <v>0</v>
      </c>
      <c r="E87">
        <v>0</v>
      </c>
    </row>
    <row r="88" spans="1:5" x14ac:dyDescent="0.2">
      <c r="A88" t="s">
        <v>1146</v>
      </c>
      <c r="B88" t="s">
        <v>1446</v>
      </c>
      <c r="C88">
        <v>0</v>
      </c>
      <c r="D88">
        <v>0</v>
      </c>
      <c r="E88"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idCOnPeak"/>
  <dimension ref="A1:T117"/>
  <sheetViews>
    <sheetView workbookViewId="0">
      <selection activeCell="O2" sqref="O2"/>
    </sheetView>
  </sheetViews>
  <sheetFormatPr defaultRowHeight="12.75" x14ac:dyDescent="0.2"/>
  <cols>
    <col min="1" max="1" width="11.140625" bestFit="1" customWidth="1"/>
    <col min="2" max="2" width="8.5703125" bestFit="1" customWidth="1"/>
    <col min="3" max="3" width="5.7109375" bestFit="1" customWidth="1"/>
    <col min="4" max="4" width="5.140625" bestFit="1" customWidth="1"/>
    <col min="5" max="5" width="7.7109375" bestFit="1" customWidth="1"/>
    <col min="6" max="6" width="6" bestFit="1" customWidth="1"/>
    <col min="7" max="7" width="5.140625" bestFit="1" customWidth="1"/>
    <col min="8" max="9" width="6" bestFit="1" customWidth="1"/>
    <col min="10" max="10" width="10.85546875" bestFit="1" customWidth="1"/>
    <col min="11" max="12" width="8" bestFit="1" customWidth="1"/>
    <col min="13" max="13" width="8.7109375" bestFit="1" customWidth="1"/>
    <col min="14" max="14" width="10.5703125" bestFit="1" customWidth="1"/>
    <col min="15" max="16" width="4.5703125" bestFit="1" customWidth="1"/>
    <col min="17" max="17" width="9.5703125" bestFit="1" customWidth="1"/>
    <col min="18" max="18" width="11.140625" bestFit="1" customWidth="1"/>
  </cols>
  <sheetData>
    <row r="1" spans="1:20" s="1" customFormat="1" x14ac:dyDescent="0.2">
      <c r="A1" s="1" t="s">
        <v>1404</v>
      </c>
      <c r="B1" s="1" t="s">
        <v>1402</v>
      </c>
      <c r="C1" s="1" t="s">
        <v>974</v>
      </c>
      <c r="D1" s="1" t="s">
        <v>980</v>
      </c>
      <c r="E1" s="50" t="s">
        <v>1364</v>
      </c>
      <c r="F1" s="45" t="s">
        <v>1365</v>
      </c>
      <c r="G1" s="1" t="s">
        <v>1366</v>
      </c>
      <c r="H1" s="1" t="s">
        <v>1367</v>
      </c>
      <c r="I1" s="1" t="s">
        <v>1368</v>
      </c>
      <c r="J1" s="1" t="s">
        <v>978</v>
      </c>
      <c r="K1" s="1" t="s">
        <v>1369</v>
      </c>
      <c r="L1" s="1" t="s">
        <v>975</v>
      </c>
      <c r="M1" s="1" t="s">
        <v>979</v>
      </c>
      <c r="N1" s="1" t="s">
        <v>969</v>
      </c>
      <c r="O1" s="1" t="s">
        <v>1444</v>
      </c>
      <c r="P1" s="1" t="s">
        <v>1445</v>
      </c>
      <c r="Q1" s="1" t="s">
        <v>976</v>
      </c>
      <c r="R1" s="1" t="s">
        <v>1510</v>
      </c>
      <c r="T1" s="45">
        <v>43236</v>
      </c>
    </row>
    <row r="2" spans="1:20" x14ac:dyDescent="0.2">
      <c r="A2" t="str">
        <f>B2&amp;"."&amp;D2&amp;"."&amp;C2</f>
        <v>ICE.2018.5</v>
      </c>
      <c r="B2" t="s">
        <v>1403</v>
      </c>
      <c r="C2" t="str">
        <f>TEXT(DATEVALUE("1"&amp;E2),"M")</f>
        <v>5</v>
      </c>
      <c r="D2" t="str">
        <f>TEXT(DATEVALUE("1"&amp;E2),"YYYY")</f>
        <v>2018</v>
      </c>
      <c r="E2" s="51" t="s">
        <v>1370</v>
      </c>
      <c r="J2">
        <v>14.36</v>
      </c>
      <c r="K2">
        <v>-0.05</v>
      </c>
      <c r="L2">
        <v>0</v>
      </c>
      <c r="M2">
        <v>4751</v>
      </c>
      <c r="N2">
        <v>0</v>
      </c>
      <c r="O2">
        <v>0</v>
      </c>
      <c r="P2">
        <v>0</v>
      </c>
      <c r="Q2">
        <v>0</v>
      </c>
      <c r="R2">
        <v>0</v>
      </c>
    </row>
    <row r="3" spans="1:20" x14ac:dyDescent="0.2">
      <c r="A3" t="str">
        <f t="shared" ref="A3:A66" si="0">B3&amp;"."&amp;D3&amp;"."&amp;C3</f>
        <v>ICE.2018.6</v>
      </c>
      <c r="B3" t="s">
        <v>1403</v>
      </c>
      <c r="C3" t="str">
        <f t="shared" ref="C3:C66" si="1">TEXT(DATEVALUE("1"&amp;E3),"M")</f>
        <v>6</v>
      </c>
      <c r="D3" t="str">
        <f t="shared" ref="D3:D66" si="2">TEXT(DATEVALUE("1"&amp;E3),"YYYY")</f>
        <v>2018</v>
      </c>
      <c r="E3" s="51" t="s">
        <v>1371</v>
      </c>
      <c r="F3">
        <v>16</v>
      </c>
      <c r="G3">
        <v>16.5</v>
      </c>
      <c r="H3">
        <v>16</v>
      </c>
      <c r="I3">
        <v>16.5</v>
      </c>
      <c r="J3">
        <v>16.399999999999999</v>
      </c>
      <c r="K3">
        <v>-0.2</v>
      </c>
      <c r="L3">
        <v>350</v>
      </c>
      <c r="M3">
        <v>4770</v>
      </c>
      <c r="N3">
        <v>250</v>
      </c>
      <c r="O3">
        <v>0</v>
      </c>
      <c r="P3">
        <v>0</v>
      </c>
      <c r="Q3">
        <v>150</v>
      </c>
      <c r="R3">
        <v>0</v>
      </c>
    </row>
    <row r="4" spans="1:20" x14ac:dyDescent="0.2">
      <c r="A4" t="str">
        <f t="shared" si="0"/>
        <v>ICE.2018.7</v>
      </c>
      <c r="B4" t="s">
        <v>1403</v>
      </c>
      <c r="C4" t="str">
        <f t="shared" si="1"/>
        <v>7</v>
      </c>
      <c r="D4" t="str">
        <f t="shared" si="2"/>
        <v>2018</v>
      </c>
      <c r="E4" s="51" t="s">
        <v>1372</v>
      </c>
      <c r="F4">
        <v>29.65</v>
      </c>
      <c r="G4">
        <v>30</v>
      </c>
      <c r="H4">
        <v>29.65</v>
      </c>
      <c r="I4">
        <v>30</v>
      </c>
      <c r="J4">
        <v>29.7</v>
      </c>
      <c r="K4">
        <v>-0.05</v>
      </c>
      <c r="L4">
        <v>250</v>
      </c>
      <c r="M4">
        <v>3106</v>
      </c>
      <c r="N4">
        <v>0</v>
      </c>
      <c r="O4">
        <v>0</v>
      </c>
      <c r="P4">
        <v>0</v>
      </c>
      <c r="Q4">
        <v>125</v>
      </c>
      <c r="R4">
        <v>0</v>
      </c>
    </row>
    <row r="5" spans="1:20" x14ac:dyDescent="0.2">
      <c r="A5" t="str">
        <f t="shared" si="0"/>
        <v>ICE.2018.8</v>
      </c>
      <c r="B5" t="s">
        <v>1403</v>
      </c>
      <c r="C5" t="str">
        <f t="shared" si="1"/>
        <v>8</v>
      </c>
      <c r="D5" t="str">
        <f t="shared" si="2"/>
        <v>2018</v>
      </c>
      <c r="E5" s="51" t="s">
        <v>1373</v>
      </c>
      <c r="J5">
        <v>36.6</v>
      </c>
      <c r="K5">
        <v>-0.4</v>
      </c>
      <c r="L5">
        <v>0</v>
      </c>
      <c r="M5">
        <v>2256</v>
      </c>
      <c r="N5">
        <v>0</v>
      </c>
      <c r="O5">
        <v>0</v>
      </c>
      <c r="P5">
        <v>0</v>
      </c>
      <c r="Q5">
        <v>0</v>
      </c>
      <c r="R5">
        <v>0</v>
      </c>
    </row>
    <row r="6" spans="1:20" x14ac:dyDescent="0.2">
      <c r="A6" t="str">
        <f t="shared" si="0"/>
        <v>ICE.2018.9</v>
      </c>
      <c r="B6" t="s">
        <v>1403</v>
      </c>
      <c r="C6" t="str">
        <f t="shared" si="1"/>
        <v>9</v>
      </c>
      <c r="D6" t="str">
        <f t="shared" si="2"/>
        <v>2018</v>
      </c>
      <c r="E6" s="51" t="s">
        <v>1374</v>
      </c>
      <c r="J6">
        <v>27.95</v>
      </c>
      <c r="K6">
        <v>0</v>
      </c>
      <c r="L6">
        <v>0</v>
      </c>
      <c r="M6">
        <v>2356</v>
      </c>
      <c r="N6">
        <v>0</v>
      </c>
      <c r="O6">
        <v>0</v>
      </c>
      <c r="P6">
        <v>0</v>
      </c>
      <c r="Q6">
        <v>0</v>
      </c>
      <c r="R6">
        <v>0</v>
      </c>
    </row>
    <row r="7" spans="1:20" x14ac:dyDescent="0.2">
      <c r="A7" t="str">
        <f t="shared" si="0"/>
        <v>ICE.2018.10</v>
      </c>
      <c r="B7" t="s">
        <v>1403</v>
      </c>
      <c r="C7" t="str">
        <f t="shared" si="1"/>
        <v>10</v>
      </c>
      <c r="D7" t="str">
        <f t="shared" si="2"/>
        <v>2018</v>
      </c>
      <c r="E7" s="51" t="s">
        <v>1375</v>
      </c>
      <c r="J7">
        <v>22.95</v>
      </c>
      <c r="K7">
        <v>-0.25</v>
      </c>
      <c r="L7">
        <v>0</v>
      </c>
      <c r="M7">
        <v>1905</v>
      </c>
      <c r="N7">
        <v>0</v>
      </c>
      <c r="O7">
        <v>0</v>
      </c>
      <c r="P7">
        <v>0</v>
      </c>
      <c r="Q7">
        <v>0</v>
      </c>
      <c r="R7">
        <v>0</v>
      </c>
    </row>
    <row r="8" spans="1:20" x14ac:dyDescent="0.2">
      <c r="A8" t="str">
        <f t="shared" si="0"/>
        <v>ICE.2018.11</v>
      </c>
      <c r="B8" t="s">
        <v>1403</v>
      </c>
      <c r="C8" t="str">
        <f t="shared" si="1"/>
        <v>11</v>
      </c>
      <c r="D8" t="str">
        <f t="shared" si="2"/>
        <v>2018</v>
      </c>
      <c r="E8" s="51" t="s">
        <v>1376</v>
      </c>
      <c r="J8">
        <v>23.55</v>
      </c>
      <c r="K8">
        <v>-0.05</v>
      </c>
      <c r="L8">
        <v>0</v>
      </c>
      <c r="M8">
        <v>1725</v>
      </c>
      <c r="N8">
        <v>0</v>
      </c>
      <c r="O8">
        <v>0</v>
      </c>
      <c r="P8">
        <v>0</v>
      </c>
      <c r="Q8">
        <v>0</v>
      </c>
      <c r="R8">
        <v>0</v>
      </c>
    </row>
    <row r="9" spans="1:20" x14ac:dyDescent="0.2">
      <c r="A9" t="str">
        <f t="shared" si="0"/>
        <v>ICE.2018.12</v>
      </c>
      <c r="B9" t="s">
        <v>1403</v>
      </c>
      <c r="C9" t="str">
        <f t="shared" si="1"/>
        <v>12</v>
      </c>
      <c r="D9" t="str">
        <f t="shared" si="2"/>
        <v>2018</v>
      </c>
      <c r="E9" s="51" t="s">
        <v>1377</v>
      </c>
      <c r="J9">
        <v>29.4</v>
      </c>
      <c r="K9">
        <v>0</v>
      </c>
      <c r="L9">
        <v>0</v>
      </c>
      <c r="M9">
        <v>1946</v>
      </c>
      <c r="N9">
        <v>0</v>
      </c>
      <c r="O9">
        <v>0</v>
      </c>
      <c r="P9">
        <v>0</v>
      </c>
      <c r="Q9">
        <v>0</v>
      </c>
      <c r="R9">
        <v>0</v>
      </c>
    </row>
    <row r="10" spans="1:20" x14ac:dyDescent="0.2">
      <c r="A10" t="str">
        <f t="shared" si="0"/>
        <v>ICE.2019.1</v>
      </c>
      <c r="B10" t="s">
        <v>1403</v>
      </c>
      <c r="C10" t="str">
        <f t="shared" si="1"/>
        <v>1</v>
      </c>
      <c r="D10" t="str">
        <f t="shared" si="2"/>
        <v>2019</v>
      </c>
      <c r="E10" s="51" t="s">
        <v>1378</v>
      </c>
      <c r="J10">
        <v>27.85</v>
      </c>
      <c r="K10">
        <v>0.05</v>
      </c>
      <c r="L10">
        <v>0</v>
      </c>
      <c r="M10">
        <v>1195</v>
      </c>
      <c r="N10">
        <v>0</v>
      </c>
      <c r="O10">
        <v>0</v>
      </c>
      <c r="P10">
        <v>0</v>
      </c>
      <c r="Q10">
        <v>0</v>
      </c>
      <c r="R10">
        <v>0</v>
      </c>
    </row>
    <row r="11" spans="1:20" x14ac:dyDescent="0.2">
      <c r="A11" t="str">
        <f t="shared" si="0"/>
        <v>ICE.2019.2</v>
      </c>
      <c r="B11" t="s">
        <v>1403</v>
      </c>
      <c r="C11" t="str">
        <f t="shared" si="1"/>
        <v>2</v>
      </c>
      <c r="D11" t="str">
        <f t="shared" si="2"/>
        <v>2019</v>
      </c>
      <c r="E11" s="51" t="s">
        <v>1379</v>
      </c>
      <c r="J11">
        <v>25.25</v>
      </c>
      <c r="K11">
        <v>0.05</v>
      </c>
      <c r="L11">
        <v>0</v>
      </c>
      <c r="M11">
        <v>1170</v>
      </c>
      <c r="N11">
        <v>0</v>
      </c>
      <c r="O11">
        <v>0</v>
      </c>
      <c r="P11">
        <v>0</v>
      </c>
      <c r="Q11">
        <v>0</v>
      </c>
      <c r="R11">
        <v>0</v>
      </c>
    </row>
    <row r="12" spans="1:20" x14ac:dyDescent="0.2">
      <c r="A12" t="str">
        <f t="shared" si="0"/>
        <v>ICE.2019.3</v>
      </c>
      <c r="B12" t="s">
        <v>1403</v>
      </c>
      <c r="C12" t="str">
        <f t="shared" si="1"/>
        <v>3</v>
      </c>
      <c r="D12" t="str">
        <f t="shared" si="2"/>
        <v>2019</v>
      </c>
      <c r="E12" s="51" t="s">
        <v>1380</v>
      </c>
      <c r="J12">
        <v>20.6</v>
      </c>
      <c r="K12">
        <v>0.05</v>
      </c>
      <c r="L12">
        <v>0</v>
      </c>
      <c r="M12">
        <v>1170</v>
      </c>
      <c r="N12">
        <v>0</v>
      </c>
      <c r="O12">
        <v>0</v>
      </c>
      <c r="P12">
        <v>0</v>
      </c>
      <c r="Q12">
        <v>0</v>
      </c>
      <c r="R12">
        <v>0</v>
      </c>
    </row>
    <row r="13" spans="1:20" x14ac:dyDescent="0.2">
      <c r="A13" t="str">
        <f t="shared" si="0"/>
        <v>ICE.2019.4</v>
      </c>
      <c r="B13" t="s">
        <v>1403</v>
      </c>
      <c r="C13" t="str">
        <f t="shared" si="1"/>
        <v>4</v>
      </c>
      <c r="D13" t="str">
        <f t="shared" si="2"/>
        <v>2019</v>
      </c>
      <c r="E13" s="51" t="s">
        <v>1381</v>
      </c>
      <c r="J13">
        <v>13.5</v>
      </c>
      <c r="K13">
        <v>-0.1</v>
      </c>
      <c r="L13">
        <v>0</v>
      </c>
      <c r="M13">
        <v>989</v>
      </c>
      <c r="N13">
        <v>0</v>
      </c>
      <c r="O13">
        <v>0</v>
      </c>
      <c r="P13">
        <v>0</v>
      </c>
      <c r="Q13">
        <v>0</v>
      </c>
      <c r="R13">
        <v>0</v>
      </c>
    </row>
    <row r="14" spans="1:20" x14ac:dyDescent="0.2">
      <c r="A14" t="str">
        <f t="shared" si="0"/>
        <v>ICE.2019.5</v>
      </c>
      <c r="B14" t="s">
        <v>1403</v>
      </c>
      <c r="C14" t="str">
        <f t="shared" si="1"/>
        <v>5</v>
      </c>
      <c r="D14" t="str">
        <f t="shared" si="2"/>
        <v>2019</v>
      </c>
      <c r="E14" s="51" t="s">
        <v>1382</v>
      </c>
      <c r="J14">
        <v>14.15</v>
      </c>
      <c r="K14">
        <v>-0.1</v>
      </c>
      <c r="L14">
        <v>0</v>
      </c>
      <c r="M14">
        <v>989</v>
      </c>
      <c r="N14">
        <v>0</v>
      </c>
      <c r="O14">
        <v>0</v>
      </c>
      <c r="P14">
        <v>0</v>
      </c>
      <c r="Q14">
        <v>0</v>
      </c>
      <c r="R14">
        <v>0</v>
      </c>
    </row>
    <row r="15" spans="1:20" x14ac:dyDescent="0.2">
      <c r="A15" t="str">
        <f t="shared" si="0"/>
        <v>ICE.2019.6</v>
      </c>
      <c r="B15" t="s">
        <v>1403</v>
      </c>
      <c r="C15" t="str">
        <f t="shared" si="1"/>
        <v>6</v>
      </c>
      <c r="D15" t="str">
        <f t="shared" si="2"/>
        <v>2019</v>
      </c>
      <c r="E15" s="51" t="s">
        <v>1383</v>
      </c>
      <c r="J15">
        <v>17.45</v>
      </c>
      <c r="K15">
        <v>-0.1</v>
      </c>
      <c r="L15">
        <v>0</v>
      </c>
      <c r="M15">
        <v>989</v>
      </c>
      <c r="N15">
        <v>0</v>
      </c>
      <c r="O15">
        <v>0</v>
      </c>
      <c r="P15">
        <v>0</v>
      </c>
      <c r="Q15">
        <v>0</v>
      </c>
      <c r="R15">
        <v>0</v>
      </c>
    </row>
    <row r="16" spans="1:20" x14ac:dyDescent="0.2">
      <c r="A16" t="str">
        <f t="shared" si="0"/>
        <v>ICE.2019.7</v>
      </c>
      <c r="B16" t="s">
        <v>1403</v>
      </c>
      <c r="C16" t="str">
        <f t="shared" si="1"/>
        <v>7</v>
      </c>
      <c r="D16" t="str">
        <f t="shared" si="2"/>
        <v>2019</v>
      </c>
      <c r="E16" s="51" t="s">
        <v>1384</v>
      </c>
      <c r="J16">
        <v>28.3</v>
      </c>
      <c r="K16">
        <v>0.4</v>
      </c>
      <c r="L16">
        <v>0</v>
      </c>
      <c r="M16">
        <v>875</v>
      </c>
      <c r="N16">
        <v>0</v>
      </c>
      <c r="O16">
        <v>0</v>
      </c>
      <c r="P16">
        <v>0</v>
      </c>
      <c r="Q16">
        <v>0</v>
      </c>
      <c r="R16">
        <v>0</v>
      </c>
    </row>
    <row r="17" spans="1:18" x14ac:dyDescent="0.2">
      <c r="A17" t="str">
        <f t="shared" si="0"/>
        <v>ICE.2019.8</v>
      </c>
      <c r="B17" t="s">
        <v>1403</v>
      </c>
      <c r="C17" t="str">
        <f t="shared" si="1"/>
        <v>8</v>
      </c>
      <c r="D17" t="str">
        <f t="shared" si="2"/>
        <v>2019</v>
      </c>
      <c r="E17" s="51" t="s">
        <v>1385</v>
      </c>
      <c r="J17">
        <v>31.5</v>
      </c>
      <c r="K17">
        <v>0.4</v>
      </c>
      <c r="L17">
        <v>0</v>
      </c>
      <c r="M17">
        <v>875</v>
      </c>
      <c r="N17">
        <v>0</v>
      </c>
      <c r="O17">
        <v>0</v>
      </c>
      <c r="P17">
        <v>0</v>
      </c>
      <c r="Q17">
        <v>0</v>
      </c>
      <c r="R17">
        <v>0</v>
      </c>
    </row>
    <row r="18" spans="1:18" x14ac:dyDescent="0.2">
      <c r="A18" t="str">
        <f t="shared" si="0"/>
        <v>ICE.2019.9</v>
      </c>
      <c r="B18" t="s">
        <v>1403</v>
      </c>
      <c r="C18" t="str">
        <f t="shared" si="1"/>
        <v>9</v>
      </c>
      <c r="D18" t="str">
        <f t="shared" si="2"/>
        <v>2019</v>
      </c>
      <c r="E18" s="51" t="s">
        <v>1386</v>
      </c>
      <c r="J18">
        <v>28.65</v>
      </c>
      <c r="K18">
        <v>0.35</v>
      </c>
      <c r="L18">
        <v>0</v>
      </c>
      <c r="M18">
        <v>875</v>
      </c>
      <c r="N18">
        <v>0</v>
      </c>
      <c r="O18">
        <v>0</v>
      </c>
      <c r="P18">
        <v>0</v>
      </c>
      <c r="Q18">
        <v>0</v>
      </c>
      <c r="R18">
        <v>0</v>
      </c>
    </row>
    <row r="19" spans="1:18" x14ac:dyDescent="0.2">
      <c r="A19" t="str">
        <f t="shared" si="0"/>
        <v>ICE.2019.10</v>
      </c>
      <c r="B19" t="s">
        <v>1403</v>
      </c>
      <c r="C19" t="str">
        <f t="shared" si="1"/>
        <v>10</v>
      </c>
      <c r="D19" t="str">
        <f t="shared" si="2"/>
        <v>2019</v>
      </c>
      <c r="E19" s="51" t="s">
        <v>1387</v>
      </c>
      <c r="J19">
        <v>21.65</v>
      </c>
      <c r="K19">
        <v>0.25</v>
      </c>
      <c r="L19">
        <v>0</v>
      </c>
      <c r="M19">
        <v>961</v>
      </c>
      <c r="N19">
        <v>0</v>
      </c>
      <c r="O19">
        <v>0</v>
      </c>
      <c r="P19">
        <v>0</v>
      </c>
      <c r="Q19">
        <v>0</v>
      </c>
      <c r="R19">
        <v>0</v>
      </c>
    </row>
    <row r="20" spans="1:18" x14ac:dyDescent="0.2">
      <c r="A20" t="str">
        <f t="shared" si="0"/>
        <v>ICE.2019.11</v>
      </c>
      <c r="B20" t="s">
        <v>1403</v>
      </c>
      <c r="C20" t="str">
        <f t="shared" si="1"/>
        <v>11</v>
      </c>
      <c r="D20" t="str">
        <f t="shared" si="2"/>
        <v>2019</v>
      </c>
      <c r="E20" s="51" t="s">
        <v>1388</v>
      </c>
      <c r="J20">
        <v>23.45</v>
      </c>
      <c r="K20">
        <v>0.25</v>
      </c>
      <c r="L20">
        <v>0</v>
      </c>
      <c r="M20">
        <v>961</v>
      </c>
      <c r="N20">
        <v>0</v>
      </c>
      <c r="O20">
        <v>0</v>
      </c>
      <c r="P20">
        <v>0</v>
      </c>
      <c r="Q20">
        <v>0</v>
      </c>
      <c r="R20">
        <v>0</v>
      </c>
    </row>
    <row r="21" spans="1:18" x14ac:dyDescent="0.2">
      <c r="A21" t="str">
        <f t="shared" si="0"/>
        <v>ICE.2019.12</v>
      </c>
      <c r="B21" t="s">
        <v>1403</v>
      </c>
      <c r="C21" t="str">
        <f t="shared" si="1"/>
        <v>12</v>
      </c>
      <c r="D21" t="str">
        <f t="shared" si="2"/>
        <v>2019</v>
      </c>
      <c r="E21" s="51" t="s">
        <v>1389</v>
      </c>
      <c r="J21">
        <v>28.15</v>
      </c>
      <c r="K21">
        <v>0.3</v>
      </c>
      <c r="L21">
        <v>0</v>
      </c>
      <c r="M21">
        <v>961</v>
      </c>
      <c r="N21">
        <v>0</v>
      </c>
      <c r="O21">
        <v>0</v>
      </c>
      <c r="P21">
        <v>0</v>
      </c>
      <c r="Q21">
        <v>0</v>
      </c>
      <c r="R21">
        <v>0</v>
      </c>
    </row>
    <row r="22" spans="1:18" x14ac:dyDescent="0.2">
      <c r="A22" t="str">
        <f t="shared" si="0"/>
        <v>ICE.2020.1</v>
      </c>
      <c r="B22" t="s">
        <v>1403</v>
      </c>
      <c r="C22" t="str">
        <f t="shared" si="1"/>
        <v>1</v>
      </c>
      <c r="D22" t="str">
        <f t="shared" si="2"/>
        <v>2020</v>
      </c>
      <c r="E22" s="51" t="s">
        <v>1390</v>
      </c>
      <c r="J22">
        <v>31.45</v>
      </c>
      <c r="K22">
        <v>0.1</v>
      </c>
      <c r="L22">
        <v>0</v>
      </c>
      <c r="M22">
        <v>580</v>
      </c>
      <c r="N22">
        <v>0</v>
      </c>
      <c r="O22">
        <v>0</v>
      </c>
      <c r="P22">
        <v>0</v>
      </c>
      <c r="Q22">
        <v>0</v>
      </c>
      <c r="R22">
        <v>0</v>
      </c>
    </row>
    <row r="23" spans="1:18" x14ac:dyDescent="0.2">
      <c r="A23" t="str">
        <f t="shared" si="0"/>
        <v>ICE.2020.2</v>
      </c>
      <c r="B23" t="s">
        <v>1403</v>
      </c>
      <c r="C23" t="str">
        <f t="shared" si="1"/>
        <v>2</v>
      </c>
      <c r="D23" t="str">
        <f t="shared" si="2"/>
        <v>2020</v>
      </c>
      <c r="E23" s="51" t="s">
        <v>1391</v>
      </c>
      <c r="J23">
        <v>26.8</v>
      </c>
      <c r="K23">
        <v>0.1</v>
      </c>
      <c r="L23">
        <v>0</v>
      </c>
      <c r="M23">
        <v>580</v>
      </c>
      <c r="N23">
        <v>0</v>
      </c>
      <c r="O23">
        <v>0</v>
      </c>
      <c r="P23">
        <v>0</v>
      </c>
      <c r="Q23">
        <v>0</v>
      </c>
      <c r="R23">
        <v>0</v>
      </c>
    </row>
    <row r="24" spans="1:18" x14ac:dyDescent="0.2">
      <c r="A24" t="str">
        <f t="shared" si="0"/>
        <v>ICE.2020.3</v>
      </c>
      <c r="B24" t="s">
        <v>1403</v>
      </c>
      <c r="C24" t="str">
        <f t="shared" si="1"/>
        <v>3</v>
      </c>
      <c r="D24" t="str">
        <f t="shared" si="2"/>
        <v>2020</v>
      </c>
      <c r="E24" s="51" t="s">
        <v>1392</v>
      </c>
      <c r="J24">
        <v>22.05</v>
      </c>
      <c r="K24">
        <v>0.1</v>
      </c>
      <c r="L24">
        <v>0</v>
      </c>
      <c r="M24">
        <v>580</v>
      </c>
      <c r="N24">
        <v>0</v>
      </c>
      <c r="O24">
        <v>0</v>
      </c>
      <c r="P24">
        <v>0</v>
      </c>
      <c r="Q24">
        <v>0</v>
      </c>
      <c r="R24">
        <v>0</v>
      </c>
    </row>
    <row r="25" spans="1:18" x14ac:dyDescent="0.2">
      <c r="A25" t="str">
        <f t="shared" si="0"/>
        <v>ICE.2020.4</v>
      </c>
      <c r="B25" t="s">
        <v>1403</v>
      </c>
      <c r="C25" t="str">
        <f t="shared" si="1"/>
        <v>4</v>
      </c>
      <c r="D25" t="str">
        <f t="shared" si="2"/>
        <v>2020</v>
      </c>
      <c r="E25" s="51" t="s">
        <v>1393</v>
      </c>
      <c r="J25">
        <v>19.8</v>
      </c>
      <c r="K25">
        <v>0.05</v>
      </c>
      <c r="L25">
        <v>0</v>
      </c>
      <c r="M25">
        <v>580</v>
      </c>
      <c r="N25">
        <v>0</v>
      </c>
      <c r="O25">
        <v>0</v>
      </c>
      <c r="P25">
        <v>0</v>
      </c>
      <c r="Q25">
        <v>0</v>
      </c>
      <c r="R25">
        <v>0</v>
      </c>
    </row>
    <row r="26" spans="1:18" x14ac:dyDescent="0.2">
      <c r="A26" t="str">
        <f t="shared" si="0"/>
        <v>ICE.2020.5</v>
      </c>
      <c r="B26" t="s">
        <v>1403</v>
      </c>
      <c r="C26" t="str">
        <f t="shared" si="1"/>
        <v>5</v>
      </c>
      <c r="D26" t="str">
        <f t="shared" si="2"/>
        <v>2020</v>
      </c>
      <c r="E26" s="51" t="s">
        <v>1394</v>
      </c>
      <c r="J26">
        <v>19.149999999999999</v>
      </c>
      <c r="K26">
        <v>0.05</v>
      </c>
      <c r="L26">
        <v>0</v>
      </c>
      <c r="M26">
        <v>580</v>
      </c>
      <c r="N26">
        <v>0</v>
      </c>
      <c r="O26">
        <v>0</v>
      </c>
      <c r="P26">
        <v>0</v>
      </c>
      <c r="Q26">
        <v>0</v>
      </c>
      <c r="R26">
        <v>0</v>
      </c>
    </row>
    <row r="27" spans="1:18" x14ac:dyDescent="0.2">
      <c r="A27" t="str">
        <f t="shared" si="0"/>
        <v>ICE.2020.6</v>
      </c>
      <c r="B27" t="s">
        <v>1403</v>
      </c>
      <c r="C27" t="str">
        <f t="shared" si="1"/>
        <v>6</v>
      </c>
      <c r="D27" t="str">
        <f t="shared" si="2"/>
        <v>2020</v>
      </c>
      <c r="E27" s="51" t="s">
        <v>1395</v>
      </c>
      <c r="J27">
        <v>19.25</v>
      </c>
      <c r="K27">
        <v>0.05</v>
      </c>
      <c r="L27">
        <v>0</v>
      </c>
      <c r="M27">
        <v>580</v>
      </c>
      <c r="N27">
        <v>0</v>
      </c>
      <c r="O27">
        <v>0</v>
      </c>
      <c r="P27">
        <v>0</v>
      </c>
      <c r="Q27">
        <v>0</v>
      </c>
      <c r="R27">
        <v>0</v>
      </c>
    </row>
    <row r="28" spans="1:18" x14ac:dyDescent="0.2">
      <c r="A28" t="str">
        <f t="shared" si="0"/>
        <v>ICE.2020.7</v>
      </c>
      <c r="B28" t="s">
        <v>1403</v>
      </c>
      <c r="C28" t="str">
        <f t="shared" si="1"/>
        <v>7</v>
      </c>
      <c r="D28" t="str">
        <f t="shared" si="2"/>
        <v>2020</v>
      </c>
      <c r="E28" s="51" t="s">
        <v>1396</v>
      </c>
      <c r="J28">
        <v>27.2</v>
      </c>
      <c r="K28">
        <v>0.1</v>
      </c>
      <c r="L28">
        <v>0</v>
      </c>
      <c r="M28">
        <v>580</v>
      </c>
      <c r="N28">
        <v>0</v>
      </c>
      <c r="O28">
        <v>0</v>
      </c>
      <c r="P28">
        <v>0</v>
      </c>
      <c r="Q28">
        <v>0</v>
      </c>
      <c r="R28">
        <v>0</v>
      </c>
    </row>
    <row r="29" spans="1:18" x14ac:dyDescent="0.2">
      <c r="A29" t="str">
        <f t="shared" si="0"/>
        <v>ICE.2020.8</v>
      </c>
      <c r="B29" t="s">
        <v>1403</v>
      </c>
      <c r="C29" t="str">
        <f t="shared" si="1"/>
        <v>8</v>
      </c>
      <c r="D29" t="str">
        <f t="shared" si="2"/>
        <v>2020</v>
      </c>
      <c r="E29" s="51" t="s">
        <v>1397</v>
      </c>
      <c r="J29">
        <v>30.95</v>
      </c>
      <c r="K29">
        <v>0.1</v>
      </c>
      <c r="L29">
        <v>0</v>
      </c>
      <c r="M29">
        <v>580</v>
      </c>
      <c r="N29">
        <v>0</v>
      </c>
      <c r="O29">
        <v>0</v>
      </c>
      <c r="P29">
        <v>0</v>
      </c>
      <c r="Q29">
        <v>0</v>
      </c>
      <c r="R29">
        <v>0</v>
      </c>
    </row>
    <row r="30" spans="1:18" x14ac:dyDescent="0.2">
      <c r="A30" t="str">
        <f t="shared" si="0"/>
        <v>ICE.2020.9</v>
      </c>
      <c r="B30" t="s">
        <v>1403</v>
      </c>
      <c r="C30" t="str">
        <f t="shared" si="1"/>
        <v>9</v>
      </c>
      <c r="D30" t="str">
        <f t="shared" si="2"/>
        <v>2020</v>
      </c>
      <c r="E30" s="51" t="s">
        <v>1398</v>
      </c>
      <c r="J30">
        <v>27.45</v>
      </c>
      <c r="K30">
        <v>0.1</v>
      </c>
      <c r="L30">
        <v>0</v>
      </c>
      <c r="M30">
        <v>580</v>
      </c>
      <c r="N30">
        <v>0</v>
      </c>
      <c r="O30">
        <v>0</v>
      </c>
      <c r="P30">
        <v>0</v>
      </c>
      <c r="Q30">
        <v>0</v>
      </c>
      <c r="R30">
        <v>0</v>
      </c>
    </row>
    <row r="31" spans="1:18" x14ac:dyDescent="0.2">
      <c r="A31" t="str">
        <f t="shared" si="0"/>
        <v>ICE.2020.10</v>
      </c>
      <c r="B31" t="s">
        <v>1403</v>
      </c>
      <c r="C31" t="str">
        <f t="shared" si="1"/>
        <v>10</v>
      </c>
      <c r="D31" t="str">
        <f t="shared" si="2"/>
        <v>2020</v>
      </c>
      <c r="E31" s="51" t="s">
        <v>1399</v>
      </c>
      <c r="J31">
        <v>24.5</v>
      </c>
      <c r="K31">
        <v>0.1</v>
      </c>
      <c r="L31">
        <v>0</v>
      </c>
      <c r="M31">
        <v>580</v>
      </c>
      <c r="N31">
        <v>0</v>
      </c>
      <c r="O31">
        <v>0</v>
      </c>
      <c r="P31">
        <v>0</v>
      </c>
      <c r="Q31">
        <v>0</v>
      </c>
      <c r="R31">
        <v>0</v>
      </c>
    </row>
    <row r="32" spans="1:18" x14ac:dyDescent="0.2">
      <c r="A32" t="str">
        <f t="shared" si="0"/>
        <v>ICE.2020.11</v>
      </c>
      <c r="B32" t="s">
        <v>1403</v>
      </c>
      <c r="C32" t="str">
        <f t="shared" si="1"/>
        <v>11</v>
      </c>
      <c r="D32" t="str">
        <f t="shared" si="2"/>
        <v>2020</v>
      </c>
      <c r="E32" s="51" t="s">
        <v>1400</v>
      </c>
      <c r="J32">
        <v>26.85</v>
      </c>
      <c r="K32">
        <v>0.1</v>
      </c>
      <c r="L32">
        <v>0</v>
      </c>
      <c r="M32">
        <v>580</v>
      </c>
      <c r="N32">
        <v>0</v>
      </c>
      <c r="O32">
        <v>0</v>
      </c>
      <c r="P32">
        <v>0</v>
      </c>
      <c r="Q32">
        <v>0</v>
      </c>
      <c r="R32">
        <v>0</v>
      </c>
    </row>
    <row r="33" spans="1:18" x14ac:dyDescent="0.2">
      <c r="A33" t="str">
        <f t="shared" si="0"/>
        <v>ICE.2020.12</v>
      </c>
      <c r="B33" t="s">
        <v>1403</v>
      </c>
      <c r="C33" t="str">
        <f t="shared" si="1"/>
        <v>12</v>
      </c>
      <c r="D33" t="str">
        <f t="shared" si="2"/>
        <v>2020</v>
      </c>
      <c r="E33" s="51" t="s">
        <v>1401</v>
      </c>
      <c r="J33">
        <v>32.4</v>
      </c>
      <c r="K33">
        <v>0.1</v>
      </c>
      <c r="L33">
        <v>0</v>
      </c>
      <c r="M33">
        <v>580</v>
      </c>
      <c r="N33">
        <v>0</v>
      </c>
      <c r="O33">
        <v>0</v>
      </c>
      <c r="P33">
        <v>0</v>
      </c>
      <c r="Q33">
        <v>0</v>
      </c>
      <c r="R33">
        <v>0</v>
      </c>
    </row>
    <row r="34" spans="1:18" x14ac:dyDescent="0.2">
      <c r="A34" t="str">
        <f t="shared" si="0"/>
        <v>ICE.2021.1</v>
      </c>
      <c r="B34" t="s">
        <v>1403</v>
      </c>
      <c r="C34" t="str">
        <f t="shared" si="1"/>
        <v>1</v>
      </c>
      <c r="D34" t="str">
        <f t="shared" si="2"/>
        <v>2021</v>
      </c>
      <c r="E34" s="51" t="s">
        <v>1405</v>
      </c>
      <c r="J34">
        <v>36.25</v>
      </c>
      <c r="K34">
        <v>0.1</v>
      </c>
      <c r="L34">
        <v>0</v>
      </c>
      <c r="M34">
        <v>200</v>
      </c>
      <c r="N34">
        <v>0</v>
      </c>
      <c r="O34">
        <v>0</v>
      </c>
      <c r="P34">
        <v>0</v>
      </c>
      <c r="Q34">
        <v>0</v>
      </c>
      <c r="R34">
        <v>0</v>
      </c>
    </row>
    <row r="35" spans="1:18" x14ac:dyDescent="0.2">
      <c r="A35" t="str">
        <f t="shared" si="0"/>
        <v>ICE.2021.2</v>
      </c>
      <c r="B35" t="s">
        <v>1403</v>
      </c>
      <c r="C35" t="str">
        <f t="shared" si="1"/>
        <v>2</v>
      </c>
      <c r="D35" t="str">
        <f t="shared" si="2"/>
        <v>2021</v>
      </c>
      <c r="E35" s="51" t="s">
        <v>1406</v>
      </c>
      <c r="J35">
        <v>30.55</v>
      </c>
      <c r="K35">
        <v>0.1</v>
      </c>
      <c r="L35">
        <v>0</v>
      </c>
      <c r="M35">
        <v>200</v>
      </c>
      <c r="N35">
        <v>0</v>
      </c>
      <c r="O35">
        <v>0</v>
      </c>
      <c r="P35">
        <v>0</v>
      </c>
      <c r="Q35">
        <v>0</v>
      </c>
      <c r="R35">
        <v>0</v>
      </c>
    </row>
    <row r="36" spans="1:18" x14ac:dyDescent="0.2">
      <c r="A36" t="str">
        <f t="shared" si="0"/>
        <v>ICE.2021.3</v>
      </c>
      <c r="B36" t="s">
        <v>1403</v>
      </c>
      <c r="C36" t="str">
        <f t="shared" si="1"/>
        <v>3</v>
      </c>
      <c r="D36" t="str">
        <f t="shared" si="2"/>
        <v>2021</v>
      </c>
      <c r="E36" s="51" t="s">
        <v>1407</v>
      </c>
      <c r="J36">
        <v>25.05</v>
      </c>
      <c r="K36">
        <v>0.1</v>
      </c>
      <c r="L36">
        <v>0</v>
      </c>
      <c r="M36">
        <v>200</v>
      </c>
      <c r="N36">
        <v>0</v>
      </c>
      <c r="O36">
        <v>0</v>
      </c>
      <c r="P36">
        <v>0</v>
      </c>
      <c r="Q36">
        <v>0</v>
      </c>
      <c r="R36">
        <v>0</v>
      </c>
    </row>
    <row r="37" spans="1:18" x14ac:dyDescent="0.2">
      <c r="A37" t="str">
        <f t="shared" si="0"/>
        <v>ICE.2021.4</v>
      </c>
      <c r="B37" t="s">
        <v>1403</v>
      </c>
      <c r="C37" t="str">
        <f t="shared" si="1"/>
        <v>4</v>
      </c>
      <c r="D37" t="str">
        <f t="shared" si="2"/>
        <v>2021</v>
      </c>
      <c r="E37" s="51" t="s">
        <v>1408</v>
      </c>
      <c r="J37">
        <v>23.3</v>
      </c>
      <c r="K37">
        <v>0.05</v>
      </c>
      <c r="L37">
        <v>0</v>
      </c>
      <c r="M37">
        <v>200</v>
      </c>
      <c r="N37">
        <v>0</v>
      </c>
      <c r="O37">
        <v>0</v>
      </c>
      <c r="P37">
        <v>0</v>
      </c>
      <c r="Q37">
        <v>0</v>
      </c>
      <c r="R37">
        <v>0</v>
      </c>
    </row>
    <row r="38" spans="1:18" x14ac:dyDescent="0.2">
      <c r="A38" t="str">
        <f t="shared" si="0"/>
        <v>ICE.2021.5</v>
      </c>
      <c r="B38" t="s">
        <v>1403</v>
      </c>
      <c r="C38" t="str">
        <f t="shared" si="1"/>
        <v>5</v>
      </c>
      <c r="D38" t="str">
        <f t="shared" si="2"/>
        <v>2021</v>
      </c>
      <c r="E38" s="51" t="s">
        <v>1409</v>
      </c>
      <c r="J38">
        <v>21.75</v>
      </c>
      <c r="K38">
        <v>0.05</v>
      </c>
      <c r="L38">
        <v>0</v>
      </c>
      <c r="M38">
        <v>200</v>
      </c>
      <c r="N38">
        <v>0</v>
      </c>
      <c r="O38">
        <v>0</v>
      </c>
      <c r="P38">
        <v>0</v>
      </c>
      <c r="Q38">
        <v>0</v>
      </c>
      <c r="R38">
        <v>0</v>
      </c>
    </row>
    <row r="39" spans="1:18" x14ac:dyDescent="0.2">
      <c r="A39" t="str">
        <f t="shared" si="0"/>
        <v>ICE.2021.6</v>
      </c>
      <c r="B39" t="s">
        <v>1403</v>
      </c>
      <c r="C39" t="str">
        <f t="shared" si="1"/>
        <v>6</v>
      </c>
      <c r="D39" t="str">
        <f t="shared" si="2"/>
        <v>2021</v>
      </c>
      <c r="E39" s="51" t="s">
        <v>1410</v>
      </c>
      <c r="J39">
        <v>22.1</v>
      </c>
      <c r="K39">
        <v>0.05</v>
      </c>
      <c r="L39">
        <v>0</v>
      </c>
      <c r="M39">
        <v>200</v>
      </c>
      <c r="N39">
        <v>0</v>
      </c>
      <c r="O39">
        <v>0</v>
      </c>
      <c r="P39">
        <v>0</v>
      </c>
      <c r="Q39">
        <v>0</v>
      </c>
      <c r="R39">
        <v>0</v>
      </c>
    </row>
    <row r="40" spans="1:18" x14ac:dyDescent="0.2">
      <c r="A40" t="str">
        <f t="shared" si="0"/>
        <v>ICE.2021.7</v>
      </c>
      <c r="B40" t="s">
        <v>1403</v>
      </c>
      <c r="C40" t="str">
        <f t="shared" si="1"/>
        <v>7</v>
      </c>
      <c r="D40" t="str">
        <f t="shared" si="2"/>
        <v>2021</v>
      </c>
      <c r="E40" s="51" t="s">
        <v>1411</v>
      </c>
      <c r="J40">
        <v>30.75</v>
      </c>
      <c r="K40">
        <v>0.1</v>
      </c>
      <c r="L40">
        <v>0</v>
      </c>
      <c r="M40">
        <v>200</v>
      </c>
      <c r="N40">
        <v>0</v>
      </c>
      <c r="O40">
        <v>0</v>
      </c>
      <c r="P40">
        <v>0</v>
      </c>
      <c r="Q40">
        <v>0</v>
      </c>
      <c r="R40">
        <v>0</v>
      </c>
    </row>
    <row r="41" spans="1:18" x14ac:dyDescent="0.2">
      <c r="A41" t="str">
        <f t="shared" si="0"/>
        <v>ICE.2021.8</v>
      </c>
      <c r="B41" t="s">
        <v>1403</v>
      </c>
      <c r="C41" t="str">
        <f t="shared" si="1"/>
        <v>8</v>
      </c>
      <c r="D41" t="str">
        <f t="shared" si="2"/>
        <v>2021</v>
      </c>
      <c r="E41" s="51" t="s">
        <v>1412</v>
      </c>
      <c r="J41">
        <v>34.75</v>
      </c>
      <c r="K41">
        <v>0.1</v>
      </c>
      <c r="L41">
        <v>0</v>
      </c>
      <c r="M41">
        <v>200</v>
      </c>
      <c r="N41">
        <v>0</v>
      </c>
      <c r="O41">
        <v>0</v>
      </c>
      <c r="P41">
        <v>0</v>
      </c>
      <c r="Q41">
        <v>0</v>
      </c>
      <c r="R41">
        <v>0</v>
      </c>
    </row>
    <row r="42" spans="1:18" x14ac:dyDescent="0.2">
      <c r="A42" t="str">
        <f t="shared" si="0"/>
        <v>ICE.2021.9</v>
      </c>
      <c r="B42" t="s">
        <v>1403</v>
      </c>
      <c r="C42" t="str">
        <f t="shared" si="1"/>
        <v>9</v>
      </c>
      <c r="D42" t="str">
        <f t="shared" si="2"/>
        <v>2021</v>
      </c>
      <c r="E42" s="51" t="s">
        <v>1413</v>
      </c>
      <c r="J42">
        <v>31.2</v>
      </c>
      <c r="K42">
        <v>0.1</v>
      </c>
      <c r="L42">
        <v>0</v>
      </c>
      <c r="M42">
        <v>200</v>
      </c>
      <c r="N42">
        <v>0</v>
      </c>
      <c r="O42">
        <v>0</v>
      </c>
      <c r="P42">
        <v>0</v>
      </c>
      <c r="Q42">
        <v>0</v>
      </c>
      <c r="R42">
        <v>0</v>
      </c>
    </row>
    <row r="43" spans="1:18" x14ac:dyDescent="0.2">
      <c r="A43" t="str">
        <f t="shared" si="0"/>
        <v>ICE.2021.10</v>
      </c>
      <c r="B43" t="s">
        <v>1403</v>
      </c>
      <c r="C43" t="str">
        <f t="shared" si="1"/>
        <v>10</v>
      </c>
      <c r="D43" t="str">
        <f t="shared" si="2"/>
        <v>2021</v>
      </c>
      <c r="E43" s="51" t="s">
        <v>1414</v>
      </c>
      <c r="J43">
        <v>28.05</v>
      </c>
      <c r="K43">
        <v>0.1</v>
      </c>
      <c r="L43">
        <v>0</v>
      </c>
      <c r="M43">
        <v>200</v>
      </c>
      <c r="N43">
        <v>0</v>
      </c>
      <c r="O43">
        <v>0</v>
      </c>
      <c r="P43">
        <v>0</v>
      </c>
      <c r="Q43">
        <v>0</v>
      </c>
      <c r="R43">
        <v>0</v>
      </c>
    </row>
    <row r="44" spans="1:18" x14ac:dyDescent="0.2">
      <c r="A44" t="str">
        <f t="shared" si="0"/>
        <v>ICE.2021.11</v>
      </c>
      <c r="B44" t="s">
        <v>1403</v>
      </c>
      <c r="C44" t="str">
        <f t="shared" si="1"/>
        <v>11</v>
      </c>
      <c r="D44" t="str">
        <f t="shared" si="2"/>
        <v>2021</v>
      </c>
      <c r="E44" s="51" t="s">
        <v>1415</v>
      </c>
      <c r="J44">
        <v>30.45</v>
      </c>
      <c r="K44">
        <v>0.1</v>
      </c>
      <c r="L44">
        <v>0</v>
      </c>
      <c r="M44">
        <v>200</v>
      </c>
      <c r="N44">
        <v>0</v>
      </c>
      <c r="O44">
        <v>0</v>
      </c>
      <c r="P44">
        <v>0</v>
      </c>
      <c r="Q44">
        <v>0</v>
      </c>
      <c r="R44">
        <v>0</v>
      </c>
    </row>
    <row r="45" spans="1:18" x14ac:dyDescent="0.2">
      <c r="A45" t="str">
        <f t="shared" si="0"/>
        <v>ICE.2021.12</v>
      </c>
      <c r="B45" t="s">
        <v>1403</v>
      </c>
      <c r="C45" t="str">
        <f t="shared" si="1"/>
        <v>12</v>
      </c>
      <c r="D45" t="str">
        <f t="shared" si="2"/>
        <v>2021</v>
      </c>
      <c r="E45" s="51" t="s">
        <v>1416</v>
      </c>
      <c r="J45">
        <v>37.200000000000003</v>
      </c>
      <c r="K45">
        <v>0.1</v>
      </c>
      <c r="L45">
        <v>0</v>
      </c>
      <c r="M45">
        <v>200</v>
      </c>
      <c r="N45">
        <v>0</v>
      </c>
      <c r="O45">
        <v>0</v>
      </c>
      <c r="P45">
        <v>0</v>
      </c>
      <c r="Q45">
        <v>0</v>
      </c>
      <c r="R45">
        <v>0</v>
      </c>
    </row>
    <row r="46" spans="1:18" x14ac:dyDescent="0.2">
      <c r="A46" t="str">
        <f t="shared" si="0"/>
        <v>ICE.2022.1</v>
      </c>
      <c r="B46" t="s">
        <v>1403</v>
      </c>
      <c r="C46" t="str">
        <f t="shared" si="1"/>
        <v>1</v>
      </c>
      <c r="D46" t="str">
        <f t="shared" si="2"/>
        <v>2022</v>
      </c>
      <c r="E46" s="51" t="s">
        <v>1485</v>
      </c>
      <c r="J46">
        <v>38.6</v>
      </c>
      <c r="K46">
        <v>0.1</v>
      </c>
      <c r="L46">
        <v>0</v>
      </c>
      <c r="M46">
        <v>35</v>
      </c>
      <c r="N46">
        <v>0</v>
      </c>
      <c r="O46">
        <v>0</v>
      </c>
      <c r="P46">
        <v>0</v>
      </c>
      <c r="Q46">
        <v>0</v>
      </c>
      <c r="R46">
        <v>0</v>
      </c>
    </row>
    <row r="47" spans="1:18" x14ac:dyDescent="0.2">
      <c r="A47" t="str">
        <f t="shared" si="0"/>
        <v>ICE.2022.2</v>
      </c>
      <c r="B47" t="s">
        <v>1403</v>
      </c>
      <c r="C47" t="str">
        <f t="shared" si="1"/>
        <v>2</v>
      </c>
      <c r="D47" t="str">
        <f t="shared" si="2"/>
        <v>2022</v>
      </c>
      <c r="E47" s="51" t="s">
        <v>1486</v>
      </c>
      <c r="J47">
        <v>32.9</v>
      </c>
      <c r="K47">
        <v>0.1</v>
      </c>
      <c r="L47">
        <v>0</v>
      </c>
      <c r="M47">
        <v>35</v>
      </c>
      <c r="N47">
        <v>0</v>
      </c>
      <c r="O47">
        <v>0</v>
      </c>
      <c r="P47">
        <v>0</v>
      </c>
      <c r="Q47">
        <v>0</v>
      </c>
      <c r="R47">
        <v>0</v>
      </c>
    </row>
    <row r="48" spans="1:18" x14ac:dyDescent="0.2">
      <c r="A48" t="str">
        <f t="shared" si="0"/>
        <v>ICE.2022.3</v>
      </c>
      <c r="B48" t="s">
        <v>1403</v>
      </c>
      <c r="C48" t="str">
        <f t="shared" si="1"/>
        <v>3</v>
      </c>
      <c r="D48" t="str">
        <f t="shared" si="2"/>
        <v>2022</v>
      </c>
      <c r="E48" s="51" t="s">
        <v>1487</v>
      </c>
      <c r="J48">
        <v>27.1</v>
      </c>
      <c r="K48">
        <v>0.1</v>
      </c>
      <c r="L48">
        <v>0</v>
      </c>
      <c r="M48">
        <v>35</v>
      </c>
      <c r="N48">
        <v>0</v>
      </c>
      <c r="O48">
        <v>0</v>
      </c>
      <c r="P48">
        <v>0</v>
      </c>
      <c r="Q48">
        <v>0</v>
      </c>
      <c r="R48">
        <v>0</v>
      </c>
    </row>
    <row r="49" spans="1:18" x14ac:dyDescent="0.2">
      <c r="A49" t="str">
        <f t="shared" si="0"/>
        <v>ICE.2022.4</v>
      </c>
      <c r="B49" t="s">
        <v>1403</v>
      </c>
      <c r="C49" t="str">
        <f t="shared" si="1"/>
        <v>4</v>
      </c>
      <c r="D49" t="str">
        <f t="shared" si="2"/>
        <v>2022</v>
      </c>
      <c r="E49" s="51" t="s">
        <v>1488</v>
      </c>
      <c r="J49">
        <v>25.7</v>
      </c>
      <c r="K49">
        <v>0.05</v>
      </c>
      <c r="L49">
        <v>0</v>
      </c>
      <c r="M49">
        <v>35</v>
      </c>
      <c r="N49">
        <v>0</v>
      </c>
      <c r="O49">
        <v>0</v>
      </c>
      <c r="P49">
        <v>0</v>
      </c>
      <c r="Q49">
        <v>0</v>
      </c>
      <c r="R49">
        <v>0</v>
      </c>
    </row>
    <row r="50" spans="1:18" x14ac:dyDescent="0.2">
      <c r="A50" t="str">
        <f t="shared" si="0"/>
        <v>ICE.2022.5</v>
      </c>
      <c r="B50" t="s">
        <v>1403</v>
      </c>
      <c r="C50" t="str">
        <f t="shared" si="1"/>
        <v>5</v>
      </c>
      <c r="D50" t="str">
        <f t="shared" si="2"/>
        <v>2022</v>
      </c>
      <c r="E50" s="51" t="s">
        <v>1489</v>
      </c>
      <c r="J50">
        <v>24.1</v>
      </c>
      <c r="K50">
        <v>0.05</v>
      </c>
      <c r="L50">
        <v>0</v>
      </c>
      <c r="M50">
        <v>35</v>
      </c>
      <c r="N50">
        <v>0</v>
      </c>
      <c r="O50">
        <v>0</v>
      </c>
      <c r="P50">
        <v>0</v>
      </c>
      <c r="Q50">
        <v>0</v>
      </c>
      <c r="R50">
        <v>0</v>
      </c>
    </row>
    <row r="51" spans="1:18" x14ac:dyDescent="0.2">
      <c r="A51" t="str">
        <f t="shared" si="0"/>
        <v>ICE.2022.6</v>
      </c>
      <c r="B51" t="s">
        <v>1403</v>
      </c>
      <c r="C51" t="str">
        <f t="shared" si="1"/>
        <v>6</v>
      </c>
      <c r="D51" t="str">
        <f t="shared" si="2"/>
        <v>2022</v>
      </c>
      <c r="E51" s="51" t="s">
        <v>1490</v>
      </c>
      <c r="J51">
        <v>24.5</v>
      </c>
      <c r="K51">
        <v>0.05</v>
      </c>
      <c r="L51">
        <v>0</v>
      </c>
      <c r="M51">
        <v>35</v>
      </c>
      <c r="N51">
        <v>0</v>
      </c>
      <c r="O51">
        <v>0</v>
      </c>
      <c r="P51">
        <v>0</v>
      </c>
      <c r="Q51">
        <v>0</v>
      </c>
      <c r="R51">
        <v>0</v>
      </c>
    </row>
    <row r="52" spans="1:18" x14ac:dyDescent="0.2">
      <c r="A52" t="str">
        <f t="shared" si="0"/>
        <v>ICE.2022.7</v>
      </c>
      <c r="B52" t="s">
        <v>1403</v>
      </c>
      <c r="C52" t="str">
        <f t="shared" si="1"/>
        <v>7</v>
      </c>
      <c r="D52" t="str">
        <f t="shared" si="2"/>
        <v>2022</v>
      </c>
      <c r="E52" s="51" t="s">
        <v>1491</v>
      </c>
      <c r="J52">
        <v>33</v>
      </c>
      <c r="K52">
        <v>0.1</v>
      </c>
      <c r="L52">
        <v>0</v>
      </c>
      <c r="M52">
        <v>35</v>
      </c>
      <c r="N52">
        <v>0</v>
      </c>
      <c r="O52">
        <v>0</v>
      </c>
      <c r="P52">
        <v>0</v>
      </c>
      <c r="Q52">
        <v>0</v>
      </c>
      <c r="R52">
        <v>0</v>
      </c>
    </row>
    <row r="53" spans="1:18" x14ac:dyDescent="0.2">
      <c r="A53" t="str">
        <f t="shared" si="0"/>
        <v>ICE.2022.8</v>
      </c>
      <c r="B53" t="s">
        <v>1403</v>
      </c>
      <c r="C53" t="str">
        <f t="shared" si="1"/>
        <v>8</v>
      </c>
      <c r="D53" t="str">
        <f t="shared" si="2"/>
        <v>2022</v>
      </c>
      <c r="E53" s="51" t="s">
        <v>1492</v>
      </c>
      <c r="J53">
        <v>37.1</v>
      </c>
      <c r="K53">
        <v>0.1</v>
      </c>
      <c r="L53">
        <v>0</v>
      </c>
      <c r="M53">
        <v>35</v>
      </c>
      <c r="N53">
        <v>0</v>
      </c>
      <c r="O53">
        <v>0</v>
      </c>
      <c r="P53">
        <v>0</v>
      </c>
      <c r="Q53">
        <v>0</v>
      </c>
      <c r="R53">
        <v>0</v>
      </c>
    </row>
    <row r="54" spans="1:18" x14ac:dyDescent="0.2">
      <c r="A54" t="str">
        <f t="shared" si="0"/>
        <v>ICE.2022.9</v>
      </c>
      <c r="B54" t="s">
        <v>1403</v>
      </c>
      <c r="C54" t="str">
        <f t="shared" si="1"/>
        <v>9</v>
      </c>
      <c r="D54" t="str">
        <f t="shared" si="2"/>
        <v>2022</v>
      </c>
      <c r="E54" s="51" t="s">
        <v>1493</v>
      </c>
      <c r="J54">
        <v>33.5</v>
      </c>
      <c r="K54">
        <v>0.1</v>
      </c>
      <c r="L54">
        <v>0</v>
      </c>
      <c r="M54">
        <v>35</v>
      </c>
      <c r="N54">
        <v>0</v>
      </c>
      <c r="O54">
        <v>0</v>
      </c>
      <c r="P54">
        <v>0</v>
      </c>
      <c r="Q54">
        <v>0</v>
      </c>
      <c r="R54">
        <v>0</v>
      </c>
    </row>
    <row r="55" spans="1:18" x14ac:dyDescent="0.2">
      <c r="A55" t="str">
        <f t="shared" si="0"/>
        <v>ICE.2022.10</v>
      </c>
      <c r="B55" t="s">
        <v>1403</v>
      </c>
      <c r="C55" t="str">
        <f t="shared" si="1"/>
        <v>10</v>
      </c>
      <c r="D55" t="str">
        <f t="shared" si="2"/>
        <v>2022</v>
      </c>
      <c r="E55" s="51" t="s">
        <v>1494</v>
      </c>
      <c r="J55">
        <v>30.15</v>
      </c>
      <c r="K55">
        <v>0.1</v>
      </c>
      <c r="L55">
        <v>0</v>
      </c>
      <c r="M55">
        <v>35</v>
      </c>
      <c r="N55">
        <v>0</v>
      </c>
      <c r="O55">
        <v>0</v>
      </c>
      <c r="P55">
        <v>0</v>
      </c>
      <c r="Q55">
        <v>0</v>
      </c>
      <c r="R55">
        <v>0</v>
      </c>
    </row>
    <row r="56" spans="1:18" x14ac:dyDescent="0.2">
      <c r="A56" t="str">
        <f t="shared" si="0"/>
        <v>ICE.2022.11</v>
      </c>
      <c r="B56" t="s">
        <v>1403</v>
      </c>
      <c r="C56" t="str">
        <f t="shared" si="1"/>
        <v>11</v>
      </c>
      <c r="D56" t="str">
        <f t="shared" si="2"/>
        <v>2022</v>
      </c>
      <c r="E56" s="51" t="s">
        <v>1495</v>
      </c>
      <c r="J56">
        <v>32.85</v>
      </c>
      <c r="K56">
        <v>0.1</v>
      </c>
      <c r="L56">
        <v>0</v>
      </c>
      <c r="M56">
        <v>35</v>
      </c>
      <c r="N56">
        <v>0</v>
      </c>
      <c r="O56">
        <v>0</v>
      </c>
      <c r="P56">
        <v>0</v>
      </c>
      <c r="Q56">
        <v>0</v>
      </c>
      <c r="R56">
        <v>0</v>
      </c>
    </row>
    <row r="57" spans="1:18" x14ac:dyDescent="0.2">
      <c r="A57" t="str">
        <f t="shared" si="0"/>
        <v>ICE.2022.12</v>
      </c>
      <c r="B57" t="s">
        <v>1403</v>
      </c>
      <c r="C57" t="str">
        <f t="shared" si="1"/>
        <v>12</v>
      </c>
      <c r="D57" t="str">
        <f t="shared" si="2"/>
        <v>2022</v>
      </c>
      <c r="E57" s="51" t="s">
        <v>1496</v>
      </c>
      <c r="J57">
        <v>40.15</v>
      </c>
      <c r="K57">
        <v>0.1</v>
      </c>
      <c r="L57">
        <v>0</v>
      </c>
      <c r="M57">
        <v>35</v>
      </c>
      <c r="N57">
        <v>0</v>
      </c>
      <c r="O57">
        <v>0</v>
      </c>
      <c r="P57">
        <v>0</v>
      </c>
      <c r="Q57">
        <v>0</v>
      </c>
      <c r="R57">
        <v>0</v>
      </c>
    </row>
    <row r="58" spans="1:18" x14ac:dyDescent="0.2">
      <c r="A58" t="str">
        <f t="shared" si="0"/>
        <v>ICE.2023.1</v>
      </c>
      <c r="B58" t="s">
        <v>1403</v>
      </c>
      <c r="C58" t="str">
        <f t="shared" si="1"/>
        <v>1</v>
      </c>
      <c r="D58" t="str">
        <f t="shared" si="2"/>
        <v>2023</v>
      </c>
      <c r="E58" s="51" t="s">
        <v>1511</v>
      </c>
      <c r="J58">
        <v>39.700000000000003</v>
      </c>
      <c r="K58">
        <v>0.1</v>
      </c>
      <c r="L58">
        <v>0</v>
      </c>
      <c r="M58">
        <v>25</v>
      </c>
      <c r="N58">
        <v>0</v>
      </c>
      <c r="O58">
        <v>0</v>
      </c>
      <c r="P58">
        <v>0</v>
      </c>
      <c r="Q58">
        <v>0</v>
      </c>
      <c r="R58">
        <v>0</v>
      </c>
    </row>
    <row r="59" spans="1:18" x14ac:dyDescent="0.2">
      <c r="A59" t="str">
        <f t="shared" si="0"/>
        <v>ICE.2023.2</v>
      </c>
      <c r="B59" t="s">
        <v>1403</v>
      </c>
      <c r="C59" t="str">
        <f t="shared" si="1"/>
        <v>2</v>
      </c>
      <c r="D59" t="str">
        <f t="shared" si="2"/>
        <v>2023</v>
      </c>
      <c r="E59" s="51" t="s">
        <v>1512</v>
      </c>
      <c r="J59">
        <v>34.1</v>
      </c>
      <c r="K59">
        <v>0.1</v>
      </c>
      <c r="L59">
        <v>0</v>
      </c>
      <c r="M59">
        <v>25</v>
      </c>
      <c r="N59">
        <v>0</v>
      </c>
      <c r="O59">
        <v>0</v>
      </c>
      <c r="P59">
        <v>0</v>
      </c>
      <c r="Q59">
        <v>0</v>
      </c>
      <c r="R59">
        <v>0</v>
      </c>
    </row>
    <row r="60" spans="1:18" x14ac:dyDescent="0.2">
      <c r="A60" t="str">
        <f t="shared" si="0"/>
        <v>ICE.2023.3</v>
      </c>
      <c r="B60" t="s">
        <v>1403</v>
      </c>
      <c r="C60" t="str">
        <f t="shared" si="1"/>
        <v>3</v>
      </c>
      <c r="D60" t="str">
        <f t="shared" si="2"/>
        <v>2023</v>
      </c>
      <c r="E60" s="51" t="s">
        <v>1513</v>
      </c>
      <c r="J60">
        <v>27.95</v>
      </c>
      <c r="K60">
        <v>0.1</v>
      </c>
      <c r="L60">
        <v>0</v>
      </c>
      <c r="M60">
        <v>25</v>
      </c>
      <c r="N60">
        <v>0</v>
      </c>
      <c r="O60">
        <v>0</v>
      </c>
      <c r="P60">
        <v>0</v>
      </c>
      <c r="Q60">
        <v>0</v>
      </c>
      <c r="R60">
        <v>0</v>
      </c>
    </row>
    <row r="61" spans="1:18" x14ac:dyDescent="0.2">
      <c r="A61" t="str">
        <f t="shared" si="0"/>
        <v>ICE.2023.4</v>
      </c>
      <c r="B61" t="s">
        <v>1403</v>
      </c>
      <c r="C61" t="str">
        <f t="shared" si="1"/>
        <v>4</v>
      </c>
      <c r="D61" t="str">
        <f t="shared" si="2"/>
        <v>2023</v>
      </c>
      <c r="E61" s="51" t="s">
        <v>1514</v>
      </c>
      <c r="J61">
        <v>26.35</v>
      </c>
      <c r="K61">
        <v>0.05</v>
      </c>
      <c r="L61">
        <v>0</v>
      </c>
      <c r="M61">
        <v>25</v>
      </c>
      <c r="N61">
        <v>0</v>
      </c>
      <c r="O61">
        <v>0</v>
      </c>
      <c r="P61">
        <v>0</v>
      </c>
      <c r="Q61">
        <v>0</v>
      </c>
      <c r="R61">
        <v>0</v>
      </c>
    </row>
    <row r="62" spans="1:18" x14ac:dyDescent="0.2">
      <c r="A62" t="str">
        <f t="shared" si="0"/>
        <v>ICE.2023.5</v>
      </c>
      <c r="B62" t="s">
        <v>1403</v>
      </c>
      <c r="C62" t="str">
        <f t="shared" si="1"/>
        <v>5</v>
      </c>
      <c r="D62" t="str">
        <f t="shared" si="2"/>
        <v>2023</v>
      </c>
      <c r="E62" s="51" t="s">
        <v>1515</v>
      </c>
      <c r="J62">
        <v>24.95</v>
      </c>
      <c r="K62">
        <v>0.05</v>
      </c>
      <c r="L62">
        <v>0</v>
      </c>
      <c r="M62">
        <v>25</v>
      </c>
      <c r="N62">
        <v>0</v>
      </c>
      <c r="O62">
        <v>0</v>
      </c>
      <c r="P62">
        <v>0</v>
      </c>
      <c r="Q62">
        <v>0</v>
      </c>
      <c r="R62">
        <v>0</v>
      </c>
    </row>
    <row r="63" spans="1:18" x14ac:dyDescent="0.2">
      <c r="A63" t="str">
        <f t="shared" si="0"/>
        <v>ICE.2023.6</v>
      </c>
      <c r="B63" t="s">
        <v>1403</v>
      </c>
      <c r="C63" t="str">
        <f t="shared" si="1"/>
        <v>6</v>
      </c>
      <c r="D63" t="str">
        <f t="shared" si="2"/>
        <v>2023</v>
      </c>
      <c r="E63" s="51" t="s">
        <v>1516</v>
      </c>
      <c r="J63">
        <v>25.45</v>
      </c>
      <c r="K63">
        <v>0.05</v>
      </c>
      <c r="L63">
        <v>0</v>
      </c>
      <c r="M63">
        <v>25</v>
      </c>
      <c r="N63">
        <v>0</v>
      </c>
      <c r="O63">
        <v>0</v>
      </c>
      <c r="P63">
        <v>0</v>
      </c>
      <c r="Q63">
        <v>0</v>
      </c>
      <c r="R63">
        <v>0</v>
      </c>
    </row>
    <row r="64" spans="1:18" x14ac:dyDescent="0.2">
      <c r="A64" t="str">
        <f t="shared" si="0"/>
        <v>ICE.2023.7</v>
      </c>
      <c r="B64" t="s">
        <v>1403</v>
      </c>
      <c r="C64" t="str">
        <f t="shared" si="1"/>
        <v>7</v>
      </c>
      <c r="D64" t="str">
        <f t="shared" si="2"/>
        <v>2023</v>
      </c>
      <c r="E64" s="51" t="s">
        <v>1517</v>
      </c>
      <c r="J64">
        <v>34.9</v>
      </c>
      <c r="K64">
        <v>0.1</v>
      </c>
      <c r="L64">
        <v>0</v>
      </c>
      <c r="M64">
        <v>25</v>
      </c>
      <c r="N64">
        <v>0</v>
      </c>
      <c r="O64">
        <v>0</v>
      </c>
      <c r="P64">
        <v>0</v>
      </c>
      <c r="Q64">
        <v>0</v>
      </c>
      <c r="R64">
        <v>0</v>
      </c>
    </row>
    <row r="65" spans="1:18" x14ac:dyDescent="0.2">
      <c r="A65" t="str">
        <f t="shared" si="0"/>
        <v>ICE.2023.8</v>
      </c>
      <c r="B65" t="s">
        <v>1403</v>
      </c>
      <c r="C65" t="str">
        <f t="shared" si="1"/>
        <v>8</v>
      </c>
      <c r="D65" t="str">
        <f t="shared" si="2"/>
        <v>2023</v>
      </c>
      <c r="E65" s="51" t="s">
        <v>1518</v>
      </c>
      <c r="J65">
        <v>39.5</v>
      </c>
      <c r="K65">
        <v>0.1</v>
      </c>
      <c r="L65">
        <v>0</v>
      </c>
      <c r="M65">
        <v>25</v>
      </c>
      <c r="N65">
        <v>0</v>
      </c>
      <c r="O65">
        <v>0</v>
      </c>
      <c r="P65">
        <v>0</v>
      </c>
      <c r="Q65">
        <v>0</v>
      </c>
      <c r="R65">
        <v>0</v>
      </c>
    </row>
    <row r="66" spans="1:18" x14ac:dyDescent="0.2">
      <c r="A66" t="str">
        <f t="shared" si="0"/>
        <v>ICE.2023.9</v>
      </c>
      <c r="B66" t="s">
        <v>1403</v>
      </c>
      <c r="C66" t="str">
        <f t="shared" si="1"/>
        <v>9</v>
      </c>
      <c r="D66" t="str">
        <f t="shared" si="2"/>
        <v>2023</v>
      </c>
      <c r="E66" s="51" t="s">
        <v>1519</v>
      </c>
      <c r="J66">
        <v>35.200000000000003</v>
      </c>
      <c r="K66">
        <v>0.1</v>
      </c>
      <c r="L66">
        <v>0</v>
      </c>
      <c r="M66">
        <v>25</v>
      </c>
      <c r="N66">
        <v>0</v>
      </c>
      <c r="O66">
        <v>0</v>
      </c>
      <c r="P66">
        <v>0</v>
      </c>
      <c r="Q66">
        <v>0</v>
      </c>
      <c r="R66">
        <v>0</v>
      </c>
    </row>
    <row r="67" spans="1:18" x14ac:dyDescent="0.2">
      <c r="A67" t="str">
        <f t="shared" ref="A67:A117" si="3">B67&amp;"."&amp;D67&amp;"."&amp;C67</f>
        <v>ICE.2023.10</v>
      </c>
      <c r="B67" t="s">
        <v>1403</v>
      </c>
      <c r="C67" t="str">
        <f t="shared" ref="C67:C117" si="4">TEXT(DATEVALUE("1"&amp;E67),"M")</f>
        <v>10</v>
      </c>
      <c r="D67" t="str">
        <f t="shared" ref="D67:D117" si="5">TEXT(DATEVALUE("1"&amp;E67),"YYYY")</f>
        <v>2023</v>
      </c>
      <c r="E67" s="51" t="s">
        <v>1520</v>
      </c>
      <c r="J67">
        <v>31.15</v>
      </c>
      <c r="K67">
        <v>0.1</v>
      </c>
      <c r="L67">
        <v>0</v>
      </c>
      <c r="M67">
        <v>25</v>
      </c>
      <c r="N67">
        <v>0</v>
      </c>
      <c r="O67">
        <v>0</v>
      </c>
      <c r="P67">
        <v>0</v>
      </c>
      <c r="Q67">
        <v>0</v>
      </c>
      <c r="R67">
        <v>0</v>
      </c>
    </row>
    <row r="68" spans="1:18" x14ac:dyDescent="0.2">
      <c r="A68" t="str">
        <f t="shared" si="3"/>
        <v>ICE.2023.11</v>
      </c>
      <c r="B68" t="s">
        <v>1403</v>
      </c>
      <c r="C68" t="str">
        <f t="shared" si="4"/>
        <v>11</v>
      </c>
      <c r="D68" t="str">
        <f t="shared" si="5"/>
        <v>2023</v>
      </c>
      <c r="E68" s="51" t="s">
        <v>1521</v>
      </c>
      <c r="J68">
        <v>34.25</v>
      </c>
      <c r="K68">
        <v>0.1</v>
      </c>
      <c r="L68">
        <v>0</v>
      </c>
      <c r="M68">
        <v>25</v>
      </c>
      <c r="N68">
        <v>0</v>
      </c>
      <c r="O68">
        <v>0</v>
      </c>
      <c r="P68">
        <v>0</v>
      </c>
      <c r="Q68">
        <v>0</v>
      </c>
      <c r="R68">
        <v>0</v>
      </c>
    </row>
    <row r="69" spans="1:18" x14ac:dyDescent="0.2">
      <c r="A69" t="str">
        <f t="shared" si="3"/>
        <v>ICE.2023.12</v>
      </c>
      <c r="B69" t="s">
        <v>1403</v>
      </c>
      <c r="C69" t="str">
        <f t="shared" si="4"/>
        <v>12</v>
      </c>
      <c r="D69" t="str">
        <f t="shared" si="5"/>
        <v>2023</v>
      </c>
      <c r="E69" s="51" t="s">
        <v>1522</v>
      </c>
      <c r="J69">
        <v>41.85</v>
      </c>
      <c r="K69">
        <v>0.1</v>
      </c>
      <c r="L69">
        <v>0</v>
      </c>
      <c r="M69">
        <v>25</v>
      </c>
      <c r="N69">
        <v>0</v>
      </c>
      <c r="O69">
        <v>0</v>
      </c>
      <c r="P69">
        <v>0</v>
      </c>
      <c r="Q69">
        <v>0</v>
      </c>
      <c r="R69">
        <v>0</v>
      </c>
    </row>
    <row r="70" spans="1:18" x14ac:dyDescent="0.2">
      <c r="A70" t="str">
        <f t="shared" si="3"/>
        <v>ICE.2024.1</v>
      </c>
      <c r="B70" t="s">
        <v>1403</v>
      </c>
      <c r="C70" t="str">
        <f t="shared" si="4"/>
        <v>1</v>
      </c>
      <c r="D70" t="str">
        <f t="shared" si="5"/>
        <v>2024</v>
      </c>
      <c r="E70" s="51" t="s">
        <v>1523</v>
      </c>
      <c r="J70">
        <v>41.55</v>
      </c>
      <c r="K70">
        <v>0.1</v>
      </c>
      <c r="L70">
        <v>0</v>
      </c>
      <c r="M70">
        <v>25</v>
      </c>
      <c r="N70">
        <v>0</v>
      </c>
      <c r="O70">
        <v>0</v>
      </c>
      <c r="P70">
        <v>0</v>
      </c>
      <c r="Q70">
        <v>0</v>
      </c>
      <c r="R70">
        <v>0</v>
      </c>
    </row>
    <row r="71" spans="1:18" x14ac:dyDescent="0.2">
      <c r="A71" t="str">
        <f t="shared" si="3"/>
        <v>ICE.2024.2</v>
      </c>
      <c r="B71" t="s">
        <v>1403</v>
      </c>
      <c r="C71" t="str">
        <f t="shared" si="4"/>
        <v>2</v>
      </c>
      <c r="D71" t="str">
        <f t="shared" si="5"/>
        <v>2024</v>
      </c>
      <c r="E71" s="51" t="s">
        <v>1524</v>
      </c>
      <c r="J71">
        <v>35.5</v>
      </c>
      <c r="K71">
        <v>0.1</v>
      </c>
      <c r="L71">
        <v>0</v>
      </c>
      <c r="M71">
        <v>25</v>
      </c>
      <c r="N71">
        <v>0</v>
      </c>
      <c r="O71">
        <v>0</v>
      </c>
      <c r="P71">
        <v>0</v>
      </c>
      <c r="Q71">
        <v>0</v>
      </c>
      <c r="R71">
        <v>0</v>
      </c>
    </row>
    <row r="72" spans="1:18" x14ac:dyDescent="0.2">
      <c r="A72" t="str">
        <f t="shared" si="3"/>
        <v>ICE.2024.3</v>
      </c>
      <c r="B72" t="s">
        <v>1403</v>
      </c>
      <c r="C72" t="str">
        <f t="shared" si="4"/>
        <v>3</v>
      </c>
      <c r="D72" t="str">
        <f t="shared" si="5"/>
        <v>2024</v>
      </c>
      <c r="E72" s="51" t="s">
        <v>1525</v>
      </c>
      <c r="J72">
        <v>29</v>
      </c>
      <c r="K72">
        <v>0.1</v>
      </c>
      <c r="L72">
        <v>0</v>
      </c>
      <c r="M72">
        <v>25</v>
      </c>
      <c r="N72">
        <v>0</v>
      </c>
      <c r="O72">
        <v>0</v>
      </c>
      <c r="P72">
        <v>0</v>
      </c>
      <c r="Q72">
        <v>0</v>
      </c>
      <c r="R72">
        <v>0</v>
      </c>
    </row>
    <row r="73" spans="1:18" x14ac:dyDescent="0.2">
      <c r="A73" t="str">
        <f t="shared" si="3"/>
        <v>ICE.2024.4</v>
      </c>
      <c r="B73" t="s">
        <v>1403</v>
      </c>
      <c r="C73" t="str">
        <f t="shared" si="4"/>
        <v>4</v>
      </c>
      <c r="D73" t="str">
        <f t="shared" si="5"/>
        <v>2024</v>
      </c>
      <c r="E73" s="51" t="s">
        <v>1526</v>
      </c>
      <c r="J73">
        <v>27.3</v>
      </c>
      <c r="K73">
        <v>0.05</v>
      </c>
      <c r="L73">
        <v>0</v>
      </c>
      <c r="M73">
        <v>25</v>
      </c>
      <c r="N73">
        <v>0</v>
      </c>
      <c r="O73">
        <v>0</v>
      </c>
      <c r="P73">
        <v>0</v>
      </c>
      <c r="Q73">
        <v>0</v>
      </c>
      <c r="R73">
        <v>0</v>
      </c>
    </row>
    <row r="74" spans="1:18" x14ac:dyDescent="0.2">
      <c r="A74" t="str">
        <f t="shared" si="3"/>
        <v>ICE.2024.5</v>
      </c>
      <c r="B74" t="s">
        <v>1403</v>
      </c>
      <c r="C74" t="str">
        <f t="shared" si="4"/>
        <v>5</v>
      </c>
      <c r="D74" t="str">
        <f t="shared" si="5"/>
        <v>2024</v>
      </c>
      <c r="E74" s="51" t="s">
        <v>1527</v>
      </c>
      <c r="J74">
        <v>25.8</v>
      </c>
      <c r="K74">
        <v>0.05</v>
      </c>
      <c r="L74">
        <v>0</v>
      </c>
      <c r="M74">
        <v>25</v>
      </c>
      <c r="N74">
        <v>0</v>
      </c>
      <c r="O74">
        <v>0</v>
      </c>
      <c r="P74">
        <v>0</v>
      </c>
      <c r="Q74">
        <v>0</v>
      </c>
      <c r="R74">
        <v>0</v>
      </c>
    </row>
    <row r="75" spans="1:18" x14ac:dyDescent="0.2">
      <c r="A75" t="str">
        <f t="shared" si="3"/>
        <v>ICE.2024.6</v>
      </c>
      <c r="B75" t="s">
        <v>1403</v>
      </c>
      <c r="C75" t="str">
        <f t="shared" si="4"/>
        <v>6</v>
      </c>
      <c r="D75" t="str">
        <f t="shared" si="5"/>
        <v>2024</v>
      </c>
      <c r="E75" s="51" t="s">
        <v>1528</v>
      </c>
      <c r="J75">
        <v>26.2</v>
      </c>
      <c r="K75">
        <v>0.05</v>
      </c>
      <c r="L75">
        <v>0</v>
      </c>
      <c r="M75">
        <v>25</v>
      </c>
      <c r="N75">
        <v>0</v>
      </c>
      <c r="O75">
        <v>0</v>
      </c>
      <c r="P75">
        <v>0</v>
      </c>
      <c r="Q75">
        <v>0</v>
      </c>
      <c r="R75">
        <v>0</v>
      </c>
    </row>
    <row r="76" spans="1:18" x14ac:dyDescent="0.2">
      <c r="A76" t="str">
        <f t="shared" si="3"/>
        <v>ICE.2024.7</v>
      </c>
      <c r="B76" t="s">
        <v>1403</v>
      </c>
      <c r="C76" t="str">
        <f t="shared" si="4"/>
        <v>7</v>
      </c>
      <c r="D76" t="str">
        <f t="shared" si="5"/>
        <v>2024</v>
      </c>
      <c r="E76" s="51" t="s">
        <v>1529</v>
      </c>
      <c r="J76">
        <v>36.049999999999997</v>
      </c>
      <c r="K76">
        <v>0.1</v>
      </c>
      <c r="L76">
        <v>0</v>
      </c>
      <c r="M76">
        <v>25</v>
      </c>
      <c r="N76">
        <v>0</v>
      </c>
      <c r="O76">
        <v>0</v>
      </c>
      <c r="P76">
        <v>0</v>
      </c>
      <c r="Q76">
        <v>0</v>
      </c>
      <c r="R76">
        <v>0</v>
      </c>
    </row>
    <row r="77" spans="1:18" x14ac:dyDescent="0.2">
      <c r="A77" t="str">
        <f t="shared" si="3"/>
        <v>ICE.2024.8</v>
      </c>
      <c r="B77" t="s">
        <v>1403</v>
      </c>
      <c r="C77" t="str">
        <f t="shared" si="4"/>
        <v>8</v>
      </c>
      <c r="D77" t="str">
        <f t="shared" si="5"/>
        <v>2024</v>
      </c>
      <c r="E77" s="51" t="s">
        <v>1530</v>
      </c>
      <c r="J77">
        <v>40.799999999999997</v>
      </c>
      <c r="K77">
        <v>0.1</v>
      </c>
      <c r="L77">
        <v>0</v>
      </c>
      <c r="M77">
        <v>25</v>
      </c>
      <c r="N77">
        <v>0</v>
      </c>
      <c r="O77">
        <v>0</v>
      </c>
      <c r="P77">
        <v>0</v>
      </c>
      <c r="Q77">
        <v>0</v>
      </c>
      <c r="R77">
        <v>0</v>
      </c>
    </row>
    <row r="78" spans="1:18" x14ac:dyDescent="0.2">
      <c r="A78" t="str">
        <f t="shared" si="3"/>
        <v>ICE.2024.9</v>
      </c>
      <c r="B78" t="s">
        <v>1403</v>
      </c>
      <c r="C78" t="str">
        <f t="shared" si="4"/>
        <v>9</v>
      </c>
      <c r="D78" t="str">
        <f t="shared" si="5"/>
        <v>2024</v>
      </c>
      <c r="E78" s="51" t="s">
        <v>1531</v>
      </c>
      <c r="J78">
        <v>36.5</v>
      </c>
      <c r="K78">
        <v>0.1</v>
      </c>
      <c r="L78">
        <v>0</v>
      </c>
      <c r="M78">
        <v>25</v>
      </c>
      <c r="N78">
        <v>0</v>
      </c>
      <c r="O78">
        <v>0</v>
      </c>
      <c r="P78">
        <v>0</v>
      </c>
      <c r="Q78">
        <v>0</v>
      </c>
      <c r="R78">
        <v>0</v>
      </c>
    </row>
    <row r="79" spans="1:18" x14ac:dyDescent="0.2">
      <c r="A79" t="str">
        <f t="shared" si="3"/>
        <v>ICE.2024.10</v>
      </c>
      <c r="B79" t="s">
        <v>1403</v>
      </c>
      <c r="C79" t="str">
        <f t="shared" si="4"/>
        <v>10</v>
      </c>
      <c r="D79" t="str">
        <f t="shared" si="5"/>
        <v>2024</v>
      </c>
      <c r="E79" s="51" t="s">
        <v>1532</v>
      </c>
      <c r="J79">
        <v>32.4</v>
      </c>
      <c r="K79">
        <v>0.1</v>
      </c>
      <c r="L79">
        <v>0</v>
      </c>
      <c r="M79">
        <v>25</v>
      </c>
      <c r="N79">
        <v>0</v>
      </c>
      <c r="O79">
        <v>0</v>
      </c>
      <c r="P79">
        <v>0</v>
      </c>
      <c r="Q79">
        <v>0</v>
      </c>
      <c r="R79">
        <v>0</v>
      </c>
    </row>
    <row r="80" spans="1:18" x14ac:dyDescent="0.2">
      <c r="A80" t="str">
        <f t="shared" si="3"/>
        <v>ICE.2024.11</v>
      </c>
      <c r="B80" t="s">
        <v>1403</v>
      </c>
      <c r="C80" t="str">
        <f t="shared" si="4"/>
        <v>11</v>
      </c>
      <c r="D80" t="str">
        <f t="shared" si="5"/>
        <v>2024</v>
      </c>
      <c r="E80" s="51" t="s">
        <v>1533</v>
      </c>
      <c r="J80">
        <v>35.549999999999997</v>
      </c>
      <c r="K80">
        <v>0.1</v>
      </c>
      <c r="L80">
        <v>0</v>
      </c>
      <c r="M80">
        <v>25</v>
      </c>
      <c r="N80">
        <v>0</v>
      </c>
      <c r="O80">
        <v>0</v>
      </c>
      <c r="P80">
        <v>0</v>
      </c>
      <c r="Q80">
        <v>0</v>
      </c>
      <c r="R80">
        <v>0</v>
      </c>
    </row>
    <row r="81" spans="1:18" x14ac:dyDescent="0.2">
      <c r="A81" t="str">
        <f t="shared" si="3"/>
        <v>ICE.2024.12</v>
      </c>
      <c r="B81" t="s">
        <v>1403</v>
      </c>
      <c r="C81" t="str">
        <f t="shared" si="4"/>
        <v>12</v>
      </c>
      <c r="D81" t="str">
        <f t="shared" si="5"/>
        <v>2024</v>
      </c>
      <c r="E81" s="51" t="s">
        <v>1534</v>
      </c>
      <c r="J81">
        <v>43.55</v>
      </c>
      <c r="K81">
        <v>0.1</v>
      </c>
      <c r="L81">
        <v>0</v>
      </c>
      <c r="M81">
        <v>25</v>
      </c>
      <c r="N81">
        <v>0</v>
      </c>
      <c r="O81">
        <v>0</v>
      </c>
      <c r="P81">
        <v>0</v>
      </c>
      <c r="Q81">
        <v>0</v>
      </c>
      <c r="R81">
        <v>0</v>
      </c>
    </row>
    <row r="82" spans="1:18" x14ac:dyDescent="0.2">
      <c r="A82" t="str">
        <f t="shared" si="3"/>
        <v>ICE.2025.1</v>
      </c>
      <c r="B82" t="s">
        <v>1403</v>
      </c>
      <c r="C82" t="str">
        <f t="shared" si="4"/>
        <v>1</v>
      </c>
      <c r="D82" t="str">
        <f t="shared" si="5"/>
        <v>2025</v>
      </c>
      <c r="E82" s="51" t="s">
        <v>1538</v>
      </c>
      <c r="J82">
        <v>43</v>
      </c>
      <c r="K82">
        <v>0.1</v>
      </c>
      <c r="L82">
        <v>0</v>
      </c>
      <c r="M82">
        <v>25</v>
      </c>
      <c r="N82">
        <v>0</v>
      </c>
      <c r="O82">
        <v>0</v>
      </c>
      <c r="P82">
        <v>0</v>
      </c>
      <c r="Q82">
        <v>0</v>
      </c>
      <c r="R82">
        <v>0</v>
      </c>
    </row>
    <row r="83" spans="1:18" x14ac:dyDescent="0.2">
      <c r="A83" t="str">
        <f t="shared" si="3"/>
        <v>ICE.2025.2</v>
      </c>
      <c r="B83" t="s">
        <v>1403</v>
      </c>
      <c r="C83" t="str">
        <f t="shared" si="4"/>
        <v>2</v>
      </c>
      <c r="D83" t="str">
        <f t="shared" si="5"/>
        <v>2025</v>
      </c>
      <c r="E83" s="51" t="s">
        <v>1539</v>
      </c>
      <c r="J83">
        <v>36.75</v>
      </c>
      <c r="K83">
        <v>0.1</v>
      </c>
      <c r="L83">
        <v>0</v>
      </c>
      <c r="M83">
        <v>25</v>
      </c>
      <c r="N83">
        <v>0</v>
      </c>
      <c r="O83">
        <v>0</v>
      </c>
      <c r="P83">
        <v>0</v>
      </c>
      <c r="Q83">
        <v>0</v>
      </c>
      <c r="R83">
        <v>0</v>
      </c>
    </row>
    <row r="84" spans="1:18" x14ac:dyDescent="0.2">
      <c r="A84" t="str">
        <f t="shared" si="3"/>
        <v>ICE.2025.3</v>
      </c>
      <c r="B84" t="s">
        <v>1403</v>
      </c>
      <c r="C84" t="str">
        <f t="shared" si="4"/>
        <v>3</v>
      </c>
      <c r="D84" t="str">
        <f t="shared" si="5"/>
        <v>2025</v>
      </c>
      <c r="E84" s="51" t="s">
        <v>1540</v>
      </c>
      <c r="J84">
        <v>30.1</v>
      </c>
      <c r="K84">
        <v>0.1</v>
      </c>
      <c r="L84">
        <v>0</v>
      </c>
      <c r="M84">
        <v>25</v>
      </c>
      <c r="N84">
        <v>0</v>
      </c>
      <c r="O84">
        <v>0</v>
      </c>
      <c r="P84">
        <v>0</v>
      </c>
      <c r="Q84">
        <v>0</v>
      </c>
      <c r="R84">
        <v>0</v>
      </c>
    </row>
    <row r="85" spans="1:18" x14ac:dyDescent="0.2">
      <c r="A85" t="str">
        <f t="shared" si="3"/>
        <v>ICE.2025.4</v>
      </c>
      <c r="B85" t="s">
        <v>1403</v>
      </c>
      <c r="C85" t="str">
        <f t="shared" si="4"/>
        <v>4</v>
      </c>
      <c r="D85" t="str">
        <f t="shared" si="5"/>
        <v>2025</v>
      </c>
      <c r="E85" s="51" t="s">
        <v>1541</v>
      </c>
      <c r="J85">
        <v>28.6</v>
      </c>
      <c r="K85">
        <v>0.05</v>
      </c>
      <c r="L85">
        <v>0</v>
      </c>
      <c r="M85">
        <v>25</v>
      </c>
      <c r="N85">
        <v>0</v>
      </c>
      <c r="O85">
        <v>0</v>
      </c>
      <c r="P85">
        <v>0</v>
      </c>
      <c r="Q85">
        <v>0</v>
      </c>
      <c r="R85">
        <v>0</v>
      </c>
    </row>
    <row r="86" spans="1:18" x14ac:dyDescent="0.2">
      <c r="A86" t="str">
        <f t="shared" si="3"/>
        <v>ICE.2025.5</v>
      </c>
      <c r="B86" t="s">
        <v>1403</v>
      </c>
      <c r="C86" t="str">
        <f t="shared" si="4"/>
        <v>5</v>
      </c>
      <c r="D86" t="str">
        <f t="shared" si="5"/>
        <v>2025</v>
      </c>
      <c r="E86" s="51" t="s">
        <v>1542</v>
      </c>
      <c r="J86">
        <v>27</v>
      </c>
      <c r="K86">
        <v>0.05</v>
      </c>
      <c r="L86">
        <v>0</v>
      </c>
      <c r="M86">
        <v>25</v>
      </c>
      <c r="N86">
        <v>0</v>
      </c>
      <c r="O86">
        <v>0</v>
      </c>
      <c r="P86">
        <v>0</v>
      </c>
      <c r="Q86">
        <v>0</v>
      </c>
      <c r="R86">
        <v>0</v>
      </c>
    </row>
    <row r="87" spans="1:18" x14ac:dyDescent="0.2">
      <c r="A87" t="str">
        <f t="shared" si="3"/>
        <v>ICE.2025.6</v>
      </c>
      <c r="B87" t="s">
        <v>1403</v>
      </c>
      <c r="C87" t="str">
        <f t="shared" si="4"/>
        <v>6</v>
      </c>
      <c r="D87" t="str">
        <f t="shared" si="5"/>
        <v>2025</v>
      </c>
      <c r="E87" s="51" t="s">
        <v>1543</v>
      </c>
      <c r="J87">
        <v>27.45</v>
      </c>
      <c r="K87">
        <v>0.05</v>
      </c>
      <c r="L87">
        <v>0</v>
      </c>
      <c r="M87">
        <v>25</v>
      </c>
      <c r="N87">
        <v>0</v>
      </c>
      <c r="O87">
        <v>0</v>
      </c>
      <c r="P87">
        <v>0</v>
      </c>
      <c r="Q87">
        <v>0</v>
      </c>
      <c r="R87">
        <v>0</v>
      </c>
    </row>
    <row r="88" spans="1:18" x14ac:dyDescent="0.2">
      <c r="A88" t="str">
        <f t="shared" si="3"/>
        <v>ICE.2025.7</v>
      </c>
      <c r="B88" t="s">
        <v>1403</v>
      </c>
      <c r="C88" t="str">
        <f t="shared" si="4"/>
        <v>7</v>
      </c>
      <c r="D88" t="str">
        <f t="shared" si="5"/>
        <v>2025</v>
      </c>
      <c r="E88" s="51" t="s">
        <v>1544</v>
      </c>
      <c r="J88">
        <v>37.049999999999997</v>
      </c>
      <c r="K88">
        <v>0.1</v>
      </c>
      <c r="L88">
        <v>0</v>
      </c>
      <c r="M88">
        <v>25</v>
      </c>
      <c r="N88">
        <v>0</v>
      </c>
      <c r="O88">
        <v>0</v>
      </c>
      <c r="P88">
        <v>0</v>
      </c>
      <c r="Q88">
        <v>0</v>
      </c>
      <c r="R88">
        <v>0</v>
      </c>
    </row>
    <row r="89" spans="1:18" x14ac:dyDescent="0.2">
      <c r="A89" t="str">
        <f t="shared" si="3"/>
        <v>ICE.2025.8</v>
      </c>
      <c r="B89" t="s">
        <v>1403</v>
      </c>
      <c r="C89" t="str">
        <f t="shared" si="4"/>
        <v>8</v>
      </c>
      <c r="D89" t="str">
        <f t="shared" si="5"/>
        <v>2025</v>
      </c>
      <c r="E89" s="51" t="s">
        <v>1545</v>
      </c>
      <c r="J89">
        <v>41.9</v>
      </c>
      <c r="K89">
        <v>0.1</v>
      </c>
      <c r="L89">
        <v>0</v>
      </c>
      <c r="M89">
        <v>25</v>
      </c>
      <c r="N89">
        <v>0</v>
      </c>
      <c r="O89">
        <v>0</v>
      </c>
      <c r="P89">
        <v>0</v>
      </c>
      <c r="Q89">
        <v>0</v>
      </c>
      <c r="R89">
        <v>0</v>
      </c>
    </row>
    <row r="90" spans="1:18" x14ac:dyDescent="0.2">
      <c r="A90" t="str">
        <f t="shared" si="3"/>
        <v>ICE.2025.9</v>
      </c>
      <c r="B90" t="s">
        <v>1403</v>
      </c>
      <c r="C90" t="str">
        <f t="shared" si="4"/>
        <v>9</v>
      </c>
      <c r="D90" t="str">
        <f t="shared" si="5"/>
        <v>2025</v>
      </c>
      <c r="E90" s="51" t="s">
        <v>1546</v>
      </c>
      <c r="J90">
        <v>37.549999999999997</v>
      </c>
      <c r="K90">
        <v>0.1</v>
      </c>
      <c r="L90">
        <v>0</v>
      </c>
      <c r="M90">
        <v>25</v>
      </c>
      <c r="N90">
        <v>0</v>
      </c>
      <c r="O90">
        <v>0</v>
      </c>
      <c r="P90">
        <v>0</v>
      </c>
      <c r="Q90">
        <v>0</v>
      </c>
      <c r="R90">
        <v>0</v>
      </c>
    </row>
    <row r="91" spans="1:18" x14ac:dyDescent="0.2">
      <c r="A91" t="str">
        <f t="shared" si="3"/>
        <v>ICE.2025.10</v>
      </c>
      <c r="B91" t="s">
        <v>1403</v>
      </c>
      <c r="C91" t="str">
        <f t="shared" si="4"/>
        <v>10</v>
      </c>
      <c r="D91" t="str">
        <f t="shared" si="5"/>
        <v>2025</v>
      </c>
      <c r="E91" s="51" t="s">
        <v>1547</v>
      </c>
      <c r="J91">
        <v>33.450000000000003</v>
      </c>
      <c r="K91">
        <v>0.1</v>
      </c>
      <c r="L91">
        <v>0</v>
      </c>
      <c r="M91">
        <v>25</v>
      </c>
      <c r="N91">
        <v>0</v>
      </c>
      <c r="O91">
        <v>0</v>
      </c>
      <c r="P91">
        <v>0</v>
      </c>
      <c r="Q91">
        <v>0</v>
      </c>
      <c r="R91">
        <v>0</v>
      </c>
    </row>
    <row r="92" spans="1:18" x14ac:dyDescent="0.2">
      <c r="A92" t="str">
        <f t="shared" si="3"/>
        <v>ICE.2025.11</v>
      </c>
      <c r="B92" t="s">
        <v>1403</v>
      </c>
      <c r="C92" t="str">
        <f t="shared" si="4"/>
        <v>11</v>
      </c>
      <c r="D92" t="str">
        <f t="shared" si="5"/>
        <v>2025</v>
      </c>
      <c r="E92" s="51" t="s">
        <v>1548</v>
      </c>
      <c r="J92">
        <v>36.75</v>
      </c>
      <c r="K92">
        <v>0.1</v>
      </c>
      <c r="L92">
        <v>0</v>
      </c>
      <c r="M92">
        <v>25</v>
      </c>
      <c r="N92">
        <v>0</v>
      </c>
      <c r="O92">
        <v>0</v>
      </c>
      <c r="P92">
        <v>0</v>
      </c>
      <c r="Q92">
        <v>0</v>
      </c>
      <c r="R92">
        <v>0</v>
      </c>
    </row>
    <row r="93" spans="1:18" x14ac:dyDescent="0.2">
      <c r="A93" t="str">
        <f t="shared" si="3"/>
        <v>ICE.2025.12</v>
      </c>
      <c r="B93" t="s">
        <v>1403</v>
      </c>
      <c r="C93" t="str">
        <f t="shared" si="4"/>
        <v>12</v>
      </c>
      <c r="D93" t="str">
        <f t="shared" si="5"/>
        <v>2025</v>
      </c>
      <c r="E93" s="51" t="s">
        <v>1549</v>
      </c>
      <c r="J93">
        <v>44.7</v>
      </c>
      <c r="K93">
        <v>0.1</v>
      </c>
      <c r="L93">
        <v>0</v>
      </c>
      <c r="M93">
        <v>25</v>
      </c>
      <c r="N93">
        <v>0</v>
      </c>
      <c r="O93">
        <v>0</v>
      </c>
      <c r="P93">
        <v>0</v>
      </c>
      <c r="Q93">
        <v>0</v>
      </c>
      <c r="R93">
        <v>0</v>
      </c>
    </row>
    <row r="94" spans="1:18" x14ac:dyDescent="0.2">
      <c r="A94" t="str">
        <f t="shared" si="3"/>
        <v>ICE.2026.1</v>
      </c>
      <c r="B94" t="s">
        <v>1403</v>
      </c>
      <c r="C94" t="str">
        <f t="shared" si="4"/>
        <v>1</v>
      </c>
      <c r="D94" t="str">
        <f t="shared" si="5"/>
        <v>2026</v>
      </c>
      <c r="E94" s="51" t="s">
        <v>1550</v>
      </c>
      <c r="J94">
        <v>44.25</v>
      </c>
      <c r="K94">
        <v>0.1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</row>
    <row r="95" spans="1:18" x14ac:dyDescent="0.2">
      <c r="A95" t="str">
        <f t="shared" si="3"/>
        <v>ICE.2026.2</v>
      </c>
      <c r="B95" t="s">
        <v>1403</v>
      </c>
      <c r="C95" t="str">
        <f t="shared" si="4"/>
        <v>2</v>
      </c>
      <c r="D95" t="str">
        <f t="shared" si="5"/>
        <v>2026</v>
      </c>
      <c r="E95" s="51" t="s">
        <v>1551</v>
      </c>
      <c r="J95">
        <v>37.9</v>
      </c>
      <c r="K95">
        <v>0.1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</row>
    <row r="96" spans="1:18" x14ac:dyDescent="0.2">
      <c r="A96" t="str">
        <f t="shared" si="3"/>
        <v>ICE.2026.3</v>
      </c>
      <c r="B96" t="s">
        <v>1403</v>
      </c>
      <c r="C96" t="str">
        <f t="shared" si="4"/>
        <v>3</v>
      </c>
      <c r="D96" t="str">
        <f t="shared" si="5"/>
        <v>2026</v>
      </c>
      <c r="E96" s="51" t="s">
        <v>1552</v>
      </c>
      <c r="J96">
        <v>30.95</v>
      </c>
      <c r="K96">
        <v>0.1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</row>
    <row r="97" spans="1:18" x14ac:dyDescent="0.2">
      <c r="A97" t="str">
        <f t="shared" si="3"/>
        <v>ICE.2026.4</v>
      </c>
      <c r="B97" t="s">
        <v>1403</v>
      </c>
      <c r="C97" t="str">
        <f t="shared" si="4"/>
        <v>4</v>
      </c>
      <c r="D97" t="str">
        <f t="shared" si="5"/>
        <v>2026</v>
      </c>
      <c r="E97" s="51" t="s">
        <v>1553</v>
      </c>
      <c r="J97">
        <v>29.9</v>
      </c>
      <c r="K97">
        <v>0.05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</row>
    <row r="98" spans="1:18" x14ac:dyDescent="0.2">
      <c r="A98" t="str">
        <f t="shared" si="3"/>
        <v>ICE.2026.5</v>
      </c>
      <c r="B98" t="s">
        <v>1403</v>
      </c>
      <c r="C98" t="str">
        <f t="shared" si="4"/>
        <v>5</v>
      </c>
      <c r="D98" t="str">
        <f t="shared" si="5"/>
        <v>2026</v>
      </c>
      <c r="E98" s="51" t="s">
        <v>1554</v>
      </c>
      <c r="J98">
        <v>27.9</v>
      </c>
      <c r="K98">
        <v>0.05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</row>
    <row r="99" spans="1:18" x14ac:dyDescent="0.2">
      <c r="A99" t="str">
        <f t="shared" si="3"/>
        <v>ICE.2026.6</v>
      </c>
      <c r="B99" t="s">
        <v>1403</v>
      </c>
      <c r="C99" t="str">
        <f t="shared" si="4"/>
        <v>6</v>
      </c>
      <c r="D99" t="str">
        <f t="shared" si="5"/>
        <v>2026</v>
      </c>
      <c r="E99" s="51" t="s">
        <v>1555</v>
      </c>
      <c r="J99">
        <v>28.4</v>
      </c>
      <c r="K99">
        <v>0.05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</row>
    <row r="100" spans="1:18" x14ac:dyDescent="0.2">
      <c r="A100" t="str">
        <f t="shared" si="3"/>
        <v>ICE.2026.7</v>
      </c>
      <c r="B100" t="s">
        <v>1403</v>
      </c>
      <c r="C100" t="str">
        <f t="shared" si="4"/>
        <v>7</v>
      </c>
      <c r="D100" t="str">
        <f t="shared" si="5"/>
        <v>2026</v>
      </c>
      <c r="E100" s="51" t="s">
        <v>1556</v>
      </c>
      <c r="J100">
        <v>38.35</v>
      </c>
      <c r="K100">
        <v>0.1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</row>
    <row r="101" spans="1:18" x14ac:dyDescent="0.2">
      <c r="A101" t="str">
        <f t="shared" si="3"/>
        <v>ICE.2026.8</v>
      </c>
      <c r="B101" t="s">
        <v>1403</v>
      </c>
      <c r="C101" t="str">
        <f t="shared" si="4"/>
        <v>8</v>
      </c>
      <c r="D101" t="str">
        <f t="shared" si="5"/>
        <v>2026</v>
      </c>
      <c r="E101" s="51" t="s">
        <v>1557</v>
      </c>
      <c r="J101">
        <v>43.25</v>
      </c>
      <c r="K101">
        <v>0.1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</row>
    <row r="102" spans="1:18" x14ac:dyDescent="0.2">
      <c r="A102" t="str">
        <f t="shared" si="3"/>
        <v>ICE.2026.9</v>
      </c>
      <c r="B102" t="s">
        <v>1403</v>
      </c>
      <c r="C102" t="str">
        <f t="shared" si="4"/>
        <v>9</v>
      </c>
      <c r="D102" t="str">
        <f t="shared" si="5"/>
        <v>2026</v>
      </c>
      <c r="E102" s="51" t="s">
        <v>1558</v>
      </c>
      <c r="J102">
        <v>38.85</v>
      </c>
      <c r="K102">
        <v>0.1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</row>
    <row r="103" spans="1:18" x14ac:dyDescent="0.2">
      <c r="A103" t="str">
        <f t="shared" si="3"/>
        <v>ICE.2026.10</v>
      </c>
      <c r="B103" t="s">
        <v>1403</v>
      </c>
      <c r="C103" t="str">
        <f t="shared" si="4"/>
        <v>10</v>
      </c>
      <c r="D103" t="str">
        <f t="shared" si="5"/>
        <v>2026</v>
      </c>
      <c r="E103" s="51" t="s">
        <v>1559</v>
      </c>
      <c r="J103">
        <v>34.35</v>
      </c>
      <c r="K103">
        <v>0.1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</row>
    <row r="104" spans="1:18" x14ac:dyDescent="0.2">
      <c r="A104" t="str">
        <f t="shared" si="3"/>
        <v>ICE.2026.11</v>
      </c>
      <c r="B104" t="s">
        <v>1403</v>
      </c>
      <c r="C104" t="str">
        <f t="shared" si="4"/>
        <v>11</v>
      </c>
      <c r="D104" t="str">
        <f t="shared" si="5"/>
        <v>2026</v>
      </c>
      <c r="E104" s="51" t="s">
        <v>1560</v>
      </c>
      <c r="J104">
        <v>37.950000000000003</v>
      </c>
      <c r="K104">
        <v>0.1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</row>
    <row r="105" spans="1:18" x14ac:dyDescent="0.2">
      <c r="A105" t="str">
        <f t="shared" si="3"/>
        <v>ICE.2026.12</v>
      </c>
      <c r="B105" t="s">
        <v>1403</v>
      </c>
      <c r="C105" t="str">
        <f t="shared" si="4"/>
        <v>12</v>
      </c>
      <c r="D105" t="str">
        <f t="shared" si="5"/>
        <v>2026</v>
      </c>
      <c r="E105" s="51" t="s">
        <v>1561</v>
      </c>
      <c r="J105">
        <v>46.05</v>
      </c>
      <c r="K105">
        <v>0.1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</row>
    <row r="106" spans="1:18" x14ac:dyDescent="0.2">
      <c r="A106" t="str">
        <f t="shared" si="3"/>
        <v>ICE.2027.1</v>
      </c>
      <c r="B106" t="s">
        <v>1403</v>
      </c>
      <c r="C106" t="str">
        <f t="shared" si="4"/>
        <v>1</v>
      </c>
      <c r="D106" t="str">
        <f t="shared" si="5"/>
        <v>2027</v>
      </c>
      <c r="E106" s="51" t="s">
        <v>1562</v>
      </c>
      <c r="J106">
        <v>45.7</v>
      </c>
      <c r="K106">
        <v>0.1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</row>
    <row r="107" spans="1:18" x14ac:dyDescent="0.2">
      <c r="A107" t="str">
        <f t="shared" si="3"/>
        <v>ICE.2027.2</v>
      </c>
      <c r="B107" t="s">
        <v>1403</v>
      </c>
      <c r="C107" t="str">
        <f t="shared" si="4"/>
        <v>2</v>
      </c>
      <c r="D107" t="str">
        <f t="shared" si="5"/>
        <v>2027</v>
      </c>
      <c r="E107" s="51" t="s">
        <v>1563</v>
      </c>
      <c r="J107">
        <v>39.049999999999997</v>
      </c>
      <c r="K107">
        <v>0.1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</row>
    <row r="108" spans="1:18" x14ac:dyDescent="0.2">
      <c r="A108" t="str">
        <f t="shared" si="3"/>
        <v>ICE.2027.3</v>
      </c>
      <c r="B108" t="s">
        <v>1403</v>
      </c>
      <c r="C108" t="str">
        <f t="shared" si="4"/>
        <v>3</v>
      </c>
      <c r="D108" t="str">
        <f t="shared" si="5"/>
        <v>2027</v>
      </c>
      <c r="E108" s="51" t="s">
        <v>1564</v>
      </c>
      <c r="J108">
        <v>31.95</v>
      </c>
      <c r="K108">
        <v>0.1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</row>
    <row r="109" spans="1:18" x14ac:dyDescent="0.2">
      <c r="A109" t="str">
        <f t="shared" si="3"/>
        <v>ICE.2027.4</v>
      </c>
      <c r="B109" t="s">
        <v>1403</v>
      </c>
      <c r="C109" t="str">
        <f t="shared" si="4"/>
        <v>4</v>
      </c>
      <c r="D109" t="str">
        <f t="shared" si="5"/>
        <v>2027</v>
      </c>
      <c r="E109" s="51" t="s">
        <v>1565</v>
      </c>
      <c r="J109">
        <v>30.6</v>
      </c>
      <c r="K109">
        <v>0.05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</row>
    <row r="110" spans="1:18" x14ac:dyDescent="0.2">
      <c r="A110" t="str">
        <f t="shared" si="3"/>
        <v>ICE.2027.5</v>
      </c>
      <c r="B110" t="s">
        <v>1403</v>
      </c>
      <c r="C110" t="str">
        <f t="shared" si="4"/>
        <v>5</v>
      </c>
      <c r="D110" t="str">
        <f t="shared" si="5"/>
        <v>2027</v>
      </c>
      <c r="E110" s="51" t="s">
        <v>1566</v>
      </c>
      <c r="J110">
        <v>28.95</v>
      </c>
      <c r="K110">
        <v>0.05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</row>
    <row r="111" spans="1:18" x14ac:dyDescent="0.2">
      <c r="A111" t="str">
        <f t="shared" si="3"/>
        <v>ICE.2027.6</v>
      </c>
      <c r="B111" t="s">
        <v>1403</v>
      </c>
      <c r="C111" t="str">
        <f t="shared" si="4"/>
        <v>6</v>
      </c>
      <c r="D111" t="str">
        <f t="shared" si="5"/>
        <v>2027</v>
      </c>
      <c r="E111" s="51" t="s">
        <v>1567</v>
      </c>
      <c r="J111">
        <v>29.3</v>
      </c>
      <c r="K111">
        <v>0.05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</row>
    <row r="112" spans="1:18" x14ac:dyDescent="0.2">
      <c r="A112" t="str">
        <f t="shared" si="3"/>
        <v>ICE.2027.7</v>
      </c>
      <c r="B112" t="s">
        <v>1403</v>
      </c>
      <c r="C112" t="str">
        <f t="shared" si="4"/>
        <v>7</v>
      </c>
      <c r="D112" t="str">
        <f t="shared" si="5"/>
        <v>2027</v>
      </c>
      <c r="E112" s="51" t="s">
        <v>1568</v>
      </c>
      <c r="J112">
        <v>39.4</v>
      </c>
      <c r="K112">
        <v>0.1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</row>
    <row r="113" spans="1:18" x14ac:dyDescent="0.2">
      <c r="A113" t="str">
        <f t="shared" si="3"/>
        <v>ICE.2027.8</v>
      </c>
      <c r="B113" t="s">
        <v>1403</v>
      </c>
      <c r="C113" t="str">
        <f t="shared" si="4"/>
        <v>8</v>
      </c>
      <c r="D113" t="str">
        <f t="shared" si="5"/>
        <v>2027</v>
      </c>
      <c r="E113" s="51" t="s">
        <v>1569</v>
      </c>
      <c r="J113">
        <v>44.6</v>
      </c>
      <c r="K113">
        <v>0.1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</row>
    <row r="114" spans="1:18" x14ac:dyDescent="0.2">
      <c r="A114" t="str">
        <f t="shared" si="3"/>
        <v>ICE.2027.9</v>
      </c>
      <c r="B114" t="s">
        <v>1403</v>
      </c>
      <c r="C114" t="str">
        <f t="shared" si="4"/>
        <v>9</v>
      </c>
      <c r="D114" t="str">
        <f t="shared" si="5"/>
        <v>2027</v>
      </c>
      <c r="E114" s="51" t="s">
        <v>1570</v>
      </c>
      <c r="J114">
        <v>40.1</v>
      </c>
      <c r="K114">
        <v>0.1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</row>
    <row r="115" spans="1:18" x14ac:dyDescent="0.2">
      <c r="A115" t="str">
        <f t="shared" si="3"/>
        <v>ICE.2027.10</v>
      </c>
      <c r="B115" t="s">
        <v>1403</v>
      </c>
      <c r="C115" t="str">
        <f t="shared" si="4"/>
        <v>10</v>
      </c>
      <c r="D115" t="str">
        <f t="shared" si="5"/>
        <v>2027</v>
      </c>
      <c r="E115" s="51" t="s">
        <v>1571</v>
      </c>
      <c r="J115">
        <v>35.6</v>
      </c>
      <c r="K115">
        <v>0.1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</row>
    <row r="116" spans="1:18" x14ac:dyDescent="0.2">
      <c r="A116" t="str">
        <f t="shared" si="3"/>
        <v>ICE.2027.11</v>
      </c>
      <c r="B116" t="s">
        <v>1403</v>
      </c>
      <c r="C116" t="str">
        <f t="shared" si="4"/>
        <v>11</v>
      </c>
      <c r="D116" t="str">
        <f t="shared" si="5"/>
        <v>2027</v>
      </c>
      <c r="E116" s="51" t="s">
        <v>1572</v>
      </c>
      <c r="J116">
        <v>39.049999999999997</v>
      </c>
      <c r="K116">
        <v>0.1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</row>
    <row r="117" spans="1:18" x14ac:dyDescent="0.2">
      <c r="A117" t="str">
        <f t="shared" si="3"/>
        <v>ICE.2027.12</v>
      </c>
      <c r="B117" t="s">
        <v>1403</v>
      </c>
      <c r="C117" t="str">
        <f t="shared" si="4"/>
        <v>12</v>
      </c>
      <c r="D117" t="str">
        <f t="shared" si="5"/>
        <v>2027</v>
      </c>
      <c r="E117" s="51" t="s">
        <v>1573</v>
      </c>
      <c r="J117">
        <v>47.4</v>
      </c>
      <c r="K117">
        <v>0.1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idCOnPeakPrevious"/>
  <dimension ref="A1:F99"/>
  <sheetViews>
    <sheetView workbookViewId="0">
      <selection activeCell="B7" sqref="B7"/>
    </sheetView>
  </sheetViews>
  <sheetFormatPr defaultRowHeight="12.75" x14ac:dyDescent="0.2"/>
  <cols>
    <col min="1" max="1" width="81.140625" bestFit="1" customWidth="1"/>
  </cols>
  <sheetData>
    <row r="1" spans="1:6" s="1" customFormat="1" x14ac:dyDescent="0.2">
      <c r="A1" s="1" t="s">
        <v>1020</v>
      </c>
      <c r="C1" s="1" t="s">
        <v>1444</v>
      </c>
      <c r="D1" s="1" t="s">
        <v>1445</v>
      </c>
      <c r="E1" s="1" t="s">
        <v>976</v>
      </c>
      <c r="F1" s="45">
        <v>41221</v>
      </c>
    </row>
    <row r="2" spans="1:6" x14ac:dyDescent="0.2">
      <c r="A2" t="s">
        <v>1147</v>
      </c>
      <c r="B2" t="s">
        <v>1446</v>
      </c>
      <c r="C2">
        <v>0</v>
      </c>
      <c r="D2">
        <v>0</v>
      </c>
      <c r="E2">
        <v>0</v>
      </c>
    </row>
    <row r="3" spans="1:6" x14ac:dyDescent="0.2">
      <c r="A3" t="s">
        <v>1148</v>
      </c>
      <c r="B3" t="s">
        <v>1446</v>
      </c>
      <c r="C3">
        <v>0</v>
      </c>
      <c r="D3">
        <v>0</v>
      </c>
      <c r="E3">
        <v>150</v>
      </c>
    </row>
    <row r="4" spans="1:6" x14ac:dyDescent="0.2">
      <c r="A4" t="s">
        <v>1149</v>
      </c>
      <c r="B4" t="s">
        <v>1446</v>
      </c>
      <c r="C4">
        <v>0</v>
      </c>
      <c r="D4">
        <v>0</v>
      </c>
      <c r="E4">
        <v>286</v>
      </c>
    </row>
    <row r="5" spans="1:6" x14ac:dyDescent="0.2">
      <c r="A5" t="s">
        <v>1150</v>
      </c>
      <c r="B5" t="s">
        <v>1446</v>
      </c>
      <c r="C5">
        <v>0</v>
      </c>
      <c r="D5">
        <v>0</v>
      </c>
      <c r="E5">
        <v>72</v>
      </c>
    </row>
    <row r="6" spans="1:6" x14ac:dyDescent="0.2">
      <c r="A6" t="s">
        <v>1151</v>
      </c>
      <c r="B6" t="s">
        <v>1446</v>
      </c>
      <c r="C6">
        <v>0</v>
      </c>
      <c r="D6">
        <v>0</v>
      </c>
      <c r="E6">
        <v>208</v>
      </c>
    </row>
    <row r="7" spans="1:6" x14ac:dyDescent="0.2">
      <c r="A7" t="s">
        <v>1152</v>
      </c>
      <c r="B7" t="s">
        <v>1446</v>
      </c>
      <c r="C7">
        <v>0</v>
      </c>
      <c r="D7">
        <v>0</v>
      </c>
      <c r="E7">
        <v>52</v>
      </c>
    </row>
    <row r="8" spans="1:6" x14ac:dyDescent="0.2">
      <c r="A8" t="s">
        <v>1153</v>
      </c>
      <c r="B8" t="s">
        <v>1446</v>
      </c>
      <c r="C8">
        <v>0</v>
      </c>
      <c r="D8">
        <v>0</v>
      </c>
      <c r="E8">
        <v>52</v>
      </c>
    </row>
    <row r="9" spans="1:6" x14ac:dyDescent="0.2">
      <c r="A9" t="s">
        <v>1154</v>
      </c>
      <c r="B9" t="s">
        <v>1446</v>
      </c>
      <c r="C9">
        <v>0</v>
      </c>
      <c r="D9">
        <v>0</v>
      </c>
      <c r="E9">
        <v>150</v>
      </c>
    </row>
    <row r="10" spans="1:6" x14ac:dyDescent="0.2">
      <c r="A10" t="s">
        <v>1155</v>
      </c>
      <c r="B10" t="s">
        <v>1446</v>
      </c>
      <c r="C10">
        <v>0</v>
      </c>
      <c r="D10">
        <v>0</v>
      </c>
      <c r="E10">
        <v>52</v>
      </c>
    </row>
    <row r="11" spans="1:6" x14ac:dyDescent="0.2">
      <c r="A11" t="s">
        <v>1156</v>
      </c>
      <c r="B11" t="s">
        <v>1446</v>
      </c>
      <c r="C11">
        <v>0</v>
      </c>
      <c r="D11">
        <v>0</v>
      </c>
      <c r="E11">
        <v>54</v>
      </c>
    </row>
    <row r="12" spans="1:6" x14ac:dyDescent="0.2">
      <c r="A12" t="s">
        <v>1157</v>
      </c>
      <c r="B12" t="s">
        <v>1446</v>
      </c>
      <c r="C12">
        <v>0</v>
      </c>
      <c r="D12">
        <v>0</v>
      </c>
      <c r="E12">
        <v>48</v>
      </c>
    </row>
    <row r="13" spans="1:6" x14ac:dyDescent="0.2">
      <c r="A13" t="s">
        <v>1158</v>
      </c>
      <c r="B13" t="s">
        <v>1446</v>
      </c>
      <c r="C13">
        <v>0</v>
      </c>
      <c r="D13">
        <v>0</v>
      </c>
      <c r="E13">
        <v>54</v>
      </c>
    </row>
    <row r="14" spans="1:6" x14ac:dyDescent="0.2">
      <c r="A14" t="s">
        <v>1159</v>
      </c>
      <c r="B14" t="s">
        <v>1446</v>
      </c>
      <c r="C14">
        <v>0</v>
      </c>
      <c r="D14">
        <v>0</v>
      </c>
      <c r="E14">
        <v>50</v>
      </c>
    </row>
    <row r="15" spans="1:6" x14ac:dyDescent="0.2">
      <c r="A15" t="s">
        <v>1160</v>
      </c>
      <c r="B15" t="s">
        <v>1446</v>
      </c>
      <c r="C15">
        <v>0</v>
      </c>
      <c r="D15">
        <v>0</v>
      </c>
      <c r="E15">
        <v>50</v>
      </c>
    </row>
    <row r="16" spans="1:6" x14ac:dyDescent="0.2">
      <c r="A16" t="s">
        <v>1161</v>
      </c>
      <c r="B16" t="s">
        <v>1446</v>
      </c>
      <c r="C16">
        <v>0</v>
      </c>
      <c r="D16">
        <v>0</v>
      </c>
      <c r="E16">
        <v>26</v>
      </c>
    </row>
    <row r="17" spans="1:5" x14ac:dyDescent="0.2">
      <c r="A17" t="s">
        <v>1162</v>
      </c>
      <c r="B17" t="s">
        <v>1446</v>
      </c>
      <c r="C17">
        <v>0</v>
      </c>
      <c r="D17">
        <v>0</v>
      </c>
      <c r="E17">
        <v>24</v>
      </c>
    </row>
    <row r="18" spans="1:5" x14ac:dyDescent="0.2">
      <c r="A18" t="s">
        <v>1163</v>
      </c>
      <c r="B18" t="s">
        <v>1446</v>
      </c>
      <c r="C18">
        <v>0</v>
      </c>
      <c r="D18">
        <v>0</v>
      </c>
      <c r="E18">
        <v>26</v>
      </c>
    </row>
    <row r="19" spans="1:5" x14ac:dyDescent="0.2">
      <c r="A19" t="s">
        <v>1164</v>
      </c>
      <c r="B19" t="s">
        <v>1446</v>
      </c>
      <c r="C19">
        <v>0</v>
      </c>
      <c r="D19">
        <v>0</v>
      </c>
      <c r="E19">
        <v>26</v>
      </c>
    </row>
    <row r="20" spans="1:5" x14ac:dyDescent="0.2">
      <c r="A20" t="s">
        <v>1165</v>
      </c>
      <c r="B20" t="s">
        <v>1446</v>
      </c>
      <c r="C20">
        <v>0</v>
      </c>
      <c r="D20">
        <v>0</v>
      </c>
      <c r="E20">
        <v>26</v>
      </c>
    </row>
    <row r="21" spans="1:5" x14ac:dyDescent="0.2">
      <c r="A21" t="s">
        <v>1166</v>
      </c>
      <c r="B21" t="s">
        <v>1446</v>
      </c>
      <c r="C21">
        <v>0</v>
      </c>
      <c r="D21">
        <v>0</v>
      </c>
      <c r="E21">
        <v>25</v>
      </c>
    </row>
    <row r="22" spans="1:5" x14ac:dyDescent="0.2">
      <c r="A22" t="s">
        <v>1167</v>
      </c>
      <c r="B22" t="s">
        <v>1446</v>
      </c>
      <c r="C22">
        <v>0</v>
      </c>
      <c r="D22">
        <v>0</v>
      </c>
      <c r="E22">
        <v>26</v>
      </c>
    </row>
    <row r="23" spans="1:5" x14ac:dyDescent="0.2">
      <c r="A23" t="s">
        <v>1168</v>
      </c>
      <c r="B23" t="s">
        <v>1446</v>
      </c>
      <c r="C23">
        <v>0</v>
      </c>
      <c r="D23">
        <v>0</v>
      </c>
      <c r="E23">
        <v>26</v>
      </c>
    </row>
    <row r="24" spans="1:5" x14ac:dyDescent="0.2">
      <c r="A24" t="s">
        <v>1169</v>
      </c>
      <c r="B24" t="s">
        <v>1446</v>
      </c>
      <c r="C24">
        <v>0</v>
      </c>
      <c r="D24">
        <v>0</v>
      </c>
      <c r="E24">
        <v>25</v>
      </c>
    </row>
    <row r="25" spans="1:5" x14ac:dyDescent="0.2">
      <c r="A25" t="s">
        <v>1170</v>
      </c>
      <c r="B25" t="s">
        <v>1446</v>
      </c>
      <c r="C25">
        <v>0</v>
      </c>
      <c r="D25">
        <v>0</v>
      </c>
      <c r="E25">
        <v>27</v>
      </c>
    </row>
    <row r="26" spans="1:5" x14ac:dyDescent="0.2">
      <c r="A26" t="s">
        <v>1171</v>
      </c>
      <c r="B26" t="s">
        <v>1446</v>
      </c>
      <c r="C26">
        <v>0</v>
      </c>
      <c r="D26">
        <v>0</v>
      </c>
      <c r="E26">
        <v>24</v>
      </c>
    </row>
    <row r="27" spans="1:5" x14ac:dyDescent="0.2">
      <c r="A27" t="s">
        <v>1172</v>
      </c>
      <c r="B27" t="s">
        <v>1446</v>
      </c>
      <c r="C27">
        <v>0</v>
      </c>
      <c r="D27">
        <v>0</v>
      </c>
      <c r="E27">
        <v>26</v>
      </c>
    </row>
    <row r="28" spans="1:5" x14ac:dyDescent="0.2">
      <c r="A28" t="s">
        <v>1173</v>
      </c>
      <c r="B28" t="s">
        <v>1446</v>
      </c>
      <c r="C28">
        <v>0</v>
      </c>
      <c r="D28">
        <v>0</v>
      </c>
      <c r="E28">
        <v>0</v>
      </c>
    </row>
    <row r="29" spans="1:5" x14ac:dyDescent="0.2">
      <c r="A29" t="s">
        <v>1174</v>
      </c>
      <c r="B29" t="s">
        <v>1446</v>
      </c>
      <c r="C29">
        <v>0</v>
      </c>
      <c r="D29">
        <v>0</v>
      </c>
      <c r="E29">
        <v>0</v>
      </c>
    </row>
    <row r="30" spans="1:5" x14ac:dyDescent="0.2">
      <c r="A30" t="s">
        <v>1175</v>
      </c>
      <c r="B30" t="s">
        <v>1446</v>
      </c>
      <c r="C30">
        <v>0</v>
      </c>
      <c r="D30">
        <v>0</v>
      </c>
      <c r="E30">
        <v>0</v>
      </c>
    </row>
    <row r="31" spans="1:5" x14ac:dyDescent="0.2">
      <c r="A31" t="s">
        <v>1176</v>
      </c>
      <c r="B31" t="s">
        <v>1446</v>
      </c>
      <c r="C31">
        <v>0</v>
      </c>
      <c r="D31">
        <v>0</v>
      </c>
      <c r="E31">
        <v>0</v>
      </c>
    </row>
    <row r="32" spans="1:5" x14ac:dyDescent="0.2">
      <c r="A32" t="s">
        <v>1177</v>
      </c>
      <c r="B32" t="s">
        <v>1446</v>
      </c>
      <c r="C32">
        <v>0</v>
      </c>
      <c r="D32">
        <v>0</v>
      </c>
      <c r="E32">
        <v>0</v>
      </c>
    </row>
    <row r="33" spans="1:5" x14ac:dyDescent="0.2">
      <c r="A33" t="s">
        <v>1178</v>
      </c>
      <c r="B33" t="s">
        <v>1446</v>
      </c>
      <c r="C33">
        <v>0</v>
      </c>
      <c r="D33">
        <v>0</v>
      </c>
      <c r="E33">
        <v>0</v>
      </c>
    </row>
    <row r="34" spans="1:5" x14ac:dyDescent="0.2">
      <c r="A34" t="s">
        <v>1179</v>
      </c>
      <c r="B34" t="s">
        <v>1446</v>
      </c>
      <c r="C34">
        <v>0</v>
      </c>
      <c r="D34">
        <v>0</v>
      </c>
      <c r="E34">
        <v>0</v>
      </c>
    </row>
    <row r="35" spans="1:5" x14ac:dyDescent="0.2">
      <c r="A35" t="s">
        <v>1180</v>
      </c>
      <c r="B35" t="s">
        <v>1446</v>
      </c>
      <c r="C35">
        <v>0</v>
      </c>
      <c r="D35">
        <v>0</v>
      </c>
      <c r="E35">
        <v>0</v>
      </c>
    </row>
    <row r="36" spans="1:5" x14ac:dyDescent="0.2">
      <c r="A36" t="s">
        <v>1181</v>
      </c>
      <c r="B36" t="s">
        <v>1446</v>
      </c>
      <c r="C36">
        <v>0</v>
      </c>
      <c r="D36">
        <v>0</v>
      </c>
      <c r="E36">
        <v>0</v>
      </c>
    </row>
    <row r="37" spans="1:5" x14ac:dyDescent="0.2">
      <c r="A37" t="s">
        <v>1182</v>
      </c>
      <c r="B37" t="s">
        <v>1446</v>
      </c>
      <c r="C37">
        <v>0</v>
      </c>
      <c r="D37">
        <v>0</v>
      </c>
      <c r="E37">
        <v>0</v>
      </c>
    </row>
    <row r="38" spans="1:5" x14ac:dyDescent="0.2">
      <c r="A38" t="s">
        <v>1183</v>
      </c>
      <c r="B38" t="s">
        <v>1446</v>
      </c>
      <c r="C38">
        <v>0</v>
      </c>
      <c r="D38">
        <v>0</v>
      </c>
      <c r="E38">
        <v>0</v>
      </c>
    </row>
    <row r="39" spans="1:5" x14ac:dyDescent="0.2">
      <c r="A39" t="s">
        <v>1184</v>
      </c>
      <c r="B39" t="s">
        <v>1446</v>
      </c>
      <c r="C39">
        <v>0</v>
      </c>
      <c r="D39">
        <v>0</v>
      </c>
      <c r="E39">
        <v>0</v>
      </c>
    </row>
    <row r="40" spans="1:5" x14ac:dyDescent="0.2">
      <c r="A40" t="s">
        <v>1185</v>
      </c>
      <c r="B40" t="s">
        <v>1446</v>
      </c>
      <c r="C40">
        <v>0</v>
      </c>
      <c r="D40">
        <v>0</v>
      </c>
      <c r="E40">
        <v>0</v>
      </c>
    </row>
    <row r="41" spans="1:5" x14ac:dyDescent="0.2">
      <c r="A41" t="s">
        <v>1186</v>
      </c>
      <c r="B41" t="s">
        <v>1446</v>
      </c>
      <c r="C41">
        <v>0</v>
      </c>
      <c r="D41">
        <v>0</v>
      </c>
      <c r="E41">
        <v>0</v>
      </c>
    </row>
    <row r="42" spans="1:5" x14ac:dyDescent="0.2">
      <c r="A42" t="s">
        <v>1187</v>
      </c>
      <c r="B42" t="s">
        <v>1446</v>
      </c>
      <c r="C42">
        <v>0</v>
      </c>
      <c r="D42">
        <v>0</v>
      </c>
      <c r="E42">
        <v>0</v>
      </c>
    </row>
    <row r="43" spans="1:5" x14ac:dyDescent="0.2">
      <c r="A43" t="s">
        <v>1188</v>
      </c>
      <c r="B43" t="s">
        <v>1446</v>
      </c>
      <c r="C43">
        <v>0</v>
      </c>
      <c r="D43">
        <v>0</v>
      </c>
      <c r="E43">
        <v>0</v>
      </c>
    </row>
    <row r="44" spans="1:5" x14ac:dyDescent="0.2">
      <c r="A44" t="s">
        <v>1189</v>
      </c>
      <c r="B44" t="s">
        <v>1446</v>
      </c>
      <c r="C44">
        <v>0</v>
      </c>
      <c r="D44">
        <v>0</v>
      </c>
      <c r="E44">
        <v>0</v>
      </c>
    </row>
    <row r="45" spans="1:5" x14ac:dyDescent="0.2">
      <c r="A45" t="s">
        <v>1190</v>
      </c>
      <c r="B45" t="s">
        <v>1446</v>
      </c>
      <c r="C45">
        <v>0</v>
      </c>
      <c r="D45">
        <v>0</v>
      </c>
      <c r="E45">
        <v>0</v>
      </c>
    </row>
    <row r="46" spans="1:5" x14ac:dyDescent="0.2">
      <c r="A46" t="s">
        <v>1191</v>
      </c>
      <c r="B46" t="s">
        <v>1446</v>
      </c>
      <c r="C46">
        <v>0</v>
      </c>
      <c r="D46">
        <v>0</v>
      </c>
      <c r="E46">
        <v>0</v>
      </c>
    </row>
    <row r="47" spans="1:5" x14ac:dyDescent="0.2">
      <c r="A47" t="s">
        <v>1192</v>
      </c>
      <c r="B47" t="s">
        <v>1446</v>
      </c>
      <c r="C47">
        <v>0</v>
      </c>
      <c r="D47">
        <v>0</v>
      </c>
      <c r="E47">
        <v>0</v>
      </c>
    </row>
    <row r="48" spans="1:5" x14ac:dyDescent="0.2">
      <c r="A48" t="s">
        <v>1193</v>
      </c>
      <c r="B48" t="s">
        <v>1446</v>
      </c>
      <c r="C48">
        <v>0</v>
      </c>
      <c r="D48">
        <v>0</v>
      </c>
      <c r="E48">
        <v>0</v>
      </c>
    </row>
    <row r="49" spans="1:5" x14ac:dyDescent="0.2">
      <c r="A49" t="s">
        <v>1194</v>
      </c>
      <c r="B49" t="s">
        <v>1446</v>
      </c>
      <c r="C49">
        <v>0</v>
      </c>
      <c r="D49">
        <v>0</v>
      </c>
      <c r="E49">
        <v>0</v>
      </c>
    </row>
    <row r="50" spans="1:5" x14ac:dyDescent="0.2">
      <c r="A50" t="s">
        <v>1195</v>
      </c>
      <c r="B50" t="s">
        <v>1446</v>
      </c>
      <c r="C50">
        <v>0</v>
      </c>
      <c r="D50">
        <v>0</v>
      </c>
      <c r="E50">
        <v>0</v>
      </c>
    </row>
    <row r="51" spans="1:5" x14ac:dyDescent="0.2">
      <c r="A51" t="s">
        <v>1196</v>
      </c>
      <c r="B51" t="s">
        <v>1446</v>
      </c>
      <c r="C51">
        <v>0</v>
      </c>
      <c r="D51">
        <v>0</v>
      </c>
      <c r="E51">
        <v>0</v>
      </c>
    </row>
    <row r="52" spans="1:5" x14ac:dyDescent="0.2">
      <c r="A52" t="s">
        <v>1197</v>
      </c>
      <c r="B52" t="s">
        <v>1446</v>
      </c>
      <c r="C52">
        <v>0</v>
      </c>
      <c r="D52">
        <v>0</v>
      </c>
      <c r="E52">
        <v>0</v>
      </c>
    </row>
    <row r="53" spans="1:5" x14ac:dyDescent="0.2">
      <c r="A53" t="s">
        <v>1198</v>
      </c>
      <c r="B53" t="s">
        <v>1446</v>
      </c>
      <c r="C53">
        <v>0</v>
      </c>
      <c r="D53">
        <v>0</v>
      </c>
      <c r="E53">
        <v>0</v>
      </c>
    </row>
    <row r="54" spans="1:5" x14ac:dyDescent="0.2">
      <c r="A54" t="s">
        <v>1199</v>
      </c>
      <c r="B54" t="s">
        <v>1446</v>
      </c>
      <c r="C54">
        <v>0</v>
      </c>
      <c r="D54">
        <v>0</v>
      </c>
      <c r="E54">
        <v>0</v>
      </c>
    </row>
    <row r="55" spans="1:5" x14ac:dyDescent="0.2">
      <c r="A55" t="s">
        <v>1200</v>
      </c>
      <c r="B55" t="s">
        <v>1446</v>
      </c>
      <c r="C55">
        <v>0</v>
      </c>
      <c r="D55">
        <v>0</v>
      </c>
      <c r="E55">
        <v>0</v>
      </c>
    </row>
    <row r="56" spans="1:5" x14ac:dyDescent="0.2">
      <c r="A56" t="s">
        <v>1201</v>
      </c>
      <c r="B56" t="s">
        <v>1446</v>
      </c>
      <c r="C56">
        <v>0</v>
      </c>
      <c r="D56">
        <v>0</v>
      </c>
      <c r="E56">
        <v>0</v>
      </c>
    </row>
    <row r="57" spans="1:5" x14ac:dyDescent="0.2">
      <c r="A57" t="s">
        <v>1202</v>
      </c>
      <c r="B57" t="s">
        <v>1446</v>
      </c>
      <c r="C57">
        <v>0</v>
      </c>
      <c r="D57">
        <v>0</v>
      </c>
      <c r="E57">
        <v>0</v>
      </c>
    </row>
    <row r="58" spans="1:5" x14ac:dyDescent="0.2">
      <c r="A58" t="s">
        <v>1203</v>
      </c>
      <c r="B58" t="s">
        <v>1446</v>
      </c>
      <c r="C58">
        <v>0</v>
      </c>
      <c r="D58">
        <v>0</v>
      </c>
      <c r="E58">
        <v>0</v>
      </c>
    </row>
    <row r="59" spans="1:5" x14ac:dyDescent="0.2">
      <c r="A59" t="s">
        <v>1204</v>
      </c>
      <c r="B59" t="s">
        <v>1446</v>
      </c>
      <c r="C59">
        <v>0</v>
      </c>
      <c r="D59">
        <v>0</v>
      </c>
      <c r="E59">
        <v>0</v>
      </c>
    </row>
    <row r="60" spans="1:5" x14ac:dyDescent="0.2">
      <c r="A60" t="s">
        <v>1205</v>
      </c>
      <c r="B60" t="s">
        <v>1446</v>
      </c>
      <c r="C60">
        <v>0</v>
      </c>
      <c r="D60">
        <v>0</v>
      </c>
      <c r="E60">
        <v>0</v>
      </c>
    </row>
    <row r="61" spans="1:5" x14ac:dyDescent="0.2">
      <c r="A61" t="s">
        <v>1206</v>
      </c>
      <c r="B61" t="s">
        <v>1446</v>
      </c>
      <c r="C61">
        <v>0</v>
      </c>
      <c r="D61">
        <v>0</v>
      </c>
      <c r="E61">
        <v>0</v>
      </c>
    </row>
    <row r="62" spans="1:5" x14ac:dyDescent="0.2">
      <c r="A62" t="s">
        <v>1207</v>
      </c>
      <c r="B62" t="s">
        <v>1446</v>
      </c>
      <c r="C62">
        <v>0</v>
      </c>
      <c r="D62">
        <v>0</v>
      </c>
      <c r="E62">
        <v>0</v>
      </c>
    </row>
    <row r="63" spans="1:5" x14ac:dyDescent="0.2">
      <c r="A63" t="s">
        <v>1208</v>
      </c>
      <c r="B63" t="s">
        <v>1446</v>
      </c>
      <c r="C63">
        <v>0</v>
      </c>
      <c r="D63">
        <v>0</v>
      </c>
      <c r="E63">
        <v>0</v>
      </c>
    </row>
    <row r="64" spans="1:5" x14ac:dyDescent="0.2">
      <c r="A64" t="s">
        <v>1209</v>
      </c>
      <c r="B64" t="s">
        <v>1446</v>
      </c>
      <c r="C64">
        <v>0</v>
      </c>
      <c r="D64">
        <v>0</v>
      </c>
      <c r="E64">
        <v>0</v>
      </c>
    </row>
    <row r="65" spans="1:5" x14ac:dyDescent="0.2">
      <c r="A65" t="s">
        <v>1210</v>
      </c>
      <c r="B65" t="s">
        <v>1446</v>
      </c>
      <c r="C65">
        <v>0</v>
      </c>
      <c r="D65">
        <v>0</v>
      </c>
      <c r="E65">
        <v>0</v>
      </c>
    </row>
    <row r="66" spans="1:5" x14ac:dyDescent="0.2">
      <c r="A66" t="s">
        <v>1211</v>
      </c>
      <c r="B66" t="s">
        <v>1446</v>
      </c>
      <c r="C66">
        <v>0</v>
      </c>
      <c r="D66">
        <v>0</v>
      </c>
      <c r="E66">
        <v>0</v>
      </c>
    </row>
    <row r="67" spans="1:5" x14ac:dyDescent="0.2">
      <c r="A67" t="s">
        <v>1212</v>
      </c>
      <c r="B67" t="s">
        <v>1446</v>
      </c>
      <c r="C67">
        <v>0</v>
      </c>
      <c r="D67">
        <v>0</v>
      </c>
      <c r="E67">
        <v>0</v>
      </c>
    </row>
    <row r="68" spans="1:5" x14ac:dyDescent="0.2">
      <c r="A68" t="s">
        <v>1213</v>
      </c>
      <c r="B68" t="s">
        <v>1446</v>
      </c>
      <c r="C68">
        <v>0</v>
      </c>
      <c r="D68">
        <v>0</v>
      </c>
      <c r="E68">
        <v>0</v>
      </c>
    </row>
    <row r="69" spans="1:5" x14ac:dyDescent="0.2">
      <c r="A69" t="s">
        <v>1214</v>
      </c>
      <c r="B69" t="s">
        <v>1446</v>
      </c>
      <c r="C69">
        <v>0</v>
      </c>
      <c r="D69">
        <v>0</v>
      </c>
      <c r="E69">
        <v>0</v>
      </c>
    </row>
    <row r="70" spans="1:5" x14ac:dyDescent="0.2">
      <c r="A70" t="s">
        <v>1215</v>
      </c>
      <c r="B70" t="s">
        <v>1446</v>
      </c>
      <c r="C70">
        <v>0</v>
      </c>
      <c r="D70">
        <v>0</v>
      </c>
      <c r="E70">
        <v>0</v>
      </c>
    </row>
    <row r="71" spans="1:5" x14ac:dyDescent="0.2">
      <c r="A71" t="s">
        <v>1216</v>
      </c>
      <c r="B71" t="s">
        <v>1446</v>
      </c>
      <c r="C71">
        <v>0</v>
      </c>
      <c r="D71">
        <v>0</v>
      </c>
      <c r="E71">
        <v>0</v>
      </c>
    </row>
    <row r="72" spans="1:5" x14ac:dyDescent="0.2">
      <c r="A72" t="s">
        <v>1217</v>
      </c>
      <c r="B72" t="s">
        <v>1446</v>
      </c>
      <c r="C72">
        <v>0</v>
      </c>
      <c r="D72">
        <v>0</v>
      </c>
      <c r="E72">
        <v>0</v>
      </c>
    </row>
    <row r="73" spans="1:5" x14ac:dyDescent="0.2">
      <c r="A73" t="s">
        <v>1218</v>
      </c>
      <c r="B73" t="s">
        <v>1446</v>
      </c>
      <c r="C73">
        <v>0</v>
      </c>
      <c r="D73">
        <v>0</v>
      </c>
      <c r="E73">
        <v>0</v>
      </c>
    </row>
    <row r="74" spans="1:5" x14ac:dyDescent="0.2">
      <c r="A74" t="s">
        <v>1219</v>
      </c>
      <c r="B74" t="s">
        <v>1446</v>
      </c>
      <c r="C74">
        <v>0</v>
      </c>
      <c r="D74">
        <v>0</v>
      </c>
      <c r="E74">
        <v>0</v>
      </c>
    </row>
    <row r="75" spans="1:5" x14ac:dyDescent="0.2">
      <c r="A75" t="s">
        <v>1220</v>
      </c>
      <c r="B75" t="s">
        <v>1446</v>
      </c>
      <c r="C75">
        <v>0</v>
      </c>
      <c r="D75">
        <v>0</v>
      </c>
      <c r="E75">
        <v>0</v>
      </c>
    </row>
    <row r="76" spans="1:5" x14ac:dyDescent="0.2">
      <c r="A76" t="s">
        <v>1221</v>
      </c>
      <c r="B76" t="s">
        <v>1446</v>
      </c>
      <c r="C76">
        <v>0</v>
      </c>
      <c r="D76">
        <v>0</v>
      </c>
      <c r="E76">
        <v>0</v>
      </c>
    </row>
    <row r="77" spans="1:5" x14ac:dyDescent="0.2">
      <c r="A77" t="s">
        <v>1222</v>
      </c>
      <c r="B77" t="s">
        <v>1446</v>
      </c>
      <c r="C77">
        <v>0</v>
      </c>
      <c r="D77">
        <v>0</v>
      </c>
      <c r="E77">
        <v>0</v>
      </c>
    </row>
    <row r="78" spans="1:5" x14ac:dyDescent="0.2">
      <c r="A78" t="s">
        <v>1223</v>
      </c>
      <c r="B78" t="s">
        <v>1446</v>
      </c>
      <c r="C78">
        <v>0</v>
      </c>
      <c r="D78">
        <v>0</v>
      </c>
      <c r="E78">
        <v>0</v>
      </c>
    </row>
    <row r="79" spans="1:5" x14ac:dyDescent="0.2">
      <c r="A79" t="s">
        <v>1224</v>
      </c>
      <c r="B79" t="s">
        <v>1446</v>
      </c>
      <c r="C79">
        <v>0</v>
      </c>
      <c r="D79">
        <v>0</v>
      </c>
      <c r="E79">
        <v>0</v>
      </c>
    </row>
    <row r="80" spans="1:5" x14ac:dyDescent="0.2">
      <c r="A80" t="s">
        <v>1225</v>
      </c>
      <c r="B80" t="s">
        <v>1446</v>
      </c>
      <c r="C80">
        <v>0</v>
      </c>
      <c r="D80">
        <v>0</v>
      </c>
      <c r="E80">
        <v>0</v>
      </c>
    </row>
    <row r="81" spans="1:5" x14ac:dyDescent="0.2">
      <c r="A81" t="s">
        <v>1226</v>
      </c>
      <c r="B81" t="s">
        <v>1446</v>
      </c>
      <c r="C81">
        <v>0</v>
      </c>
      <c r="D81">
        <v>0</v>
      </c>
      <c r="E81">
        <v>0</v>
      </c>
    </row>
    <row r="82" spans="1:5" x14ac:dyDescent="0.2">
      <c r="A82" t="s">
        <v>1227</v>
      </c>
      <c r="B82" t="s">
        <v>1446</v>
      </c>
      <c r="C82">
        <v>0</v>
      </c>
      <c r="D82">
        <v>0</v>
      </c>
      <c r="E82">
        <v>0</v>
      </c>
    </row>
    <row r="83" spans="1:5" x14ac:dyDescent="0.2">
      <c r="A83" t="s">
        <v>1228</v>
      </c>
      <c r="B83" t="s">
        <v>1446</v>
      </c>
      <c r="C83">
        <v>0</v>
      </c>
      <c r="D83">
        <v>0</v>
      </c>
      <c r="E83">
        <v>0</v>
      </c>
    </row>
    <row r="84" spans="1:5" x14ac:dyDescent="0.2">
      <c r="A84" t="s">
        <v>1229</v>
      </c>
      <c r="B84" t="s">
        <v>1446</v>
      </c>
      <c r="C84">
        <v>0</v>
      </c>
      <c r="D84">
        <v>0</v>
      </c>
      <c r="E84">
        <v>0</v>
      </c>
    </row>
    <row r="85" spans="1:5" x14ac:dyDescent="0.2">
      <c r="A85" t="s">
        <v>1230</v>
      </c>
      <c r="B85" t="s">
        <v>1446</v>
      </c>
      <c r="C85">
        <v>0</v>
      </c>
      <c r="D85">
        <v>0</v>
      </c>
      <c r="E85">
        <v>0</v>
      </c>
    </row>
    <row r="86" spans="1:5" x14ac:dyDescent="0.2">
      <c r="A86" t="s">
        <v>1231</v>
      </c>
      <c r="B86" t="s">
        <v>1446</v>
      </c>
      <c r="C86">
        <v>0</v>
      </c>
      <c r="D86">
        <v>0</v>
      </c>
      <c r="E86">
        <v>0</v>
      </c>
    </row>
    <row r="87" spans="1:5" x14ac:dyDescent="0.2">
      <c r="A87" t="s">
        <v>1232</v>
      </c>
      <c r="B87" t="s">
        <v>1446</v>
      </c>
      <c r="C87">
        <v>0</v>
      </c>
      <c r="D87">
        <v>0</v>
      </c>
      <c r="E87">
        <v>0</v>
      </c>
    </row>
    <row r="88" spans="1:5" x14ac:dyDescent="0.2">
      <c r="A88" t="s">
        <v>1233</v>
      </c>
      <c r="B88" t="s">
        <v>1446</v>
      </c>
      <c r="C88">
        <v>0</v>
      </c>
      <c r="D88">
        <v>0</v>
      </c>
      <c r="E88">
        <v>0</v>
      </c>
    </row>
    <row r="89" spans="1:5" x14ac:dyDescent="0.2">
      <c r="A89" t="s">
        <v>1234</v>
      </c>
      <c r="B89" t="s">
        <v>1446</v>
      </c>
      <c r="C89">
        <v>0</v>
      </c>
      <c r="D89">
        <v>0</v>
      </c>
      <c r="E89">
        <v>0</v>
      </c>
    </row>
    <row r="90" spans="1:5" x14ac:dyDescent="0.2">
      <c r="A90" t="s">
        <v>1235</v>
      </c>
      <c r="B90" t="s">
        <v>1446</v>
      </c>
      <c r="C90">
        <v>0</v>
      </c>
      <c r="D90">
        <v>0</v>
      </c>
      <c r="E90">
        <v>0</v>
      </c>
    </row>
    <row r="91" spans="1:5" x14ac:dyDescent="0.2">
      <c r="A91" t="s">
        <v>1236</v>
      </c>
      <c r="B91" t="s">
        <v>1446</v>
      </c>
      <c r="C91">
        <v>0</v>
      </c>
      <c r="D91">
        <v>0</v>
      </c>
      <c r="E91">
        <v>0</v>
      </c>
    </row>
    <row r="92" spans="1:5" x14ac:dyDescent="0.2">
      <c r="A92" t="s">
        <v>1237</v>
      </c>
      <c r="B92" t="s">
        <v>1446</v>
      </c>
      <c r="C92">
        <v>0</v>
      </c>
      <c r="D92">
        <v>0</v>
      </c>
      <c r="E92">
        <v>0</v>
      </c>
    </row>
    <row r="93" spans="1:5" x14ac:dyDescent="0.2">
      <c r="A93" t="s">
        <v>1238</v>
      </c>
      <c r="B93" t="s">
        <v>1446</v>
      </c>
      <c r="C93">
        <v>0</v>
      </c>
      <c r="D93">
        <v>0</v>
      </c>
      <c r="E93">
        <v>0</v>
      </c>
    </row>
    <row r="94" spans="1:5" x14ac:dyDescent="0.2">
      <c r="A94" t="s">
        <v>1239</v>
      </c>
      <c r="B94" t="s">
        <v>1446</v>
      </c>
      <c r="C94">
        <v>0</v>
      </c>
      <c r="D94">
        <v>0</v>
      </c>
      <c r="E94">
        <v>0</v>
      </c>
    </row>
    <row r="95" spans="1:5" x14ac:dyDescent="0.2">
      <c r="A95" t="s">
        <v>1240</v>
      </c>
      <c r="B95" t="s">
        <v>1446</v>
      </c>
      <c r="C95">
        <v>0</v>
      </c>
      <c r="D95">
        <v>0</v>
      </c>
      <c r="E95">
        <v>0</v>
      </c>
    </row>
    <row r="96" spans="1:5" x14ac:dyDescent="0.2">
      <c r="A96" t="s">
        <v>1241</v>
      </c>
      <c r="B96" t="s">
        <v>1446</v>
      </c>
      <c r="C96">
        <v>0</v>
      </c>
      <c r="D96">
        <v>0</v>
      </c>
      <c r="E96">
        <v>0</v>
      </c>
    </row>
    <row r="97" spans="1:5" x14ac:dyDescent="0.2">
      <c r="A97" t="s">
        <v>1242</v>
      </c>
      <c r="B97" t="s">
        <v>1446</v>
      </c>
      <c r="C97">
        <v>0</v>
      </c>
      <c r="D97">
        <v>0</v>
      </c>
      <c r="E97">
        <v>0</v>
      </c>
    </row>
    <row r="98" spans="1:5" x14ac:dyDescent="0.2">
      <c r="A98" t="s">
        <v>1243</v>
      </c>
      <c r="B98" t="s">
        <v>1446</v>
      </c>
      <c r="C98">
        <v>0</v>
      </c>
      <c r="D98">
        <v>0</v>
      </c>
      <c r="E98">
        <v>0</v>
      </c>
    </row>
    <row r="99" spans="1:5" x14ac:dyDescent="0.2">
      <c r="A99" t="s">
        <v>1244</v>
      </c>
      <c r="B99" t="s">
        <v>1446</v>
      </c>
      <c r="C99">
        <v>0</v>
      </c>
      <c r="D99">
        <v>0</v>
      </c>
      <c r="E99"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idCOffPeak"/>
  <dimension ref="A1:T117"/>
  <sheetViews>
    <sheetView workbookViewId="0">
      <selection activeCell="M46" sqref="M46"/>
    </sheetView>
  </sheetViews>
  <sheetFormatPr defaultRowHeight="12.75" x14ac:dyDescent="0.2"/>
  <cols>
    <col min="1" max="1" width="11.140625" bestFit="1" customWidth="1"/>
    <col min="2" max="2" width="8.5703125" bestFit="1" customWidth="1"/>
    <col min="3" max="3" width="5.7109375" bestFit="1" customWidth="1"/>
    <col min="4" max="4" width="5.140625" bestFit="1" customWidth="1"/>
    <col min="5" max="5" width="7.7109375" bestFit="1" customWidth="1"/>
    <col min="6" max="6" width="6" bestFit="1" customWidth="1"/>
    <col min="7" max="7" width="5.140625" bestFit="1" customWidth="1"/>
    <col min="8" max="9" width="6" bestFit="1" customWidth="1"/>
    <col min="10" max="10" width="10.85546875" bestFit="1" customWidth="1"/>
    <col min="11" max="12" width="8" bestFit="1" customWidth="1"/>
    <col min="13" max="13" width="8.7109375" bestFit="1" customWidth="1"/>
    <col min="14" max="14" width="10.5703125" bestFit="1" customWidth="1"/>
    <col min="15" max="16" width="4.5703125" bestFit="1" customWidth="1"/>
    <col min="17" max="17" width="9.5703125" bestFit="1" customWidth="1"/>
    <col min="18" max="18" width="11.140625" bestFit="1" customWidth="1"/>
  </cols>
  <sheetData>
    <row r="1" spans="1:20" s="1" customFormat="1" x14ac:dyDescent="0.2">
      <c r="A1" s="1" t="s">
        <v>1404</v>
      </c>
      <c r="B1" s="1" t="s">
        <v>1402</v>
      </c>
      <c r="C1" s="1" t="s">
        <v>974</v>
      </c>
      <c r="D1" s="1" t="s">
        <v>980</v>
      </c>
      <c r="E1" s="50" t="s">
        <v>1364</v>
      </c>
      <c r="F1" s="45" t="s">
        <v>1365</v>
      </c>
      <c r="G1" s="1" t="s">
        <v>1366</v>
      </c>
      <c r="H1" s="1" t="s">
        <v>1367</v>
      </c>
      <c r="I1" s="1" t="s">
        <v>1368</v>
      </c>
      <c r="J1" s="1" t="s">
        <v>978</v>
      </c>
      <c r="K1" s="1" t="s">
        <v>1369</v>
      </c>
      <c r="L1" s="1" t="s">
        <v>975</v>
      </c>
      <c r="M1" s="1" t="s">
        <v>979</v>
      </c>
      <c r="N1" s="1" t="s">
        <v>969</v>
      </c>
      <c r="O1" s="1" t="s">
        <v>1444</v>
      </c>
      <c r="P1" s="1" t="s">
        <v>1445</v>
      </c>
      <c r="Q1" s="1" t="s">
        <v>976</v>
      </c>
      <c r="R1" s="1" t="s">
        <v>1510</v>
      </c>
      <c r="T1" s="45">
        <v>43236</v>
      </c>
    </row>
    <row r="2" spans="1:20" x14ac:dyDescent="0.2">
      <c r="A2" t="str">
        <f>B2&amp;"."&amp;D2&amp;"."&amp;C2</f>
        <v>ICE.2018.5</v>
      </c>
      <c r="B2" t="s">
        <v>1403</v>
      </c>
      <c r="C2" t="str">
        <f>TEXT(DATEVALUE("1"&amp;E2),"M")</f>
        <v>5</v>
      </c>
      <c r="D2" t="str">
        <f>TEXT(DATEVALUE("1"&amp;E2),"YYYY")</f>
        <v>2018</v>
      </c>
      <c r="E2" s="51" t="s">
        <v>1370</v>
      </c>
      <c r="J2">
        <v>0.3</v>
      </c>
      <c r="K2">
        <v>-0.05</v>
      </c>
      <c r="L2">
        <v>0</v>
      </c>
      <c r="M2">
        <v>2645</v>
      </c>
      <c r="N2">
        <v>0</v>
      </c>
      <c r="O2">
        <v>0</v>
      </c>
      <c r="P2">
        <v>0</v>
      </c>
      <c r="Q2">
        <v>0</v>
      </c>
      <c r="R2">
        <v>0</v>
      </c>
    </row>
    <row r="3" spans="1:20" x14ac:dyDescent="0.2">
      <c r="A3" t="str">
        <f t="shared" ref="A3:A66" si="0">B3&amp;"."&amp;D3&amp;"."&amp;C3</f>
        <v>ICE.2018.6</v>
      </c>
      <c r="B3" t="s">
        <v>1403</v>
      </c>
      <c r="C3" t="str">
        <f t="shared" ref="C3:C66" si="1">TEXT(DATEVALUE("1"&amp;E3),"M")</f>
        <v>6</v>
      </c>
      <c r="D3" t="str">
        <f t="shared" ref="D3:D66" si="2">TEXT(DATEVALUE("1"&amp;E3),"YYYY")</f>
        <v>2018</v>
      </c>
      <c r="E3" s="51" t="s">
        <v>1371</v>
      </c>
      <c r="F3">
        <v>4.25</v>
      </c>
      <c r="G3">
        <v>4.3499999999999996</v>
      </c>
      <c r="H3">
        <v>4.25</v>
      </c>
      <c r="I3">
        <v>4.25</v>
      </c>
      <c r="J3">
        <v>4.25</v>
      </c>
      <c r="K3">
        <v>0</v>
      </c>
      <c r="L3">
        <v>75</v>
      </c>
      <c r="M3">
        <v>2570</v>
      </c>
      <c r="N3">
        <v>0</v>
      </c>
      <c r="O3">
        <v>0</v>
      </c>
      <c r="P3">
        <v>0</v>
      </c>
      <c r="Q3">
        <v>0</v>
      </c>
      <c r="R3">
        <v>0</v>
      </c>
    </row>
    <row r="4" spans="1:20" x14ac:dyDescent="0.2">
      <c r="A4" t="str">
        <f t="shared" si="0"/>
        <v>ICE.2018.7</v>
      </c>
      <c r="B4" t="s">
        <v>1403</v>
      </c>
      <c r="C4" t="str">
        <f t="shared" si="1"/>
        <v>7</v>
      </c>
      <c r="D4" t="str">
        <f t="shared" si="2"/>
        <v>2018</v>
      </c>
      <c r="E4" s="51" t="s">
        <v>1372</v>
      </c>
      <c r="F4">
        <v>16.25</v>
      </c>
      <c r="G4">
        <v>17</v>
      </c>
      <c r="H4">
        <v>16.25</v>
      </c>
      <c r="I4">
        <v>17</v>
      </c>
      <c r="J4">
        <v>16.75</v>
      </c>
      <c r="K4">
        <v>0.25</v>
      </c>
      <c r="L4">
        <v>200</v>
      </c>
      <c r="M4">
        <v>1975</v>
      </c>
      <c r="N4">
        <v>-25</v>
      </c>
      <c r="O4">
        <v>0</v>
      </c>
      <c r="P4">
        <v>0</v>
      </c>
      <c r="Q4">
        <v>75</v>
      </c>
      <c r="R4">
        <v>0</v>
      </c>
    </row>
    <row r="5" spans="1:20" x14ac:dyDescent="0.2">
      <c r="A5" t="str">
        <f t="shared" si="0"/>
        <v>ICE.2018.8</v>
      </c>
      <c r="B5" t="s">
        <v>1403</v>
      </c>
      <c r="C5" t="str">
        <f t="shared" si="1"/>
        <v>8</v>
      </c>
      <c r="D5" t="str">
        <f t="shared" si="2"/>
        <v>2018</v>
      </c>
      <c r="E5" s="51" t="s">
        <v>1373</v>
      </c>
      <c r="J5">
        <v>21.3</v>
      </c>
      <c r="K5">
        <v>-0.4</v>
      </c>
      <c r="L5">
        <v>0</v>
      </c>
      <c r="M5">
        <v>1655</v>
      </c>
      <c r="N5">
        <v>0</v>
      </c>
      <c r="O5">
        <v>0</v>
      </c>
      <c r="P5">
        <v>0</v>
      </c>
      <c r="Q5">
        <v>0</v>
      </c>
      <c r="R5">
        <v>0</v>
      </c>
    </row>
    <row r="6" spans="1:20" x14ac:dyDescent="0.2">
      <c r="A6" t="str">
        <f t="shared" si="0"/>
        <v>ICE.2018.9</v>
      </c>
      <c r="B6" t="s">
        <v>1403</v>
      </c>
      <c r="C6" t="str">
        <f t="shared" si="1"/>
        <v>9</v>
      </c>
      <c r="D6" t="str">
        <f t="shared" si="2"/>
        <v>2018</v>
      </c>
      <c r="E6" s="51" t="s">
        <v>1374</v>
      </c>
      <c r="J6">
        <v>21.3</v>
      </c>
      <c r="K6">
        <v>0</v>
      </c>
      <c r="L6">
        <v>0</v>
      </c>
      <c r="M6">
        <v>1705</v>
      </c>
      <c r="N6">
        <v>0</v>
      </c>
      <c r="O6">
        <v>0</v>
      </c>
      <c r="P6">
        <v>0</v>
      </c>
      <c r="Q6">
        <v>0</v>
      </c>
      <c r="R6">
        <v>0</v>
      </c>
    </row>
    <row r="7" spans="1:20" x14ac:dyDescent="0.2">
      <c r="A7" t="str">
        <f t="shared" si="0"/>
        <v>ICE.2018.10</v>
      </c>
      <c r="B7" t="s">
        <v>1403</v>
      </c>
      <c r="C7" t="str">
        <f t="shared" si="1"/>
        <v>10</v>
      </c>
      <c r="D7" t="str">
        <f t="shared" si="2"/>
        <v>2018</v>
      </c>
      <c r="E7" s="51" t="s">
        <v>1375</v>
      </c>
      <c r="J7">
        <v>18.7</v>
      </c>
      <c r="K7">
        <v>-0.4</v>
      </c>
      <c r="L7">
        <v>0</v>
      </c>
      <c r="M7">
        <v>1065</v>
      </c>
      <c r="N7">
        <v>0</v>
      </c>
      <c r="O7">
        <v>0</v>
      </c>
      <c r="P7">
        <v>0</v>
      </c>
      <c r="Q7">
        <v>0</v>
      </c>
      <c r="R7">
        <v>0</v>
      </c>
    </row>
    <row r="8" spans="1:20" x14ac:dyDescent="0.2">
      <c r="A8" t="str">
        <f t="shared" si="0"/>
        <v>ICE.2018.11</v>
      </c>
      <c r="B8" t="s">
        <v>1403</v>
      </c>
      <c r="C8" t="str">
        <f t="shared" si="1"/>
        <v>11</v>
      </c>
      <c r="D8" t="str">
        <f t="shared" si="2"/>
        <v>2018</v>
      </c>
      <c r="E8" s="51" t="s">
        <v>1376</v>
      </c>
      <c r="J8">
        <v>19.600000000000001</v>
      </c>
      <c r="K8">
        <v>-0.15</v>
      </c>
      <c r="L8">
        <v>0</v>
      </c>
      <c r="M8">
        <v>1065</v>
      </c>
      <c r="N8">
        <v>0</v>
      </c>
      <c r="O8">
        <v>0</v>
      </c>
      <c r="P8">
        <v>0</v>
      </c>
      <c r="Q8">
        <v>0</v>
      </c>
      <c r="R8">
        <v>0</v>
      </c>
    </row>
    <row r="9" spans="1:20" x14ac:dyDescent="0.2">
      <c r="A9" t="str">
        <f t="shared" si="0"/>
        <v>ICE.2018.12</v>
      </c>
      <c r="B9" t="s">
        <v>1403</v>
      </c>
      <c r="C9" t="str">
        <f t="shared" si="1"/>
        <v>12</v>
      </c>
      <c r="D9" t="str">
        <f t="shared" si="2"/>
        <v>2018</v>
      </c>
      <c r="E9" s="51" t="s">
        <v>1377</v>
      </c>
      <c r="J9">
        <v>22.25</v>
      </c>
      <c r="K9">
        <v>-0.2</v>
      </c>
      <c r="L9">
        <v>0</v>
      </c>
      <c r="M9">
        <v>1140</v>
      </c>
      <c r="N9">
        <v>0</v>
      </c>
      <c r="O9">
        <v>0</v>
      </c>
      <c r="P9">
        <v>0</v>
      </c>
      <c r="Q9">
        <v>0</v>
      </c>
      <c r="R9">
        <v>0</v>
      </c>
    </row>
    <row r="10" spans="1:20" x14ac:dyDescent="0.2">
      <c r="A10" t="str">
        <f t="shared" si="0"/>
        <v>ICE.2019.1</v>
      </c>
      <c r="B10" t="s">
        <v>1403</v>
      </c>
      <c r="C10" t="str">
        <f t="shared" si="1"/>
        <v>1</v>
      </c>
      <c r="D10" t="str">
        <f t="shared" si="2"/>
        <v>2019</v>
      </c>
      <c r="E10" s="51" t="s">
        <v>1378</v>
      </c>
      <c r="J10">
        <v>21.75</v>
      </c>
      <c r="K10">
        <v>-0.05</v>
      </c>
      <c r="L10">
        <v>0</v>
      </c>
      <c r="M10">
        <v>481</v>
      </c>
      <c r="N10">
        <v>0</v>
      </c>
      <c r="O10">
        <v>0</v>
      </c>
      <c r="P10">
        <v>0</v>
      </c>
      <c r="Q10">
        <v>0</v>
      </c>
      <c r="R10">
        <v>0</v>
      </c>
    </row>
    <row r="11" spans="1:20" x14ac:dyDescent="0.2">
      <c r="A11" t="str">
        <f t="shared" si="0"/>
        <v>ICE.2019.2</v>
      </c>
      <c r="B11" t="s">
        <v>1403</v>
      </c>
      <c r="C11" t="str">
        <f t="shared" si="1"/>
        <v>2</v>
      </c>
      <c r="D11" t="str">
        <f t="shared" si="2"/>
        <v>2019</v>
      </c>
      <c r="E11" s="51" t="s">
        <v>1379</v>
      </c>
      <c r="J11">
        <v>21.3</v>
      </c>
      <c r="K11">
        <v>-0.05</v>
      </c>
      <c r="L11">
        <v>0</v>
      </c>
      <c r="M11">
        <v>481</v>
      </c>
      <c r="N11">
        <v>0</v>
      </c>
      <c r="O11">
        <v>0</v>
      </c>
      <c r="P11">
        <v>0</v>
      </c>
      <c r="Q11">
        <v>0</v>
      </c>
      <c r="R11">
        <v>0</v>
      </c>
    </row>
    <row r="12" spans="1:20" x14ac:dyDescent="0.2">
      <c r="A12" t="str">
        <f t="shared" si="0"/>
        <v>ICE.2019.3</v>
      </c>
      <c r="B12" t="s">
        <v>1403</v>
      </c>
      <c r="C12" t="str">
        <f t="shared" si="1"/>
        <v>3</v>
      </c>
      <c r="D12" t="str">
        <f t="shared" si="2"/>
        <v>2019</v>
      </c>
      <c r="E12" s="51" t="s">
        <v>1380</v>
      </c>
      <c r="J12">
        <v>17.149999999999999</v>
      </c>
      <c r="K12">
        <v>0</v>
      </c>
      <c r="L12">
        <v>0</v>
      </c>
      <c r="M12">
        <v>481</v>
      </c>
      <c r="N12">
        <v>0</v>
      </c>
      <c r="O12">
        <v>0</v>
      </c>
      <c r="P12">
        <v>0</v>
      </c>
      <c r="Q12">
        <v>0</v>
      </c>
      <c r="R12">
        <v>0</v>
      </c>
    </row>
    <row r="13" spans="1:20" x14ac:dyDescent="0.2">
      <c r="A13" t="str">
        <f t="shared" si="0"/>
        <v>ICE.2019.4</v>
      </c>
      <c r="B13" t="s">
        <v>1403</v>
      </c>
      <c r="C13" t="str">
        <f t="shared" si="1"/>
        <v>4</v>
      </c>
      <c r="D13" t="str">
        <f t="shared" si="2"/>
        <v>2019</v>
      </c>
      <c r="E13" s="51" t="s">
        <v>1381</v>
      </c>
      <c r="J13">
        <v>7.85</v>
      </c>
      <c r="K13">
        <v>0</v>
      </c>
      <c r="L13">
        <v>0</v>
      </c>
      <c r="M13">
        <v>656</v>
      </c>
      <c r="N13">
        <v>0</v>
      </c>
      <c r="O13">
        <v>0</v>
      </c>
      <c r="P13">
        <v>0</v>
      </c>
      <c r="Q13">
        <v>0</v>
      </c>
      <c r="R13">
        <v>0</v>
      </c>
    </row>
    <row r="14" spans="1:20" x14ac:dyDescent="0.2">
      <c r="A14" t="str">
        <f t="shared" si="0"/>
        <v>ICE.2019.5</v>
      </c>
      <c r="B14" t="s">
        <v>1403</v>
      </c>
      <c r="C14" t="str">
        <f t="shared" si="1"/>
        <v>5</v>
      </c>
      <c r="D14" t="str">
        <f t="shared" si="2"/>
        <v>2019</v>
      </c>
      <c r="E14" s="51" t="s">
        <v>1382</v>
      </c>
      <c r="J14">
        <v>6.25</v>
      </c>
      <c r="K14">
        <v>-0.05</v>
      </c>
      <c r="L14">
        <v>0</v>
      </c>
      <c r="M14">
        <v>656</v>
      </c>
      <c r="N14">
        <v>0</v>
      </c>
      <c r="O14">
        <v>0</v>
      </c>
      <c r="P14">
        <v>0</v>
      </c>
      <c r="Q14">
        <v>0</v>
      </c>
      <c r="R14">
        <v>0</v>
      </c>
    </row>
    <row r="15" spans="1:20" x14ac:dyDescent="0.2">
      <c r="A15" t="str">
        <f t="shared" si="0"/>
        <v>ICE.2019.6</v>
      </c>
      <c r="B15" t="s">
        <v>1403</v>
      </c>
      <c r="C15" t="str">
        <f t="shared" si="1"/>
        <v>6</v>
      </c>
      <c r="D15" t="str">
        <f t="shared" si="2"/>
        <v>2019</v>
      </c>
      <c r="E15" s="51" t="s">
        <v>1383</v>
      </c>
      <c r="J15">
        <v>8.4499999999999993</v>
      </c>
      <c r="K15">
        <v>0</v>
      </c>
      <c r="L15">
        <v>0</v>
      </c>
      <c r="M15">
        <v>656</v>
      </c>
      <c r="N15">
        <v>0</v>
      </c>
      <c r="O15">
        <v>0</v>
      </c>
      <c r="P15">
        <v>0</v>
      </c>
      <c r="Q15">
        <v>0</v>
      </c>
      <c r="R15">
        <v>0</v>
      </c>
    </row>
    <row r="16" spans="1:20" x14ac:dyDescent="0.2">
      <c r="A16" t="str">
        <f t="shared" si="0"/>
        <v>ICE.2019.7</v>
      </c>
      <c r="B16" t="s">
        <v>1403</v>
      </c>
      <c r="C16" t="str">
        <f t="shared" si="1"/>
        <v>7</v>
      </c>
      <c r="D16" t="str">
        <f t="shared" si="2"/>
        <v>2019</v>
      </c>
      <c r="E16" s="51" t="s">
        <v>1384</v>
      </c>
      <c r="J16">
        <v>16.45</v>
      </c>
      <c r="K16">
        <v>0.3</v>
      </c>
      <c r="L16">
        <v>0</v>
      </c>
      <c r="M16">
        <v>406</v>
      </c>
      <c r="N16">
        <v>0</v>
      </c>
      <c r="O16">
        <v>0</v>
      </c>
      <c r="P16">
        <v>0</v>
      </c>
      <c r="Q16">
        <v>0</v>
      </c>
      <c r="R16">
        <v>0</v>
      </c>
    </row>
    <row r="17" spans="1:18" x14ac:dyDescent="0.2">
      <c r="A17" t="str">
        <f t="shared" si="0"/>
        <v>ICE.2019.8</v>
      </c>
      <c r="B17" t="s">
        <v>1403</v>
      </c>
      <c r="C17" t="str">
        <f t="shared" si="1"/>
        <v>8</v>
      </c>
      <c r="D17" t="str">
        <f t="shared" si="2"/>
        <v>2019</v>
      </c>
      <c r="E17" s="51" t="s">
        <v>1385</v>
      </c>
      <c r="J17">
        <v>20.2</v>
      </c>
      <c r="K17">
        <v>0.3</v>
      </c>
      <c r="L17">
        <v>0</v>
      </c>
      <c r="M17">
        <v>406</v>
      </c>
      <c r="N17">
        <v>0</v>
      </c>
      <c r="O17">
        <v>0</v>
      </c>
      <c r="P17">
        <v>0</v>
      </c>
      <c r="Q17">
        <v>0</v>
      </c>
      <c r="R17">
        <v>0</v>
      </c>
    </row>
    <row r="18" spans="1:18" x14ac:dyDescent="0.2">
      <c r="A18" t="str">
        <f t="shared" si="0"/>
        <v>ICE.2019.9</v>
      </c>
      <c r="B18" t="s">
        <v>1403</v>
      </c>
      <c r="C18" t="str">
        <f t="shared" si="1"/>
        <v>9</v>
      </c>
      <c r="D18" t="str">
        <f t="shared" si="2"/>
        <v>2019</v>
      </c>
      <c r="E18" s="51" t="s">
        <v>1386</v>
      </c>
      <c r="J18">
        <v>20.3</v>
      </c>
      <c r="K18">
        <v>0.3</v>
      </c>
      <c r="L18">
        <v>0</v>
      </c>
      <c r="M18">
        <v>406</v>
      </c>
      <c r="N18">
        <v>0</v>
      </c>
      <c r="O18">
        <v>0</v>
      </c>
      <c r="P18">
        <v>0</v>
      </c>
      <c r="Q18">
        <v>0</v>
      </c>
      <c r="R18">
        <v>0</v>
      </c>
    </row>
    <row r="19" spans="1:18" x14ac:dyDescent="0.2">
      <c r="A19" t="str">
        <f t="shared" si="0"/>
        <v>ICE.2019.10</v>
      </c>
      <c r="B19" t="s">
        <v>1403</v>
      </c>
      <c r="C19" t="str">
        <f t="shared" si="1"/>
        <v>10</v>
      </c>
      <c r="D19" t="str">
        <f t="shared" si="2"/>
        <v>2019</v>
      </c>
      <c r="E19" s="51" t="s">
        <v>1387</v>
      </c>
      <c r="J19">
        <v>18.05</v>
      </c>
      <c r="K19">
        <v>0.2</v>
      </c>
      <c r="L19">
        <v>0</v>
      </c>
      <c r="M19">
        <v>504</v>
      </c>
      <c r="N19">
        <v>0</v>
      </c>
      <c r="O19">
        <v>0</v>
      </c>
      <c r="P19">
        <v>0</v>
      </c>
      <c r="Q19">
        <v>0</v>
      </c>
      <c r="R19">
        <v>0</v>
      </c>
    </row>
    <row r="20" spans="1:18" x14ac:dyDescent="0.2">
      <c r="A20" t="str">
        <f t="shared" si="0"/>
        <v>ICE.2019.11</v>
      </c>
      <c r="B20" t="s">
        <v>1403</v>
      </c>
      <c r="C20" t="str">
        <f t="shared" si="1"/>
        <v>11</v>
      </c>
      <c r="D20" t="str">
        <f t="shared" si="2"/>
        <v>2019</v>
      </c>
      <c r="E20" s="51" t="s">
        <v>1388</v>
      </c>
      <c r="J20">
        <v>20</v>
      </c>
      <c r="K20">
        <v>0.2</v>
      </c>
      <c r="L20">
        <v>0</v>
      </c>
      <c r="M20">
        <v>504</v>
      </c>
      <c r="N20">
        <v>0</v>
      </c>
      <c r="O20">
        <v>0</v>
      </c>
      <c r="P20">
        <v>0</v>
      </c>
      <c r="Q20">
        <v>0</v>
      </c>
      <c r="R20">
        <v>0</v>
      </c>
    </row>
    <row r="21" spans="1:18" x14ac:dyDescent="0.2">
      <c r="A21" t="str">
        <f t="shared" si="0"/>
        <v>ICE.2019.12</v>
      </c>
      <c r="B21" t="s">
        <v>1403</v>
      </c>
      <c r="C21" t="str">
        <f t="shared" si="1"/>
        <v>12</v>
      </c>
      <c r="D21" t="str">
        <f t="shared" si="2"/>
        <v>2019</v>
      </c>
      <c r="E21" s="51" t="s">
        <v>1389</v>
      </c>
      <c r="J21">
        <v>22.5</v>
      </c>
      <c r="K21">
        <v>0.2</v>
      </c>
      <c r="L21">
        <v>0</v>
      </c>
      <c r="M21">
        <v>504</v>
      </c>
      <c r="N21">
        <v>0</v>
      </c>
      <c r="O21">
        <v>0</v>
      </c>
      <c r="P21">
        <v>0</v>
      </c>
      <c r="Q21">
        <v>0</v>
      </c>
      <c r="R21">
        <v>0</v>
      </c>
    </row>
    <row r="22" spans="1:18" x14ac:dyDescent="0.2">
      <c r="A22" t="str">
        <f t="shared" si="0"/>
        <v>ICE.2020.1</v>
      </c>
      <c r="B22" t="s">
        <v>1403</v>
      </c>
      <c r="C22" t="str">
        <f t="shared" si="1"/>
        <v>1</v>
      </c>
      <c r="D22" t="str">
        <f t="shared" si="2"/>
        <v>2020</v>
      </c>
      <c r="E22" s="51" t="s">
        <v>1390</v>
      </c>
      <c r="J22">
        <v>24.95</v>
      </c>
      <c r="K22">
        <v>0.15</v>
      </c>
      <c r="L22">
        <v>0</v>
      </c>
      <c r="M22">
        <v>270</v>
      </c>
      <c r="N22">
        <v>0</v>
      </c>
      <c r="O22">
        <v>0</v>
      </c>
      <c r="P22">
        <v>0</v>
      </c>
      <c r="Q22">
        <v>0</v>
      </c>
      <c r="R22">
        <v>0</v>
      </c>
    </row>
    <row r="23" spans="1:18" x14ac:dyDescent="0.2">
      <c r="A23" t="str">
        <f t="shared" si="0"/>
        <v>ICE.2020.2</v>
      </c>
      <c r="B23" t="s">
        <v>1403</v>
      </c>
      <c r="C23" t="str">
        <f t="shared" si="1"/>
        <v>2</v>
      </c>
      <c r="D23" t="str">
        <f t="shared" si="2"/>
        <v>2020</v>
      </c>
      <c r="E23" s="51" t="s">
        <v>1391</v>
      </c>
      <c r="J23">
        <v>22.4</v>
      </c>
      <c r="K23">
        <v>0.1</v>
      </c>
      <c r="L23">
        <v>0</v>
      </c>
      <c r="M23">
        <v>270</v>
      </c>
      <c r="N23">
        <v>0</v>
      </c>
      <c r="O23">
        <v>0</v>
      </c>
      <c r="P23">
        <v>0</v>
      </c>
      <c r="Q23">
        <v>0</v>
      </c>
      <c r="R23">
        <v>0</v>
      </c>
    </row>
    <row r="24" spans="1:18" x14ac:dyDescent="0.2">
      <c r="A24" t="str">
        <f t="shared" si="0"/>
        <v>ICE.2020.3</v>
      </c>
      <c r="B24" t="s">
        <v>1403</v>
      </c>
      <c r="C24" t="str">
        <f t="shared" si="1"/>
        <v>3</v>
      </c>
      <c r="D24" t="str">
        <f t="shared" si="2"/>
        <v>2020</v>
      </c>
      <c r="E24" s="51" t="s">
        <v>1392</v>
      </c>
      <c r="J24">
        <v>18.75</v>
      </c>
      <c r="K24">
        <v>0.1</v>
      </c>
      <c r="L24">
        <v>0</v>
      </c>
      <c r="M24">
        <v>270</v>
      </c>
      <c r="N24">
        <v>0</v>
      </c>
      <c r="O24">
        <v>0</v>
      </c>
      <c r="P24">
        <v>0</v>
      </c>
      <c r="Q24">
        <v>0</v>
      </c>
      <c r="R24">
        <v>0</v>
      </c>
    </row>
    <row r="25" spans="1:18" x14ac:dyDescent="0.2">
      <c r="A25" t="str">
        <f t="shared" si="0"/>
        <v>ICE.2020.4</v>
      </c>
      <c r="B25" t="s">
        <v>1403</v>
      </c>
      <c r="C25" t="str">
        <f t="shared" si="1"/>
        <v>4</v>
      </c>
      <c r="D25" t="str">
        <f t="shared" si="2"/>
        <v>2020</v>
      </c>
      <c r="E25" s="51" t="s">
        <v>1393</v>
      </c>
      <c r="J25">
        <v>14.7</v>
      </c>
      <c r="K25">
        <v>0.1</v>
      </c>
      <c r="L25">
        <v>0</v>
      </c>
      <c r="M25">
        <v>270</v>
      </c>
      <c r="N25">
        <v>0</v>
      </c>
      <c r="O25">
        <v>0</v>
      </c>
      <c r="P25">
        <v>0</v>
      </c>
      <c r="Q25">
        <v>0</v>
      </c>
      <c r="R25">
        <v>0</v>
      </c>
    </row>
    <row r="26" spans="1:18" x14ac:dyDescent="0.2">
      <c r="A26" t="str">
        <f t="shared" si="0"/>
        <v>ICE.2020.5</v>
      </c>
      <c r="B26" t="s">
        <v>1403</v>
      </c>
      <c r="C26" t="str">
        <f t="shared" si="1"/>
        <v>5</v>
      </c>
      <c r="D26" t="str">
        <f t="shared" si="2"/>
        <v>2020</v>
      </c>
      <c r="E26" s="51" t="s">
        <v>1394</v>
      </c>
      <c r="J26">
        <v>11.95</v>
      </c>
      <c r="K26">
        <v>0.1</v>
      </c>
      <c r="L26">
        <v>0</v>
      </c>
      <c r="M26">
        <v>270</v>
      </c>
      <c r="N26">
        <v>0</v>
      </c>
      <c r="O26">
        <v>0</v>
      </c>
      <c r="P26">
        <v>0</v>
      </c>
      <c r="Q26">
        <v>0</v>
      </c>
      <c r="R26">
        <v>0</v>
      </c>
    </row>
    <row r="27" spans="1:18" x14ac:dyDescent="0.2">
      <c r="A27" t="str">
        <f t="shared" si="0"/>
        <v>ICE.2020.6</v>
      </c>
      <c r="B27" t="s">
        <v>1403</v>
      </c>
      <c r="C27" t="str">
        <f t="shared" si="1"/>
        <v>6</v>
      </c>
      <c r="D27" t="str">
        <f t="shared" si="2"/>
        <v>2020</v>
      </c>
      <c r="E27" s="51" t="s">
        <v>1395</v>
      </c>
      <c r="J27">
        <v>10.5</v>
      </c>
      <c r="K27">
        <v>0.1</v>
      </c>
      <c r="L27">
        <v>0</v>
      </c>
      <c r="M27">
        <v>270</v>
      </c>
      <c r="N27">
        <v>0</v>
      </c>
      <c r="O27">
        <v>0</v>
      </c>
      <c r="P27">
        <v>0</v>
      </c>
      <c r="Q27">
        <v>0</v>
      </c>
      <c r="R27">
        <v>0</v>
      </c>
    </row>
    <row r="28" spans="1:18" x14ac:dyDescent="0.2">
      <c r="A28" t="str">
        <f t="shared" si="0"/>
        <v>ICE.2020.7</v>
      </c>
      <c r="B28" t="s">
        <v>1403</v>
      </c>
      <c r="C28" t="str">
        <f t="shared" si="1"/>
        <v>7</v>
      </c>
      <c r="D28" t="str">
        <f t="shared" si="2"/>
        <v>2020</v>
      </c>
      <c r="E28" s="51" t="s">
        <v>1396</v>
      </c>
      <c r="J28">
        <v>16.75</v>
      </c>
      <c r="K28">
        <v>0.1</v>
      </c>
      <c r="L28">
        <v>0</v>
      </c>
      <c r="M28">
        <v>270</v>
      </c>
      <c r="N28">
        <v>0</v>
      </c>
      <c r="O28">
        <v>0</v>
      </c>
      <c r="P28">
        <v>0</v>
      </c>
      <c r="Q28">
        <v>0</v>
      </c>
      <c r="R28">
        <v>0</v>
      </c>
    </row>
    <row r="29" spans="1:18" x14ac:dyDescent="0.2">
      <c r="A29" t="str">
        <f t="shared" si="0"/>
        <v>ICE.2020.8</v>
      </c>
      <c r="B29" t="s">
        <v>1403</v>
      </c>
      <c r="C29" t="str">
        <f t="shared" si="1"/>
        <v>8</v>
      </c>
      <c r="D29" t="str">
        <f t="shared" si="2"/>
        <v>2020</v>
      </c>
      <c r="E29" s="51" t="s">
        <v>1397</v>
      </c>
      <c r="J29">
        <v>21.05</v>
      </c>
      <c r="K29">
        <v>0.15</v>
      </c>
      <c r="L29">
        <v>0</v>
      </c>
      <c r="M29">
        <v>270</v>
      </c>
      <c r="N29">
        <v>0</v>
      </c>
      <c r="O29">
        <v>0</v>
      </c>
      <c r="P29">
        <v>0</v>
      </c>
      <c r="Q29">
        <v>0</v>
      </c>
      <c r="R29">
        <v>0</v>
      </c>
    </row>
    <row r="30" spans="1:18" x14ac:dyDescent="0.2">
      <c r="A30" t="str">
        <f t="shared" si="0"/>
        <v>ICE.2020.9</v>
      </c>
      <c r="B30" t="s">
        <v>1403</v>
      </c>
      <c r="C30" t="str">
        <f t="shared" si="1"/>
        <v>9</v>
      </c>
      <c r="D30" t="str">
        <f t="shared" si="2"/>
        <v>2020</v>
      </c>
      <c r="E30" s="51" t="s">
        <v>1398</v>
      </c>
      <c r="J30">
        <v>21.25</v>
      </c>
      <c r="K30">
        <v>0.1</v>
      </c>
      <c r="L30">
        <v>0</v>
      </c>
      <c r="M30">
        <v>270</v>
      </c>
      <c r="N30">
        <v>0</v>
      </c>
      <c r="O30">
        <v>0</v>
      </c>
      <c r="P30">
        <v>0</v>
      </c>
      <c r="Q30">
        <v>0</v>
      </c>
      <c r="R30">
        <v>0</v>
      </c>
    </row>
    <row r="31" spans="1:18" x14ac:dyDescent="0.2">
      <c r="A31" t="str">
        <f t="shared" si="0"/>
        <v>ICE.2020.10</v>
      </c>
      <c r="B31" t="s">
        <v>1403</v>
      </c>
      <c r="C31" t="str">
        <f t="shared" si="1"/>
        <v>10</v>
      </c>
      <c r="D31" t="str">
        <f t="shared" si="2"/>
        <v>2020</v>
      </c>
      <c r="E31" s="51" t="s">
        <v>1399</v>
      </c>
      <c r="J31">
        <v>20.6</v>
      </c>
      <c r="K31">
        <v>0.1</v>
      </c>
      <c r="L31">
        <v>0</v>
      </c>
      <c r="M31">
        <v>270</v>
      </c>
      <c r="N31">
        <v>0</v>
      </c>
      <c r="O31">
        <v>0</v>
      </c>
      <c r="P31">
        <v>0</v>
      </c>
      <c r="Q31">
        <v>0</v>
      </c>
      <c r="R31">
        <v>0</v>
      </c>
    </row>
    <row r="32" spans="1:18" x14ac:dyDescent="0.2">
      <c r="A32" t="str">
        <f t="shared" si="0"/>
        <v>ICE.2020.11</v>
      </c>
      <c r="B32" t="s">
        <v>1403</v>
      </c>
      <c r="C32" t="str">
        <f t="shared" si="1"/>
        <v>11</v>
      </c>
      <c r="D32" t="str">
        <f t="shared" si="2"/>
        <v>2020</v>
      </c>
      <c r="E32" s="51" t="s">
        <v>1400</v>
      </c>
      <c r="J32">
        <v>22.65</v>
      </c>
      <c r="K32">
        <v>0.1</v>
      </c>
      <c r="L32">
        <v>0</v>
      </c>
      <c r="M32">
        <v>270</v>
      </c>
      <c r="N32">
        <v>0</v>
      </c>
      <c r="O32">
        <v>0</v>
      </c>
      <c r="P32">
        <v>0</v>
      </c>
      <c r="Q32">
        <v>0</v>
      </c>
      <c r="R32">
        <v>0</v>
      </c>
    </row>
    <row r="33" spans="1:18" x14ac:dyDescent="0.2">
      <c r="A33" t="str">
        <f t="shared" si="0"/>
        <v>ICE.2020.12</v>
      </c>
      <c r="B33" t="s">
        <v>1403</v>
      </c>
      <c r="C33" t="str">
        <f t="shared" si="1"/>
        <v>12</v>
      </c>
      <c r="D33" t="str">
        <f t="shared" si="2"/>
        <v>2020</v>
      </c>
      <c r="E33" s="51" t="s">
        <v>1401</v>
      </c>
      <c r="J33">
        <v>26.55</v>
      </c>
      <c r="K33">
        <v>0.15</v>
      </c>
      <c r="L33">
        <v>0</v>
      </c>
      <c r="M33">
        <v>270</v>
      </c>
      <c r="N33">
        <v>0</v>
      </c>
      <c r="O33">
        <v>0</v>
      </c>
      <c r="P33">
        <v>0</v>
      </c>
      <c r="Q33">
        <v>0</v>
      </c>
      <c r="R33">
        <v>0</v>
      </c>
    </row>
    <row r="34" spans="1:18" x14ac:dyDescent="0.2">
      <c r="A34" t="str">
        <f t="shared" si="0"/>
        <v>ICE.2021.1</v>
      </c>
      <c r="B34" t="s">
        <v>1403</v>
      </c>
      <c r="C34" t="str">
        <f t="shared" si="1"/>
        <v>1</v>
      </c>
      <c r="D34" t="str">
        <f t="shared" si="2"/>
        <v>2021</v>
      </c>
      <c r="E34" s="51" t="s">
        <v>1405</v>
      </c>
      <c r="J34">
        <v>29.45</v>
      </c>
      <c r="K34">
        <v>0.1</v>
      </c>
      <c r="L34">
        <v>0</v>
      </c>
      <c r="M34">
        <v>25</v>
      </c>
      <c r="N34">
        <v>0</v>
      </c>
      <c r="O34">
        <v>0</v>
      </c>
      <c r="P34">
        <v>0</v>
      </c>
      <c r="Q34">
        <v>0</v>
      </c>
      <c r="R34">
        <v>0</v>
      </c>
    </row>
    <row r="35" spans="1:18" x14ac:dyDescent="0.2">
      <c r="A35" t="str">
        <f t="shared" si="0"/>
        <v>ICE.2021.2</v>
      </c>
      <c r="B35" t="s">
        <v>1403</v>
      </c>
      <c r="C35" t="str">
        <f t="shared" si="1"/>
        <v>2</v>
      </c>
      <c r="D35" t="str">
        <f t="shared" si="2"/>
        <v>2021</v>
      </c>
      <c r="E35" s="51" t="s">
        <v>1406</v>
      </c>
      <c r="J35">
        <v>26.3</v>
      </c>
      <c r="K35">
        <v>0.1</v>
      </c>
      <c r="L35">
        <v>0</v>
      </c>
      <c r="M35">
        <v>25</v>
      </c>
      <c r="N35">
        <v>0</v>
      </c>
      <c r="O35">
        <v>0</v>
      </c>
      <c r="P35">
        <v>0</v>
      </c>
      <c r="Q35">
        <v>0</v>
      </c>
      <c r="R35">
        <v>0</v>
      </c>
    </row>
    <row r="36" spans="1:18" x14ac:dyDescent="0.2">
      <c r="A36" t="str">
        <f t="shared" si="0"/>
        <v>ICE.2021.3</v>
      </c>
      <c r="B36" t="s">
        <v>1403</v>
      </c>
      <c r="C36" t="str">
        <f t="shared" si="1"/>
        <v>3</v>
      </c>
      <c r="D36" t="str">
        <f t="shared" si="2"/>
        <v>2021</v>
      </c>
      <c r="E36" s="51" t="s">
        <v>1407</v>
      </c>
      <c r="J36">
        <v>21.85</v>
      </c>
      <c r="K36">
        <v>0.1</v>
      </c>
      <c r="L36">
        <v>0</v>
      </c>
      <c r="M36">
        <v>25</v>
      </c>
      <c r="N36">
        <v>0</v>
      </c>
      <c r="O36">
        <v>0</v>
      </c>
      <c r="P36">
        <v>0</v>
      </c>
      <c r="Q36">
        <v>0</v>
      </c>
      <c r="R36">
        <v>0</v>
      </c>
    </row>
    <row r="37" spans="1:18" x14ac:dyDescent="0.2">
      <c r="A37" t="str">
        <f t="shared" si="0"/>
        <v>ICE.2021.4</v>
      </c>
      <c r="B37" t="s">
        <v>1403</v>
      </c>
      <c r="C37" t="str">
        <f t="shared" si="1"/>
        <v>4</v>
      </c>
      <c r="D37" t="str">
        <f t="shared" si="2"/>
        <v>2021</v>
      </c>
      <c r="E37" s="51" t="s">
        <v>1408</v>
      </c>
      <c r="J37">
        <v>17.850000000000001</v>
      </c>
      <c r="K37">
        <v>0.1</v>
      </c>
      <c r="L37">
        <v>0</v>
      </c>
      <c r="M37">
        <v>25</v>
      </c>
      <c r="N37">
        <v>0</v>
      </c>
      <c r="O37">
        <v>0</v>
      </c>
      <c r="P37">
        <v>0</v>
      </c>
      <c r="Q37">
        <v>0</v>
      </c>
      <c r="R37">
        <v>0</v>
      </c>
    </row>
    <row r="38" spans="1:18" x14ac:dyDescent="0.2">
      <c r="A38" t="str">
        <f t="shared" si="0"/>
        <v>ICE.2021.5</v>
      </c>
      <c r="B38" t="s">
        <v>1403</v>
      </c>
      <c r="C38" t="str">
        <f t="shared" si="1"/>
        <v>5</v>
      </c>
      <c r="D38" t="str">
        <f t="shared" si="2"/>
        <v>2021</v>
      </c>
      <c r="E38" s="51" t="s">
        <v>1409</v>
      </c>
      <c r="J38">
        <v>14.1</v>
      </c>
      <c r="K38">
        <v>0.05</v>
      </c>
      <c r="L38">
        <v>0</v>
      </c>
      <c r="M38">
        <v>25</v>
      </c>
      <c r="N38">
        <v>0</v>
      </c>
      <c r="O38">
        <v>0</v>
      </c>
      <c r="P38">
        <v>0</v>
      </c>
      <c r="Q38">
        <v>0</v>
      </c>
      <c r="R38">
        <v>0</v>
      </c>
    </row>
    <row r="39" spans="1:18" x14ac:dyDescent="0.2">
      <c r="A39" t="str">
        <f t="shared" si="0"/>
        <v>ICE.2021.6</v>
      </c>
      <c r="B39" t="s">
        <v>1403</v>
      </c>
      <c r="C39" t="str">
        <f t="shared" si="1"/>
        <v>6</v>
      </c>
      <c r="D39" t="str">
        <f t="shared" si="2"/>
        <v>2021</v>
      </c>
      <c r="E39" s="51" t="s">
        <v>1410</v>
      </c>
      <c r="J39">
        <v>12.6</v>
      </c>
      <c r="K39">
        <v>0.05</v>
      </c>
      <c r="L39">
        <v>0</v>
      </c>
      <c r="M39">
        <v>25</v>
      </c>
      <c r="N39">
        <v>0</v>
      </c>
      <c r="O39">
        <v>0</v>
      </c>
      <c r="P39">
        <v>0</v>
      </c>
      <c r="Q39">
        <v>0</v>
      </c>
      <c r="R39">
        <v>0</v>
      </c>
    </row>
    <row r="40" spans="1:18" x14ac:dyDescent="0.2">
      <c r="A40" t="str">
        <f t="shared" si="0"/>
        <v>ICE.2021.7</v>
      </c>
      <c r="B40" t="s">
        <v>1403</v>
      </c>
      <c r="C40" t="str">
        <f t="shared" si="1"/>
        <v>7</v>
      </c>
      <c r="D40" t="str">
        <f t="shared" si="2"/>
        <v>2021</v>
      </c>
      <c r="E40" s="51" t="s">
        <v>1411</v>
      </c>
      <c r="J40">
        <v>19.850000000000001</v>
      </c>
      <c r="K40">
        <v>0.1</v>
      </c>
      <c r="L40">
        <v>0</v>
      </c>
      <c r="M40">
        <v>25</v>
      </c>
      <c r="N40">
        <v>0</v>
      </c>
      <c r="O40">
        <v>0</v>
      </c>
      <c r="P40">
        <v>0</v>
      </c>
      <c r="Q40">
        <v>0</v>
      </c>
      <c r="R40">
        <v>0</v>
      </c>
    </row>
    <row r="41" spans="1:18" x14ac:dyDescent="0.2">
      <c r="A41" t="str">
        <f t="shared" si="0"/>
        <v>ICE.2021.8</v>
      </c>
      <c r="B41" t="s">
        <v>1403</v>
      </c>
      <c r="C41" t="str">
        <f t="shared" si="1"/>
        <v>8</v>
      </c>
      <c r="D41" t="str">
        <f t="shared" si="2"/>
        <v>2021</v>
      </c>
      <c r="E41" s="51" t="s">
        <v>1412</v>
      </c>
      <c r="J41">
        <v>24.5</v>
      </c>
      <c r="K41">
        <v>0.1</v>
      </c>
      <c r="L41">
        <v>0</v>
      </c>
      <c r="M41">
        <v>25</v>
      </c>
      <c r="N41">
        <v>0</v>
      </c>
      <c r="O41">
        <v>0</v>
      </c>
      <c r="P41">
        <v>0</v>
      </c>
      <c r="Q41">
        <v>0</v>
      </c>
      <c r="R41">
        <v>0</v>
      </c>
    </row>
    <row r="42" spans="1:18" x14ac:dyDescent="0.2">
      <c r="A42" t="str">
        <f t="shared" si="0"/>
        <v>ICE.2021.9</v>
      </c>
      <c r="B42" t="s">
        <v>1403</v>
      </c>
      <c r="C42" t="str">
        <f t="shared" si="1"/>
        <v>9</v>
      </c>
      <c r="D42" t="str">
        <f t="shared" si="2"/>
        <v>2021</v>
      </c>
      <c r="E42" s="51" t="s">
        <v>1413</v>
      </c>
      <c r="J42">
        <v>24.7</v>
      </c>
      <c r="K42">
        <v>0.1</v>
      </c>
      <c r="L42">
        <v>0</v>
      </c>
      <c r="M42">
        <v>25</v>
      </c>
      <c r="N42">
        <v>0</v>
      </c>
      <c r="O42">
        <v>0</v>
      </c>
      <c r="P42">
        <v>0</v>
      </c>
      <c r="Q42">
        <v>0</v>
      </c>
      <c r="R42">
        <v>0</v>
      </c>
    </row>
    <row r="43" spans="1:18" x14ac:dyDescent="0.2">
      <c r="A43" t="str">
        <f t="shared" si="0"/>
        <v>ICE.2021.10</v>
      </c>
      <c r="B43" t="s">
        <v>1403</v>
      </c>
      <c r="C43" t="str">
        <f t="shared" si="1"/>
        <v>10</v>
      </c>
      <c r="D43" t="str">
        <f t="shared" si="2"/>
        <v>2021</v>
      </c>
      <c r="E43" s="51" t="s">
        <v>1414</v>
      </c>
      <c r="J43">
        <v>23.9</v>
      </c>
      <c r="K43">
        <v>0.1</v>
      </c>
      <c r="L43">
        <v>0</v>
      </c>
      <c r="M43">
        <v>25</v>
      </c>
      <c r="N43">
        <v>0</v>
      </c>
      <c r="O43">
        <v>0</v>
      </c>
      <c r="P43">
        <v>0</v>
      </c>
      <c r="Q43">
        <v>0</v>
      </c>
      <c r="R43">
        <v>0</v>
      </c>
    </row>
    <row r="44" spans="1:18" x14ac:dyDescent="0.2">
      <c r="A44" t="str">
        <f t="shared" si="0"/>
        <v>ICE.2021.11</v>
      </c>
      <c r="B44" t="s">
        <v>1403</v>
      </c>
      <c r="C44" t="str">
        <f t="shared" si="1"/>
        <v>11</v>
      </c>
      <c r="D44" t="str">
        <f t="shared" si="2"/>
        <v>2021</v>
      </c>
      <c r="E44" s="51" t="s">
        <v>1415</v>
      </c>
      <c r="J44">
        <v>26.25</v>
      </c>
      <c r="K44">
        <v>0.1</v>
      </c>
      <c r="L44">
        <v>0</v>
      </c>
      <c r="M44">
        <v>25</v>
      </c>
      <c r="N44">
        <v>0</v>
      </c>
      <c r="O44">
        <v>0</v>
      </c>
      <c r="P44">
        <v>0</v>
      </c>
      <c r="Q44">
        <v>0</v>
      </c>
      <c r="R44">
        <v>0</v>
      </c>
    </row>
    <row r="45" spans="1:18" x14ac:dyDescent="0.2">
      <c r="A45" t="str">
        <f t="shared" si="0"/>
        <v>ICE.2021.12</v>
      </c>
      <c r="B45" t="s">
        <v>1403</v>
      </c>
      <c r="C45" t="str">
        <f t="shared" si="1"/>
        <v>12</v>
      </c>
      <c r="D45" t="str">
        <f t="shared" si="2"/>
        <v>2021</v>
      </c>
      <c r="E45" s="51" t="s">
        <v>1416</v>
      </c>
      <c r="J45">
        <v>30.65</v>
      </c>
      <c r="K45">
        <v>0.1</v>
      </c>
      <c r="L45">
        <v>0</v>
      </c>
      <c r="M45">
        <v>25</v>
      </c>
      <c r="N45">
        <v>0</v>
      </c>
      <c r="O45">
        <v>0</v>
      </c>
      <c r="P45">
        <v>0</v>
      </c>
      <c r="Q45">
        <v>0</v>
      </c>
      <c r="R45">
        <v>0</v>
      </c>
    </row>
    <row r="46" spans="1:18" x14ac:dyDescent="0.2">
      <c r="A46" t="str">
        <f t="shared" si="0"/>
        <v>ICE.2022.1</v>
      </c>
      <c r="B46" t="s">
        <v>1403</v>
      </c>
      <c r="C46" t="str">
        <f t="shared" si="1"/>
        <v>1</v>
      </c>
      <c r="D46" t="str">
        <f t="shared" si="2"/>
        <v>2022</v>
      </c>
      <c r="E46" s="51" t="s">
        <v>1485</v>
      </c>
      <c r="J46">
        <v>31.3</v>
      </c>
      <c r="K46">
        <v>0.15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</row>
    <row r="47" spans="1:18" x14ac:dyDescent="0.2">
      <c r="A47" t="str">
        <f t="shared" si="0"/>
        <v>ICE.2022.2</v>
      </c>
      <c r="B47" t="s">
        <v>1403</v>
      </c>
      <c r="C47" t="str">
        <f t="shared" si="1"/>
        <v>2</v>
      </c>
      <c r="D47" t="str">
        <f t="shared" si="2"/>
        <v>2022</v>
      </c>
      <c r="E47" s="51" t="s">
        <v>1486</v>
      </c>
      <c r="J47">
        <v>28.1</v>
      </c>
      <c r="K47">
        <v>0.1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</row>
    <row r="48" spans="1:18" x14ac:dyDescent="0.2">
      <c r="A48" t="str">
        <f t="shared" si="0"/>
        <v>ICE.2022.3</v>
      </c>
      <c r="B48" t="s">
        <v>1403</v>
      </c>
      <c r="C48" t="str">
        <f t="shared" si="1"/>
        <v>3</v>
      </c>
      <c r="D48" t="str">
        <f t="shared" si="2"/>
        <v>2022</v>
      </c>
      <c r="E48" s="51" t="s">
        <v>1487</v>
      </c>
      <c r="J48">
        <v>23.3</v>
      </c>
      <c r="K48">
        <v>0.1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</row>
    <row r="49" spans="1:18" x14ac:dyDescent="0.2">
      <c r="A49" t="str">
        <f t="shared" si="0"/>
        <v>ICE.2022.4</v>
      </c>
      <c r="B49" t="s">
        <v>1403</v>
      </c>
      <c r="C49" t="str">
        <f t="shared" si="1"/>
        <v>4</v>
      </c>
      <c r="D49" t="str">
        <f t="shared" si="2"/>
        <v>2022</v>
      </c>
      <c r="E49" s="51" t="s">
        <v>1488</v>
      </c>
      <c r="J49">
        <v>20.05</v>
      </c>
      <c r="K49">
        <v>0.1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</row>
    <row r="50" spans="1:18" x14ac:dyDescent="0.2">
      <c r="A50" t="str">
        <f t="shared" si="0"/>
        <v>ICE.2022.5</v>
      </c>
      <c r="B50" t="s">
        <v>1403</v>
      </c>
      <c r="C50" t="str">
        <f t="shared" si="1"/>
        <v>5</v>
      </c>
      <c r="D50" t="str">
        <f t="shared" si="2"/>
        <v>2022</v>
      </c>
      <c r="E50" s="51" t="s">
        <v>1489</v>
      </c>
      <c r="J50">
        <v>15.85</v>
      </c>
      <c r="K50">
        <v>0.1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</row>
    <row r="51" spans="1:18" x14ac:dyDescent="0.2">
      <c r="A51" t="str">
        <f t="shared" si="0"/>
        <v>ICE.2022.6</v>
      </c>
      <c r="B51" t="s">
        <v>1403</v>
      </c>
      <c r="C51" t="str">
        <f t="shared" si="1"/>
        <v>6</v>
      </c>
      <c r="D51" t="str">
        <f t="shared" si="2"/>
        <v>2022</v>
      </c>
      <c r="E51" s="51" t="s">
        <v>1490</v>
      </c>
      <c r="J51">
        <v>14.5</v>
      </c>
      <c r="K51">
        <v>0.1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</row>
    <row r="52" spans="1:18" x14ac:dyDescent="0.2">
      <c r="A52" t="str">
        <f t="shared" si="0"/>
        <v>ICE.2022.7</v>
      </c>
      <c r="B52" t="s">
        <v>1403</v>
      </c>
      <c r="C52" t="str">
        <f t="shared" si="1"/>
        <v>7</v>
      </c>
      <c r="D52" t="str">
        <f t="shared" si="2"/>
        <v>2022</v>
      </c>
      <c r="E52" s="51" t="s">
        <v>1491</v>
      </c>
      <c r="J52">
        <v>22.15</v>
      </c>
      <c r="K52">
        <v>0.1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</row>
    <row r="53" spans="1:18" x14ac:dyDescent="0.2">
      <c r="A53" t="str">
        <f t="shared" si="0"/>
        <v>ICE.2022.8</v>
      </c>
      <c r="B53" t="s">
        <v>1403</v>
      </c>
      <c r="C53" t="str">
        <f t="shared" si="1"/>
        <v>8</v>
      </c>
      <c r="D53" t="str">
        <f t="shared" si="2"/>
        <v>2022</v>
      </c>
      <c r="E53" s="51" t="s">
        <v>1492</v>
      </c>
      <c r="J53">
        <v>27.35</v>
      </c>
      <c r="K53">
        <v>0.1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</row>
    <row r="54" spans="1:18" x14ac:dyDescent="0.2">
      <c r="A54" t="str">
        <f t="shared" si="0"/>
        <v>ICE.2022.9</v>
      </c>
      <c r="B54" t="s">
        <v>1403</v>
      </c>
      <c r="C54" t="str">
        <f t="shared" si="1"/>
        <v>9</v>
      </c>
      <c r="D54" t="str">
        <f t="shared" si="2"/>
        <v>2022</v>
      </c>
      <c r="E54" s="51" t="s">
        <v>1493</v>
      </c>
      <c r="J54">
        <v>27.2</v>
      </c>
      <c r="K54">
        <v>0.1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</row>
    <row r="55" spans="1:18" x14ac:dyDescent="0.2">
      <c r="A55" t="str">
        <f t="shared" si="0"/>
        <v>ICE.2022.10</v>
      </c>
      <c r="B55" t="s">
        <v>1403</v>
      </c>
      <c r="C55" t="str">
        <f t="shared" si="1"/>
        <v>10</v>
      </c>
      <c r="D55" t="str">
        <f t="shared" si="2"/>
        <v>2022</v>
      </c>
      <c r="E55" s="51" t="s">
        <v>1494</v>
      </c>
      <c r="J55">
        <v>25.3</v>
      </c>
      <c r="K55">
        <v>0.1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</row>
    <row r="56" spans="1:18" x14ac:dyDescent="0.2">
      <c r="A56" t="str">
        <f t="shared" si="0"/>
        <v>ICE.2022.11</v>
      </c>
      <c r="B56" t="s">
        <v>1403</v>
      </c>
      <c r="C56" t="str">
        <f t="shared" si="1"/>
        <v>11</v>
      </c>
      <c r="D56" t="str">
        <f t="shared" si="2"/>
        <v>2022</v>
      </c>
      <c r="E56" s="51" t="s">
        <v>1495</v>
      </c>
      <c r="J56">
        <v>27.9</v>
      </c>
      <c r="K56">
        <v>0.1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</row>
    <row r="57" spans="1:18" x14ac:dyDescent="0.2">
      <c r="A57" t="str">
        <f t="shared" si="0"/>
        <v>ICE.2022.12</v>
      </c>
      <c r="B57" t="s">
        <v>1403</v>
      </c>
      <c r="C57" t="str">
        <f t="shared" si="1"/>
        <v>12</v>
      </c>
      <c r="D57" t="str">
        <f t="shared" si="2"/>
        <v>2022</v>
      </c>
      <c r="E57" s="51" t="s">
        <v>1496</v>
      </c>
      <c r="J57">
        <v>32.6</v>
      </c>
      <c r="K57">
        <v>0.15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</row>
    <row r="58" spans="1:18" x14ac:dyDescent="0.2">
      <c r="A58" t="str">
        <f t="shared" si="0"/>
        <v>ICE.2023.1</v>
      </c>
      <c r="B58" t="s">
        <v>1403</v>
      </c>
      <c r="C58" t="str">
        <f t="shared" si="1"/>
        <v>1</v>
      </c>
      <c r="D58" t="str">
        <f t="shared" si="2"/>
        <v>2023</v>
      </c>
      <c r="E58" s="51" t="s">
        <v>1511</v>
      </c>
      <c r="J58">
        <v>32.450000000000003</v>
      </c>
      <c r="K58">
        <v>0.15</v>
      </c>
      <c r="L58">
        <v>0</v>
      </c>
      <c r="M58">
        <v>25</v>
      </c>
      <c r="N58">
        <v>0</v>
      </c>
      <c r="O58">
        <v>0</v>
      </c>
      <c r="P58">
        <v>0</v>
      </c>
      <c r="Q58">
        <v>0</v>
      </c>
      <c r="R58">
        <v>0</v>
      </c>
    </row>
    <row r="59" spans="1:18" x14ac:dyDescent="0.2">
      <c r="A59" t="str">
        <f t="shared" si="0"/>
        <v>ICE.2023.2</v>
      </c>
      <c r="B59" t="s">
        <v>1403</v>
      </c>
      <c r="C59" t="str">
        <f t="shared" si="1"/>
        <v>2</v>
      </c>
      <c r="D59" t="str">
        <f t="shared" si="2"/>
        <v>2023</v>
      </c>
      <c r="E59" s="51" t="s">
        <v>1512</v>
      </c>
      <c r="J59">
        <v>29.65</v>
      </c>
      <c r="K59">
        <v>0.1</v>
      </c>
      <c r="L59">
        <v>0</v>
      </c>
      <c r="M59">
        <v>25</v>
      </c>
      <c r="N59">
        <v>0</v>
      </c>
      <c r="O59">
        <v>0</v>
      </c>
      <c r="P59">
        <v>0</v>
      </c>
      <c r="Q59">
        <v>0</v>
      </c>
      <c r="R59">
        <v>0</v>
      </c>
    </row>
    <row r="60" spans="1:18" x14ac:dyDescent="0.2">
      <c r="A60" t="str">
        <f t="shared" si="0"/>
        <v>ICE.2023.3</v>
      </c>
      <c r="B60" t="s">
        <v>1403</v>
      </c>
      <c r="C60" t="str">
        <f t="shared" si="1"/>
        <v>3</v>
      </c>
      <c r="D60" t="str">
        <f t="shared" si="2"/>
        <v>2023</v>
      </c>
      <c r="E60" s="51" t="s">
        <v>1513</v>
      </c>
      <c r="J60">
        <v>24.35</v>
      </c>
      <c r="K60">
        <v>0.1</v>
      </c>
      <c r="L60">
        <v>0</v>
      </c>
      <c r="M60">
        <v>25</v>
      </c>
      <c r="N60">
        <v>0</v>
      </c>
      <c r="O60">
        <v>0</v>
      </c>
      <c r="P60">
        <v>0</v>
      </c>
      <c r="Q60">
        <v>0</v>
      </c>
      <c r="R60">
        <v>0</v>
      </c>
    </row>
    <row r="61" spans="1:18" x14ac:dyDescent="0.2">
      <c r="A61" t="str">
        <f t="shared" si="0"/>
        <v>ICE.2023.4</v>
      </c>
      <c r="B61" t="s">
        <v>1403</v>
      </c>
      <c r="C61" t="str">
        <f t="shared" si="1"/>
        <v>4</v>
      </c>
      <c r="D61" t="str">
        <f t="shared" si="2"/>
        <v>2023</v>
      </c>
      <c r="E61" s="51" t="s">
        <v>1514</v>
      </c>
      <c r="J61">
        <v>21.25</v>
      </c>
      <c r="K61">
        <v>0.1</v>
      </c>
      <c r="L61">
        <v>0</v>
      </c>
      <c r="M61">
        <v>25</v>
      </c>
      <c r="N61">
        <v>0</v>
      </c>
      <c r="O61">
        <v>0</v>
      </c>
      <c r="P61">
        <v>0</v>
      </c>
      <c r="Q61">
        <v>0</v>
      </c>
      <c r="R61">
        <v>0</v>
      </c>
    </row>
    <row r="62" spans="1:18" x14ac:dyDescent="0.2">
      <c r="A62" t="str">
        <f t="shared" si="0"/>
        <v>ICE.2023.5</v>
      </c>
      <c r="B62" t="s">
        <v>1403</v>
      </c>
      <c r="C62" t="str">
        <f t="shared" si="1"/>
        <v>5</v>
      </c>
      <c r="D62" t="str">
        <f t="shared" si="2"/>
        <v>2023</v>
      </c>
      <c r="E62" s="51" t="s">
        <v>1515</v>
      </c>
      <c r="J62">
        <v>17</v>
      </c>
      <c r="K62">
        <v>0.1</v>
      </c>
      <c r="L62">
        <v>0</v>
      </c>
      <c r="M62">
        <v>25</v>
      </c>
      <c r="N62">
        <v>0</v>
      </c>
      <c r="O62">
        <v>0</v>
      </c>
      <c r="P62">
        <v>0</v>
      </c>
      <c r="Q62">
        <v>0</v>
      </c>
      <c r="R62">
        <v>0</v>
      </c>
    </row>
    <row r="63" spans="1:18" x14ac:dyDescent="0.2">
      <c r="A63" t="str">
        <f t="shared" si="0"/>
        <v>ICE.2023.6</v>
      </c>
      <c r="B63" t="s">
        <v>1403</v>
      </c>
      <c r="C63" t="str">
        <f t="shared" si="1"/>
        <v>6</v>
      </c>
      <c r="D63" t="str">
        <f t="shared" si="2"/>
        <v>2023</v>
      </c>
      <c r="E63" s="51" t="s">
        <v>1516</v>
      </c>
      <c r="J63">
        <v>15.6</v>
      </c>
      <c r="K63">
        <v>0.1</v>
      </c>
      <c r="L63">
        <v>0</v>
      </c>
      <c r="M63">
        <v>25</v>
      </c>
      <c r="N63">
        <v>0</v>
      </c>
      <c r="O63">
        <v>0</v>
      </c>
      <c r="P63">
        <v>0</v>
      </c>
      <c r="Q63">
        <v>0</v>
      </c>
      <c r="R63">
        <v>0</v>
      </c>
    </row>
    <row r="64" spans="1:18" x14ac:dyDescent="0.2">
      <c r="A64" t="str">
        <f t="shared" si="0"/>
        <v>ICE.2023.7</v>
      </c>
      <c r="B64" t="s">
        <v>1403</v>
      </c>
      <c r="C64" t="str">
        <f t="shared" si="1"/>
        <v>7</v>
      </c>
      <c r="D64" t="str">
        <f t="shared" si="2"/>
        <v>2023</v>
      </c>
      <c r="E64" s="51" t="s">
        <v>1517</v>
      </c>
      <c r="J64">
        <v>23.8</v>
      </c>
      <c r="K64">
        <v>0.1</v>
      </c>
      <c r="L64">
        <v>0</v>
      </c>
      <c r="M64">
        <v>25</v>
      </c>
      <c r="N64">
        <v>0</v>
      </c>
      <c r="O64">
        <v>0</v>
      </c>
      <c r="P64">
        <v>0</v>
      </c>
      <c r="Q64">
        <v>0</v>
      </c>
      <c r="R64">
        <v>0</v>
      </c>
    </row>
    <row r="65" spans="1:18" x14ac:dyDescent="0.2">
      <c r="A65" t="str">
        <f t="shared" si="0"/>
        <v>ICE.2023.8</v>
      </c>
      <c r="B65" t="s">
        <v>1403</v>
      </c>
      <c r="C65" t="str">
        <f t="shared" si="1"/>
        <v>8</v>
      </c>
      <c r="D65" t="str">
        <f t="shared" si="2"/>
        <v>2023</v>
      </c>
      <c r="E65" s="51" t="s">
        <v>1518</v>
      </c>
      <c r="J65">
        <v>29.15</v>
      </c>
      <c r="K65">
        <v>0.1</v>
      </c>
      <c r="L65">
        <v>0</v>
      </c>
      <c r="M65">
        <v>25</v>
      </c>
      <c r="N65">
        <v>0</v>
      </c>
      <c r="O65">
        <v>0</v>
      </c>
      <c r="P65">
        <v>0</v>
      </c>
      <c r="Q65">
        <v>0</v>
      </c>
      <c r="R65">
        <v>0</v>
      </c>
    </row>
    <row r="66" spans="1:18" x14ac:dyDescent="0.2">
      <c r="A66" t="str">
        <f t="shared" si="0"/>
        <v>ICE.2023.9</v>
      </c>
      <c r="B66" t="s">
        <v>1403</v>
      </c>
      <c r="C66" t="str">
        <f t="shared" si="1"/>
        <v>9</v>
      </c>
      <c r="D66" t="str">
        <f t="shared" si="2"/>
        <v>2023</v>
      </c>
      <c r="E66" s="51" t="s">
        <v>1519</v>
      </c>
      <c r="J66">
        <v>29.25</v>
      </c>
      <c r="K66">
        <v>0.1</v>
      </c>
      <c r="L66">
        <v>0</v>
      </c>
      <c r="M66">
        <v>25</v>
      </c>
      <c r="N66">
        <v>0</v>
      </c>
      <c r="O66">
        <v>0</v>
      </c>
      <c r="P66">
        <v>0</v>
      </c>
      <c r="Q66">
        <v>0</v>
      </c>
      <c r="R66">
        <v>0</v>
      </c>
    </row>
    <row r="67" spans="1:18" x14ac:dyDescent="0.2">
      <c r="A67" t="str">
        <f t="shared" ref="A67:A117" si="3">B67&amp;"."&amp;D67&amp;"."&amp;C67</f>
        <v>ICE.2023.10</v>
      </c>
      <c r="B67" t="s">
        <v>1403</v>
      </c>
      <c r="C67" t="str">
        <f t="shared" ref="C67:C117" si="4">TEXT(DATEVALUE("1"&amp;E67),"M")</f>
        <v>10</v>
      </c>
      <c r="D67" t="str">
        <f t="shared" ref="D67:D117" si="5">TEXT(DATEVALUE("1"&amp;E67),"YYYY")</f>
        <v>2023</v>
      </c>
      <c r="E67" s="51" t="s">
        <v>1520</v>
      </c>
      <c r="J67">
        <v>26.6</v>
      </c>
      <c r="K67">
        <v>0.1</v>
      </c>
      <c r="L67">
        <v>0</v>
      </c>
      <c r="M67">
        <v>25</v>
      </c>
      <c r="N67">
        <v>0</v>
      </c>
      <c r="O67">
        <v>0</v>
      </c>
      <c r="P67">
        <v>0</v>
      </c>
      <c r="Q67">
        <v>0</v>
      </c>
      <c r="R67">
        <v>0</v>
      </c>
    </row>
    <row r="68" spans="1:18" x14ac:dyDescent="0.2">
      <c r="A68" t="str">
        <f t="shared" si="3"/>
        <v>ICE.2023.11</v>
      </c>
      <c r="B68" t="s">
        <v>1403</v>
      </c>
      <c r="C68" t="str">
        <f t="shared" si="4"/>
        <v>11</v>
      </c>
      <c r="D68" t="str">
        <f t="shared" si="5"/>
        <v>2023</v>
      </c>
      <c r="E68" s="51" t="s">
        <v>1521</v>
      </c>
      <c r="J68">
        <v>29.5</v>
      </c>
      <c r="K68">
        <v>0.1</v>
      </c>
      <c r="L68">
        <v>0</v>
      </c>
      <c r="M68">
        <v>25</v>
      </c>
      <c r="N68">
        <v>0</v>
      </c>
      <c r="O68">
        <v>0</v>
      </c>
      <c r="P68">
        <v>0</v>
      </c>
      <c r="Q68">
        <v>0</v>
      </c>
      <c r="R68">
        <v>0</v>
      </c>
    </row>
    <row r="69" spans="1:18" x14ac:dyDescent="0.2">
      <c r="A69" t="str">
        <f t="shared" si="3"/>
        <v>ICE.2023.12</v>
      </c>
      <c r="B69" t="s">
        <v>1403</v>
      </c>
      <c r="C69" t="str">
        <f t="shared" si="4"/>
        <v>12</v>
      </c>
      <c r="D69" t="str">
        <f t="shared" si="5"/>
        <v>2023</v>
      </c>
      <c r="E69" s="51" t="s">
        <v>1522</v>
      </c>
      <c r="J69">
        <v>34.35</v>
      </c>
      <c r="K69">
        <v>0.15</v>
      </c>
      <c r="L69">
        <v>0</v>
      </c>
      <c r="M69">
        <v>25</v>
      </c>
      <c r="N69">
        <v>0</v>
      </c>
      <c r="O69">
        <v>0</v>
      </c>
      <c r="P69">
        <v>0</v>
      </c>
      <c r="Q69">
        <v>0</v>
      </c>
      <c r="R69">
        <v>0</v>
      </c>
    </row>
    <row r="70" spans="1:18" x14ac:dyDescent="0.2">
      <c r="A70" t="str">
        <f t="shared" si="3"/>
        <v>ICE.2024.1</v>
      </c>
      <c r="B70" t="s">
        <v>1403</v>
      </c>
      <c r="C70" t="str">
        <f t="shared" si="4"/>
        <v>1</v>
      </c>
      <c r="D70" t="str">
        <f t="shared" si="5"/>
        <v>2024</v>
      </c>
      <c r="E70" s="51" t="s">
        <v>1523</v>
      </c>
      <c r="J70">
        <v>34.1</v>
      </c>
      <c r="K70">
        <v>0.15</v>
      </c>
      <c r="L70">
        <v>0</v>
      </c>
      <c r="M70">
        <v>25</v>
      </c>
      <c r="N70">
        <v>0</v>
      </c>
      <c r="O70">
        <v>0</v>
      </c>
      <c r="P70">
        <v>0</v>
      </c>
      <c r="Q70">
        <v>0</v>
      </c>
      <c r="R70">
        <v>0</v>
      </c>
    </row>
    <row r="71" spans="1:18" x14ac:dyDescent="0.2">
      <c r="A71" t="str">
        <f t="shared" si="3"/>
        <v>ICE.2024.2</v>
      </c>
      <c r="B71" t="s">
        <v>1403</v>
      </c>
      <c r="C71" t="str">
        <f t="shared" si="4"/>
        <v>2</v>
      </c>
      <c r="D71" t="str">
        <f t="shared" si="5"/>
        <v>2024</v>
      </c>
      <c r="E71" s="51" t="s">
        <v>1524</v>
      </c>
      <c r="J71">
        <v>30.95</v>
      </c>
      <c r="K71">
        <v>0.1</v>
      </c>
      <c r="L71">
        <v>0</v>
      </c>
      <c r="M71">
        <v>25</v>
      </c>
      <c r="N71">
        <v>0</v>
      </c>
      <c r="O71">
        <v>0</v>
      </c>
      <c r="P71">
        <v>0</v>
      </c>
      <c r="Q71">
        <v>0</v>
      </c>
      <c r="R71">
        <v>0</v>
      </c>
    </row>
    <row r="72" spans="1:18" x14ac:dyDescent="0.2">
      <c r="A72" t="str">
        <f t="shared" si="3"/>
        <v>ICE.2024.3</v>
      </c>
      <c r="B72" t="s">
        <v>1403</v>
      </c>
      <c r="C72" t="str">
        <f t="shared" si="4"/>
        <v>3</v>
      </c>
      <c r="D72" t="str">
        <f t="shared" si="5"/>
        <v>2024</v>
      </c>
      <c r="E72" s="51" t="s">
        <v>1525</v>
      </c>
      <c r="J72">
        <v>25.35</v>
      </c>
      <c r="K72">
        <v>0.1</v>
      </c>
      <c r="L72">
        <v>0</v>
      </c>
      <c r="M72">
        <v>25</v>
      </c>
      <c r="N72">
        <v>0</v>
      </c>
      <c r="O72">
        <v>0</v>
      </c>
      <c r="P72">
        <v>0</v>
      </c>
      <c r="Q72">
        <v>0</v>
      </c>
      <c r="R72">
        <v>0</v>
      </c>
    </row>
    <row r="73" spans="1:18" x14ac:dyDescent="0.2">
      <c r="A73" t="str">
        <f t="shared" si="3"/>
        <v>ICE.2024.4</v>
      </c>
      <c r="B73" t="s">
        <v>1403</v>
      </c>
      <c r="C73" t="str">
        <f t="shared" si="4"/>
        <v>4</v>
      </c>
      <c r="D73" t="str">
        <f t="shared" si="5"/>
        <v>2024</v>
      </c>
      <c r="E73" s="51" t="s">
        <v>1526</v>
      </c>
      <c r="J73">
        <v>22.05</v>
      </c>
      <c r="K73">
        <v>0.1</v>
      </c>
      <c r="L73">
        <v>0</v>
      </c>
      <c r="M73">
        <v>25</v>
      </c>
      <c r="N73">
        <v>0</v>
      </c>
      <c r="O73">
        <v>0</v>
      </c>
      <c r="P73">
        <v>0</v>
      </c>
      <c r="Q73">
        <v>0</v>
      </c>
      <c r="R73">
        <v>0</v>
      </c>
    </row>
    <row r="74" spans="1:18" x14ac:dyDescent="0.2">
      <c r="A74" t="str">
        <f t="shared" si="3"/>
        <v>ICE.2024.5</v>
      </c>
      <c r="B74" t="s">
        <v>1403</v>
      </c>
      <c r="C74" t="str">
        <f t="shared" si="4"/>
        <v>5</v>
      </c>
      <c r="D74" t="str">
        <f t="shared" si="5"/>
        <v>2024</v>
      </c>
      <c r="E74" s="51" t="s">
        <v>1527</v>
      </c>
      <c r="J74">
        <v>17.850000000000001</v>
      </c>
      <c r="K74">
        <v>0.1</v>
      </c>
      <c r="L74">
        <v>0</v>
      </c>
      <c r="M74">
        <v>25</v>
      </c>
      <c r="N74">
        <v>0</v>
      </c>
      <c r="O74">
        <v>0</v>
      </c>
      <c r="P74">
        <v>0</v>
      </c>
      <c r="Q74">
        <v>0</v>
      </c>
      <c r="R74">
        <v>0</v>
      </c>
    </row>
    <row r="75" spans="1:18" x14ac:dyDescent="0.2">
      <c r="A75" t="str">
        <f t="shared" si="3"/>
        <v>ICE.2024.6</v>
      </c>
      <c r="B75" t="s">
        <v>1403</v>
      </c>
      <c r="C75" t="str">
        <f t="shared" si="4"/>
        <v>6</v>
      </c>
      <c r="D75" t="str">
        <f t="shared" si="5"/>
        <v>2024</v>
      </c>
      <c r="E75" s="51" t="s">
        <v>1528</v>
      </c>
      <c r="J75">
        <v>16.149999999999999</v>
      </c>
      <c r="K75">
        <v>0.1</v>
      </c>
      <c r="L75">
        <v>0</v>
      </c>
      <c r="M75">
        <v>25</v>
      </c>
      <c r="N75">
        <v>0</v>
      </c>
      <c r="O75">
        <v>0</v>
      </c>
      <c r="P75">
        <v>0</v>
      </c>
      <c r="Q75">
        <v>0</v>
      </c>
      <c r="R75">
        <v>0</v>
      </c>
    </row>
    <row r="76" spans="1:18" x14ac:dyDescent="0.2">
      <c r="A76" t="str">
        <f t="shared" si="3"/>
        <v>ICE.2024.7</v>
      </c>
      <c r="B76" t="s">
        <v>1403</v>
      </c>
      <c r="C76" t="str">
        <f t="shared" si="4"/>
        <v>7</v>
      </c>
      <c r="D76" t="str">
        <f t="shared" si="5"/>
        <v>2024</v>
      </c>
      <c r="E76" s="51" t="s">
        <v>1529</v>
      </c>
      <c r="J76">
        <v>24.7</v>
      </c>
      <c r="K76">
        <v>0.1</v>
      </c>
      <c r="L76">
        <v>0</v>
      </c>
      <c r="M76">
        <v>25</v>
      </c>
      <c r="N76">
        <v>0</v>
      </c>
      <c r="O76">
        <v>0</v>
      </c>
      <c r="P76">
        <v>0</v>
      </c>
      <c r="Q76">
        <v>0</v>
      </c>
      <c r="R76">
        <v>0</v>
      </c>
    </row>
    <row r="77" spans="1:18" x14ac:dyDescent="0.2">
      <c r="A77" t="str">
        <f t="shared" si="3"/>
        <v>ICE.2024.8</v>
      </c>
      <c r="B77" t="s">
        <v>1403</v>
      </c>
      <c r="C77" t="str">
        <f t="shared" si="4"/>
        <v>8</v>
      </c>
      <c r="D77" t="str">
        <f t="shared" si="5"/>
        <v>2024</v>
      </c>
      <c r="E77" s="51" t="s">
        <v>1530</v>
      </c>
      <c r="J77">
        <v>30.45</v>
      </c>
      <c r="K77">
        <v>0.1</v>
      </c>
      <c r="L77">
        <v>0</v>
      </c>
      <c r="M77">
        <v>25</v>
      </c>
      <c r="N77">
        <v>0</v>
      </c>
      <c r="O77">
        <v>0</v>
      </c>
      <c r="P77">
        <v>0</v>
      </c>
      <c r="Q77">
        <v>0</v>
      </c>
      <c r="R77">
        <v>0</v>
      </c>
    </row>
    <row r="78" spans="1:18" x14ac:dyDescent="0.2">
      <c r="A78" t="str">
        <f t="shared" si="3"/>
        <v>ICE.2024.9</v>
      </c>
      <c r="B78" t="s">
        <v>1403</v>
      </c>
      <c r="C78" t="str">
        <f t="shared" si="4"/>
        <v>9</v>
      </c>
      <c r="D78" t="str">
        <f t="shared" si="5"/>
        <v>2024</v>
      </c>
      <c r="E78" s="51" t="s">
        <v>1531</v>
      </c>
      <c r="J78">
        <v>30.45</v>
      </c>
      <c r="K78">
        <v>0.1</v>
      </c>
      <c r="L78">
        <v>0</v>
      </c>
      <c r="M78">
        <v>25</v>
      </c>
      <c r="N78">
        <v>0</v>
      </c>
      <c r="O78">
        <v>0</v>
      </c>
      <c r="P78">
        <v>0</v>
      </c>
      <c r="Q78">
        <v>0</v>
      </c>
      <c r="R78">
        <v>0</v>
      </c>
    </row>
    <row r="79" spans="1:18" x14ac:dyDescent="0.2">
      <c r="A79" t="str">
        <f t="shared" si="3"/>
        <v>ICE.2024.10</v>
      </c>
      <c r="B79" t="s">
        <v>1403</v>
      </c>
      <c r="C79" t="str">
        <f t="shared" si="4"/>
        <v>10</v>
      </c>
      <c r="D79" t="str">
        <f t="shared" si="5"/>
        <v>2024</v>
      </c>
      <c r="E79" s="51" t="s">
        <v>1532</v>
      </c>
      <c r="J79">
        <v>27.75</v>
      </c>
      <c r="K79">
        <v>0.1</v>
      </c>
      <c r="L79">
        <v>0</v>
      </c>
      <c r="M79">
        <v>25</v>
      </c>
      <c r="N79">
        <v>0</v>
      </c>
      <c r="O79">
        <v>0</v>
      </c>
      <c r="P79">
        <v>0</v>
      </c>
      <c r="Q79">
        <v>0</v>
      </c>
      <c r="R79">
        <v>0</v>
      </c>
    </row>
    <row r="80" spans="1:18" x14ac:dyDescent="0.2">
      <c r="A80" t="str">
        <f t="shared" si="3"/>
        <v>ICE.2024.11</v>
      </c>
      <c r="B80" t="s">
        <v>1403</v>
      </c>
      <c r="C80" t="str">
        <f t="shared" si="4"/>
        <v>11</v>
      </c>
      <c r="D80" t="str">
        <f t="shared" si="5"/>
        <v>2024</v>
      </c>
      <c r="E80" s="51" t="s">
        <v>1533</v>
      </c>
      <c r="J80">
        <v>30.9</v>
      </c>
      <c r="K80">
        <v>0.1</v>
      </c>
      <c r="L80">
        <v>0</v>
      </c>
      <c r="M80">
        <v>25</v>
      </c>
      <c r="N80">
        <v>0</v>
      </c>
      <c r="O80">
        <v>0</v>
      </c>
      <c r="P80">
        <v>0</v>
      </c>
      <c r="Q80">
        <v>0</v>
      </c>
      <c r="R80">
        <v>0</v>
      </c>
    </row>
    <row r="81" spans="1:18" x14ac:dyDescent="0.2">
      <c r="A81" t="str">
        <f t="shared" si="3"/>
        <v>ICE.2024.12</v>
      </c>
      <c r="B81" t="s">
        <v>1403</v>
      </c>
      <c r="C81" t="str">
        <f t="shared" si="4"/>
        <v>12</v>
      </c>
      <c r="D81" t="str">
        <f t="shared" si="5"/>
        <v>2024</v>
      </c>
      <c r="E81" s="51" t="s">
        <v>1534</v>
      </c>
      <c r="J81">
        <v>35.799999999999997</v>
      </c>
      <c r="K81">
        <v>0.15</v>
      </c>
      <c r="L81">
        <v>0</v>
      </c>
      <c r="M81">
        <v>25</v>
      </c>
      <c r="N81">
        <v>0</v>
      </c>
      <c r="O81">
        <v>0</v>
      </c>
      <c r="P81">
        <v>0</v>
      </c>
      <c r="Q81">
        <v>0</v>
      </c>
      <c r="R81">
        <v>0</v>
      </c>
    </row>
    <row r="82" spans="1:18" x14ac:dyDescent="0.2">
      <c r="A82" t="str">
        <f t="shared" si="3"/>
        <v>ICE.2025.1</v>
      </c>
      <c r="B82" t="s">
        <v>1403</v>
      </c>
      <c r="C82" t="str">
        <f t="shared" si="4"/>
        <v>1</v>
      </c>
      <c r="D82" t="str">
        <f t="shared" si="5"/>
        <v>2025</v>
      </c>
      <c r="E82" s="51" t="s">
        <v>1538</v>
      </c>
      <c r="J82">
        <v>35.5</v>
      </c>
      <c r="K82">
        <v>0.1</v>
      </c>
      <c r="L82">
        <v>0</v>
      </c>
      <c r="M82">
        <v>25</v>
      </c>
      <c r="N82">
        <v>0</v>
      </c>
      <c r="O82">
        <v>0</v>
      </c>
      <c r="P82">
        <v>0</v>
      </c>
      <c r="Q82">
        <v>0</v>
      </c>
      <c r="R82">
        <v>0</v>
      </c>
    </row>
    <row r="83" spans="1:18" x14ac:dyDescent="0.2">
      <c r="A83" t="str">
        <f t="shared" si="3"/>
        <v>ICE.2025.2</v>
      </c>
      <c r="B83" t="s">
        <v>1403</v>
      </c>
      <c r="C83" t="str">
        <f t="shared" si="4"/>
        <v>2</v>
      </c>
      <c r="D83" t="str">
        <f t="shared" si="5"/>
        <v>2025</v>
      </c>
      <c r="E83" s="51" t="s">
        <v>1539</v>
      </c>
      <c r="J83">
        <v>32.25</v>
      </c>
      <c r="K83">
        <v>0.1</v>
      </c>
      <c r="L83">
        <v>0</v>
      </c>
      <c r="M83">
        <v>25</v>
      </c>
      <c r="N83">
        <v>0</v>
      </c>
      <c r="O83">
        <v>0</v>
      </c>
      <c r="P83">
        <v>0</v>
      </c>
      <c r="Q83">
        <v>0</v>
      </c>
      <c r="R83">
        <v>0</v>
      </c>
    </row>
    <row r="84" spans="1:18" x14ac:dyDescent="0.2">
      <c r="A84" t="str">
        <f t="shared" si="3"/>
        <v>ICE.2025.3</v>
      </c>
      <c r="B84" t="s">
        <v>1403</v>
      </c>
      <c r="C84" t="str">
        <f t="shared" si="4"/>
        <v>3</v>
      </c>
      <c r="D84" t="str">
        <f t="shared" si="5"/>
        <v>2025</v>
      </c>
      <c r="E84" s="51" t="s">
        <v>1540</v>
      </c>
      <c r="J84">
        <v>26.35</v>
      </c>
      <c r="K84">
        <v>0.1</v>
      </c>
      <c r="L84">
        <v>0</v>
      </c>
      <c r="M84">
        <v>25</v>
      </c>
      <c r="N84">
        <v>0</v>
      </c>
      <c r="O84">
        <v>0</v>
      </c>
      <c r="P84">
        <v>0</v>
      </c>
      <c r="Q84">
        <v>0</v>
      </c>
      <c r="R84">
        <v>0</v>
      </c>
    </row>
    <row r="85" spans="1:18" x14ac:dyDescent="0.2">
      <c r="A85" t="str">
        <f t="shared" si="3"/>
        <v>ICE.2025.4</v>
      </c>
      <c r="B85" t="s">
        <v>1403</v>
      </c>
      <c r="C85" t="str">
        <f t="shared" si="4"/>
        <v>4</v>
      </c>
      <c r="D85" t="str">
        <f t="shared" si="5"/>
        <v>2025</v>
      </c>
      <c r="E85" s="51" t="s">
        <v>1541</v>
      </c>
      <c r="J85">
        <v>23.2</v>
      </c>
      <c r="K85">
        <v>0.1</v>
      </c>
      <c r="L85">
        <v>0</v>
      </c>
      <c r="M85">
        <v>25</v>
      </c>
      <c r="N85">
        <v>0</v>
      </c>
      <c r="O85">
        <v>0</v>
      </c>
      <c r="P85">
        <v>0</v>
      </c>
      <c r="Q85">
        <v>0</v>
      </c>
      <c r="R85">
        <v>0</v>
      </c>
    </row>
    <row r="86" spans="1:18" x14ac:dyDescent="0.2">
      <c r="A86" t="str">
        <f t="shared" si="3"/>
        <v>ICE.2025.5</v>
      </c>
      <c r="B86" t="s">
        <v>1403</v>
      </c>
      <c r="C86" t="str">
        <f t="shared" si="4"/>
        <v>5</v>
      </c>
      <c r="D86" t="str">
        <f t="shared" si="5"/>
        <v>2025</v>
      </c>
      <c r="E86" s="51" t="s">
        <v>1542</v>
      </c>
      <c r="J86">
        <v>18.7</v>
      </c>
      <c r="K86">
        <v>0.1</v>
      </c>
      <c r="L86">
        <v>0</v>
      </c>
      <c r="M86">
        <v>25</v>
      </c>
      <c r="N86">
        <v>0</v>
      </c>
      <c r="O86">
        <v>0</v>
      </c>
      <c r="P86">
        <v>0</v>
      </c>
      <c r="Q86">
        <v>0</v>
      </c>
      <c r="R86">
        <v>0</v>
      </c>
    </row>
    <row r="87" spans="1:18" x14ac:dyDescent="0.2">
      <c r="A87" t="str">
        <f t="shared" si="3"/>
        <v>ICE.2025.6</v>
      </c>
      <c r="B87" t="s">
        <v>1403</v>
      </c>
      <c r="C87" t="str">
        <f t="shared" si="4"/>
        <v>6</v>
      </c>
      <c r="D87" t="str">
        <f t="shared" si="5"/>
        <v>2025</v>
      </c>
      <c r="E87" s="51" t="s">
        <v>1543</v>
      </c>
      <c r="J87">
        <v>17.100000000000001</v>
      </c>
      <c r="K87">
        <v>0.1</v>
      </c>
      <c r="L87">
        <v>0</v>
      </c>
      <c r="M87">
        <v>25</v>
      </c>
      <c r="N87">
        <v>0</v>
      </c>
      <c r="O87">
        <v>0</v>
      </c>
      <c r="P87">
        <v>0</v>
      </c>
      <c r="Q87">
        <v>0</v>
      </c>
      <c r="R87">
        <v>0</v>
      </c>
    </row>
    <row r="88" spans="1:18" x14ac:dyDescent="0.2">
      <c r="A88" t="str">
        <f t="shared" si="3"/>
        <v>ICE.2025.7</v>
      </c>
      <c r="B88" t="s">
        <v>1403</v>
      </c>
      <c r="C88" t="str">
        <f t="shared" si="4"/>
        <v>7</v>
      </c>
      <c r="D88" t="str">
        <f t="shared" si="5"/>
        <v>2025</v>
      </c>
      <c r="E88" s="51" t="s">
        <v>1544</v>
      </c>
      <c r="J88">
        <v>25.45</v>
      </c>
      <c r="K88">
        <v>0.1</v>
      </c>
      <c r="L88">
        <v>0</v>
      </c>
      <c r="M88">
        <v>25</v>
      </c>
      <c r="N88">
        <v>0</v>
      </c>
      <c r="O88">
        <v>0</v>
      </c>
      <c r="P88">
        <v>0</v>
      </c>
      <c r="Q88">
        <v>0</v>
      </c>
      <c r="R88">
        <v>0</v>
      </c>
    </row>
    <row r="89" spans="1:18" x14ac:dyDescent="0.2">
      <c r="A89" t="str">
        <f t="shared" si="3"/>
        <v>ICE.2025.8</v>
      </c>
      <c r="B89" t="s">
        <v>1403</v>
      </c>
      <c r="C89" t="str">
        <f t="shared" si="4"/>
        <v>8</v>
      </c>
      <c r="D89" t="str">
        <f t="shared" si="5"/>
        <v>2025</v>
      </c>
      <c r="E89" s="51" t="s">
        <v>1545</v>
      </c>
      <c r="J89">
        <v>31.45</v>
      </c>
      <c r="K89">
        <v>0.1</v>
      </c>
      <c r="L89">
        <v>0</v>
      </c>
      <c r="M89">
        <v>25</v>
      </c>
      <c r="N89">
        <v>0</v>
      </c>
      <c r="O89">
        <v>0</v>
      </c>
      <c r="P89">
        <v>0</v>
      </c>
      <c r="Q89">
        <v>0</v>
      </c>
      <c r="R89">
        <v>0</v>
      </c>
    </row>
    <row r="90" spans="1:18" x14ac:dyDescent="0.2">
      <c r="A90" t="str">
        <f t="shared" si="3"/>
        <v>ICE.2025.9</v>
      </c>
      <c r="B90" t="s">
        <v>1403</v>
      </c>
      <c r="C90" t="str">
        <f t="shared" si="4"/>
        <v>9</v>
      </c>
      <c r="D90" t="str">
        <f t="shared" si="5"/>
        <v>2025</v>
      </c>
      <c r="E90" s="51" t="s">
        <v>1546</v>
      </c>
      <c r="J90">
        <v>31.65</v>
      </c>
      <c r="K90">
        <v>0.1</v>
      </c>
      <c r="L90">
        <v>0</v>
      </c>
      <c r="M90">
        <v>25</v>
      </c>
      <c r="N90">
        <v>0</v>
      </c>
      <c r="O90">
        <v>0</v>
      </c>
      <c r="P90">
        <v>0</v>
      </c>
      <c r="Q90">
        <v>0</v>
      </c>
      <c r="R90">
        <v>0</v>
      </c>
    </row>
    <row r="91" spans="1:18" x14ac:dyDescent="0.2">
      <c r="A91" t="str">
        <f t="shared" si="3"/>
        <v>ICE.2025.10</v>
      </c>
      <c r="B91" t="s">
        <v>1403</v>
      </c>
      <c r="C91" t="str">
        <f t="shared" si="4"/>
        <v>10</v>
      </c>
      <c r="D91" t="str">
        <f t="shared" si="5"/>
        <v>2025</v>
      </c>
      <c r="E91" s="51" t="s">
        <v>1547</v>
      </c>
      <c r="J91">
        <v>28.75</v>
      </c>
      <c r="K91">
        <v>0.1</v>
      </c>
      <c r="L91">
        <v>0</v>
      </c>
      <c r="M91">
        <v>25</v>
      </c>
      <c r="N91">
        <v>0</v>
      </c>
      <c r="O91">
        <v>0</v>
      </c>
      <c r="P91">
        <v>0</v>
      </c>
      <c r="Q91">
        <v>0</v>
      </c>
      <c r="R91">
        <v>0</v>
      </c>
    </row>
    <row r="92" spans="1:18" x14ac:dyDescent="0.2">
      <c r="A92" t="str">
        <f t="shared" si="3"/>
        <v>ICE.2025.11</v>
      </c>
      <c r="B92" t="s">
        <v>1403</v>
      </c>
      <c r="C92" t="str">
        <f t="shared" si="4"/>
        <v>11</v>
      </c>
      <c r="D92" t="str">
        <f t="shared" si="5"/>
        <v>2025</v>
      </c>
      <c r="E92" s="51" t="s">
        <v>1548</v>
      </c>
      <c r="J92">
        <v>32.15</v>
      </c>
      <c r="K92">
        <v>0.1</v>
      </c>
      <c r="L92">
        <v>0</v>
      </c>
      <c r="M92">
        <v>25</v>
      </c>
      <c r="N92">
        <v>0</v>
      </c>
      <c r="O92">
        <v>0</v>
      </c>
      <c r="P92">
        <v>0</v>
      </c>
      <c r="Q92">
        <v>0</v>
      </c>
      <c r="R92">
        <v>0</v>
      </c>
    </row>
    <row r="93" spans="1:18" x14ac:dyDescent="0.2">
      <c r="A93" t="str">
        <f t="shared" si="3"/>
        <v>ICE.2025.12</v>
      </c>
      <c r="B93" t="s">
        <v>1403</v>
      </c>
      <c r="C93" t="str">
        <f t="shared" si="4"/>
        <v>12</v>
      </c>
      <c r="D93" t="str">
        <f t="shared" si="5"/>
        <v>2025</v>
      </c>
      <c r="E93" s="51" t="s">
        <v>1549</v>
      </c>
      <c r="J93">
        <v>37.049999999999997</v>
      </c>
      <c r="K93">
        <v>0.15</v>
      </c>
      <c r="L93">
        <v>0</v>
      </c>
      <c r="M93">
        <v>25</v>
      </c>
      <c r="N93">
        <v>0</v>
      </c>
      <c r="O93">
        <v>0</v>
      </c>
      <c r="P93">
        <v>0</v>
      </c>
      <c r="Q93">
        <v>0</v>
      </c>
      <c r="R93">
        <v>0</v>
      </c>
    </row>
    <row r="94" spans="1:18" x14ac:dyDescent="0.2">
      <c r="A94" t="str">
        <f t="shared" si="3"/>
        <v>ICE.2026.1</v>
      </c>
      <c r="B94" t="s">
        <v>1403</v>
      </c>
      <c r="C94" t="str">
        <f t="shared" si="4"/>
        <v>1</v>
      </c>
      <c r="D94" t="str">
        <f t="shared" si="5"/>
        <v>2026</v>
      </c>
      <c r="E94" s="51" t="s">
        <v>1550</v>
      </c>
      <c r="J94">
        <v>36.799999999999997</v>
      </c>
      <c r="K94">
        <v>0.15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</row>
    <row r="95" spans="1:18" x14ac:dyDescent="0.2">
      <c r="A95" t="str">
        <f t="shared" si="3"/>
        <v>ICE.2026.2</v>
      </c>
      <c r="B95" t="s">
        <v>1403</v>
      </c>
      <c r="C95" t="str">
        <f t="shared" si="4"/>
        <v>2</v>
      </c>
      <c r="D95" t="str">
        <f t="shared" si="5"/>
        <v>2026</v>
      </c>
      <c r="E95" s="51" t="s">
        <v>1551</v>
      </c>
      <c r="J95">
        <v>33.4</v>
      </c>
      <c r="K95">
        <v>0.1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</row>
    <row r="96" spans="1:18" x14ac:dyDescent="0.2">
      <c r="A96" t="str">
        <f t="shared" si="3"/>
        <v>ICE.2026.3</v>
      </c>
      <c r="B96" t="s">
        <v>1403</v>
      </c>
      <c r="C96" t="str">
        <f t="shared" si="4"/>
        <v>3</v>
      </c>
      <c r="D96" t="str">
        <f t="shared" si="5"/>
        <v>2026</v>
      </c>
      <c r="E96" s="51" t="s">
        <v>1552</v>
      </c>
      <c r="J96">
        <v>27.25</v>
      </c>
      <c r="K96">
        <v>0.1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</row>
    <row r="97" spans="1:18" x14ac:dyDescent="0.2">
      <c r="A97" t="str">
        <f t="shared" si="3"/>
        <v>ICE.2026.4</v>
      </c>
      <c r="B97" t="s">
        <v>1403</v>
      </c>
      <c r="C97" t="str">
        <f t="shared" si="4"/>
        <v>4</v>
      </c>
      <c r="D97" t="str">
        <f t="shared" si="5"/>
        <v>2026</v>
      </c>
      <c r="E97" s="51" t="s">
        <v>1553</v>
      </c>
      <c r="J97">
        <v>24.45</v>
      </c>
      <c r="K97">
        <v>0.1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</row>
    <row r="98" spans="1:18" x14ac:dyDescent="0.2">
      <c r="A98" t="str">
        <f t="shared" si="3"/>
        <v>ICE.2026.5</v>
      </c>
      <c r="B98" t="s">
        <v>1403</v>
      </c>
      <c r="C98" t="str">
        <f t="shared" si="4"/>
        <v>5</v>
      </c>
      <c r="D98" t="str">
        <f t="shared" si="5"/>
        <v>2026</v>
      </c>
      <c r="E98" s="51" t="s">
        <v>1554</v>
      </c>
      <c r="J98">
        <v>19.600000000000001</v>
      </c>
      <c r="K98">
        <v>0.1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</row>
    <row r="99" spans="1:18" x14ac:dyDescent="0.2">
      <c r="A99" t="str">
        <f t="shared" si="3"/>
        <v>ICE.2026.6</v>
      </c>
      <c r="B99" t="s">
        <v>1403</v>
      </c>
      <c r="C99" t="str">
        <f t="shared" si="4"/>
        <v>6</v>
      </c>
      <c r="D99" t="str">
        <f t="shared" si="5"/>
        <v>2026</v>
      </c>
      <c r="E99" s="51" t="s">
        <v>1555</v>
      </c>
      <c r="J99">
        <v>17.850000000000001</v>
      </c>
      <c r="K99">
        <v>0.1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</row>
    <row r="100" spans="1:18" x14ac:dyDescent="0.2">
      <c r="A100" t="str">
        <f t="shared" si="3"/>
        <v>ICE.2026.7</v>
      </c>
      <c r="B100" t="s">
        <v>1403</v>
      </c>
      <c r="C100" t="str">
        <f t="shared" si="4"/>
        <v>7</v>
      </c>
      <c r="D100" t="str">
        <f t="shared" si="5"/>
        <v>2026</v>
      </c>
      <c r="E100" s="51" t="s">
        <v>1556</v>
      </c>
      <c r="J100">
        <v>26.45</v>
      </c>
      <c r="K100">
        <v>0.1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</row>
    <row r="101" spans="1:18" x14ac:dyDescent="0.2">
      <c r="A101" t="str">
        <f t="shared" si="3"/>
        <v>ICE.2026.8</v>
      </c>
      <c r="B101" t="s">
        <v>1403</v>
      </c>
      <c r="C101" t="str">
        <f t="shared" si="4"/>
        <v>8</v>
      </c>
      <c r="D101" t="str">
        <f t="shared" si="5"/>
        <v>2026</v>
      </c>
      <c r="E101" s="51" t="s">
        <v>1557</v>
      </c>
      <c r="J101">
        <v>32.75</v>
      </c>
      <c r="K101">
        <v>0.1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</row>
    <row r="102" spans="1:18" x14ac:dyDescent="0.2">
      <c r="A102" t="str">
        <f t="shared" si="3"/>
        <v>ICE.2026.9</v>
      </c>
      <c r="B102" t="s">
        <v>1403</v>
      </c>
      <c r="C102" t="str">
        <f t="shared" si="4"/>
        <v>9</v>
      </c>
      <c r="D102" t="str">
        <f t="shared" si="5"/>
        <v>2026</v>
      </c>
      <c r="E102" s="51" t="s">
        <v>1558</v>
      </c>
      <c r="J102">
        <v>32.700000000000003</v>
      </c>
      <c r="K102">
        <v>0.1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</row>
    <row r="103" spans="1:18" x14ac:dyDescent="0.2">
      <c r="A103" t="str">
        <f t="shared" si="3"/>
        <v>ICE.2026.10</v>
      </c>
      <c r="B103" t="s">
        <v>1403</v>
      </c>
      <c r="C103" t="str">
        <f t="shared" si="4"/>
        <v>10</v>
      </c>
      <c r="D103" t="str">
        <f t="shared" si="5"/>
        <v>2026</v>
      </c>
      <c r="E103" s="51" t="s">
        <v>1559</v>
      </c>
      <c r="J103">
        <v>29.75</v>
      </c>
      <c r="K103">
        <v>0.1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</row>
    <row r="104" spans="1:18" x14ac:dyDescent="0.2">
      <c r="A104" t="str">
        <f t="shared" si="3"/>
        <v>ICE.2026.11</v>
      </c>
      <c r="B104" t="s">
        <v>1403</v>
      </c>
      <c r="C104" t="str">
        <f t="shared" si="4"/>
        <v>11</v>
      </c>
      <c r="D104" t="str">
        <f t="shared" si="5"/>
        <v>2026</v>
      </c>
      <c r="E104" s="51" t="s">
        <v>1560</v>
      </c>
      <c r="J104">
        <v>33.25</v>
      </c>
      <c r="K104">
        <v>0.1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</row>
    <row r="105" spans="1:18" x14ac:dyDescent="0.2">
      <c r="A105" t="str">
        <f t="shared" si="3"/>
        <v>ICE.2026.12</v>
      </c>
      <c r="B105" t="s">
        <v>1403</v>
      </c>
      <c r="C105" t="str">
        <f t="shared" si="4"/>
        <v>12</v>
      </c>
      <c r="D105" t="str">
        <f t="shared" si="5"/>
        <v>2026</v>
      </c>
      <c r="E105" s="51" t="s">
        <v>1561</v>
      </c>
      <c r="J105">
        <v>38.5</v>
      </c>
      <c r="K105">
        <v>0.15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</row>
    <row r="106" spans="1:18" x14ac:dyDescent="0.2">
      <c r="A106" t="str">
        <f t="shared" si="3"/>
        <v>ICE.2027.1</v>
      </c>
      <c r="B106" t="s">
        <v>1403</v>
      </c>
      <c r="C106" t="str">
        <f t="shared" si="4"/>
        <v>1</v>
      </c>
      <c r="D106" t="str">
        <f t="shared" si="5"/>
        <v>2027</v>
      </c>
      <c r="E106" s="51" t="s">
        <v>1562</v>
      </c>
      <c r="J106">
        <v>38.15</v>
      </c>
      <c r="K106">
        <v>0.15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</row>
    <row r="107" spans="1:18" x14ac:dyDescent="0.2">
      <c r="A107" t="str">
        <f t="shared" si="3"/>
        <v>ICE.2027.2</v>
      </c>
      <c r="B107" t="s">
        <v>1403</v>
      </c>
      <c r="C107" t="str">
        <f t="shared" si="4"/>
        <v>2</v>
      </c>
      <c r="D107" t="str">
        <f t="shared" si="5"/>
        <v>2027</v>
      </c>
      <c r="E107" s="51" t="s">
        <v>1563</v>
      </c>
      <c r="J107">
        <v>34.5</v>
      </c>
      <c r="K107">
        <v>0.1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</row>
    <row r="108" spans="1:18" x14ac:dyDescent="0.2">
      <c r="A108" t="str">
        <f t="shared" si="3"/>
        <v>ICE.2027.3</v>
      </c>
      <c r="B108" t="s">
        <v>1403</v>
      </c>
      <c r="C108" t="str">
        <f t="shared" si="4"/>
        <v>3</v>
      </c>
      <c r="D108" t="str">
        <f t="shared" si="5"/>
        <v>2027</v>
      </c>
      <c r="E108" s="51" t="s">
        <v>1564</v>
      </c>
      <c r="J108">
        <v>28.4</v>
      </c>
      <c r="K108">
        <v>0.1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</row>
    <row r="109" spans="1:18" x14ac:dyDescent="0.2">
      <c r="A109" t="str">
        <f t="shared" si="3"/>
        <v>ICE.2027.4</v>
      </c>
      <c r="B109" t="s">
        <v>1403</v>
      </c>
      <c r="C109" t="str">
        <f t="shared" si="4"/>
        <v>4</v>
      </c>
      <c r="D109" t="str">
        <f t="shared" si="5"/>
        <v>2027</v>
      </c>
      <c r="E109" s="51" t="s">
        <v>1565</v>
      </c>
      <c r="J109">
        <v>24.95</v>
      </c>
      <c r="K109">
        <v>0.1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</row>
    <row r="110" spans="1:18" x14ac:dyDescent="0.2">
      <c r="A110" t="str">
        <f t="shared" si="3"/>
        <v>ICE.2027.5</v>
      </c>
      <c r="B110" t="s">
        <v>1403</v>
      </c>
      <c r="C110" t="str">
        <f t="shared" si="4"/>
        <v>5</v>
      </c>
      <c r="D110" t="str">
        <f t="shared" si="5"/>
        <v>2027</v>
      </c>
      <c r="E110" s="51" t="s">
        <v>1566</v>
      </c>
      <c r="J110">
        <v>20.25</v>
      </c>
      <c r="K110">
        <v>0.1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</row>
    <row r="111" spans="1:18" x14ac:dyDescent="0.2">
      <c r="A111" t="str">
        <f t="shared" si="3"/>
        <v>ICE.2027.6</v>
      </c>
      <c r="B111" t="s">
        <v>1403</v>
      </c>
      <c r="C111" t="str">
        <f t="shared" si="4"/>
        <v>6</v>
      </c>
      <c r="D111" t="str">
        <f t="shared" si="5"/>
        <v>2027</v>
      </c>
      <c r="E111" s="51" t="s">
        <v>1567</v>
      </c>
      <c r="J111">
        <v>18.25</v>
      </c>
      <c r="K111">
        <v>0.1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</row>
    <row r="112" spans="1:18" x14ac:dyDescent="0.2">
      <c r="A112" t="str">
        <f t="shared" si="3"/>
        <v>ICE.2027.7</v>
      </c>
      <c r="B112" t="s">
        <v>1403</v>
      </c>
      <c r="C112" t="str">
        <f t="shared" si="4"/>
        <v>7</v>
      </c>
      <c r="D112" t="str">
        <f t="shared" si="5"/>
        <v>2027</v>
      </c>
      <c r="E112" s="51" t="s">
        <v>1568</v>
      </c>
      <c r="J112">
        <v>27.35</v>
      </c>
      <c r="K112">
        <v>0.1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</row>
    <row r="113" spans="1:18" x14ac:dyDescent="0.2">
      <c r="A113" t="str">
        <f t="shared" si="3"/>
        <v>ICE.2027.8</v>
      </c>
      <c r="B113" t="s">
        <v>1403</v>
      </c>
      <c r="C113" t="str">
        <f t="shared" si="4"/>
        <v>8</v>
      </c>
      <c r="D113" t="str">
        <f t="shared" si="5"/>
        <v>2027</v>
      </c>
      <c r="E113" s="51" t="s">
        <v>1569</v>
      </c>
      <c r="J113">
        <v>33.9</v>
      </c>
      <c r="K113">
        <v>0.1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</row>
    <row r="114" spans="1:18" x14ac:dyDescent="0.2">
      <c r="A114" t="str">
        <f t="shared" si="3"/>
        <v>ICE.2027.9</v>
      </c>
      <c r="B114" t="s">
        <v>1403</v>
      </c>
      <c r="C114" t="str">
        <f t="shared" si="4"/>
        <v>9</v>
      </c>
      <c r="D114" t="str">
        <f t="shared" si="5"/>
        <v>2027</v>
      </c>
      <c r="E114" s="51" t="s">
        <v>1570</v>
      </c>
      <c r="J114">
        <v>34.1</v>
      </c>
      <c r="K114">
        <v>0.1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</row>
    <row r="115" spans="1:18" x14ac:dyDescent="0.2">
      <c r="A115" t="str">
        <f t="shared" si="3"/>
        <v>ICE.2027.10</v>
      </c>
      <c r="B115" t="s">
        <v>1403</v>
      </c>
      <c r="C115" t="str">
        <f t="shared" si="4"/>
        <v>10</v>
      </c>
      <c r="D115" t="str">
        <f t="shared" si="5"/>
        <v>2027</v>
      </c>
      <c r="E115" s="51" t="s">
        <v>1571</v>
      </c>
      <c r="J115">
        <v>30.9</v>
      </c>
      <c r="K115">
        <v>0.1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</row>
    <row r="116" spans="1:18" x14ac:dyDescent="0.2">
      <c r="A116" t="str">
        <f t="shared" si="3"/>
        <v>ICE.2027.11</v>
      </c>
      <c r="B116" t="s">
        <v>1403</v>
      </c>
      <c r="C116" t="str">
        <f t="shared" si="4"/>
        <v>11</v>
      </c>
      <c r="D116" t="str">
        <f t="shared" si="5"/>
        <v>2027</v>
      </c>
      <c r="E116" s="51" t="s">
        <v>1572</v>
      </c>
      <c r="J116">
        <v>34.4</v>
      </c>
      <c r="K116">
        <v>0.1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</row>
    <row r="117" spans="1:18" x14ac:dyDescent="0.2">
      <c r="A117" t="str">
        <f t="shared" si="3"/>
        <v>ICE.2027.12</v>
      </c>
      <c r="B117" t="s">
        <v>1403</v>
      </c>
      <c r="C117" t="str">
        <f t="shared" si="4"/>
        <v>12</v>
      </c>
      <c r="D117" t="str">
        <f t="shared" si="5"/>
        <v>2027</v>
      </c>
      <c r="E117" s="51" t="s">
        <v>1573</v>
      </c>
      <c r="J117">
        <v>39.85</v>
      </c>
      <c r="K117">
        <v>0.15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idCOffPeakPrevious"/>
  <dimension ref="A1:F99"/>
  <sheetViews>
    <sheetView workbookViewId="0">
      <selection activeCell="M1" sqref="M1:M65536"/>
    </sheetView>
  </sheetViews>
  <sheetFormatPr defaultRowHeight="12.75" x14ac:dyDescent="0.2"/>
  <cols>
    <col min="1" max="1" width="81.140625" bestFit="1" customWidth="1"/>
  </cols>
  <sheetData>
    <row r="1" spans="1:6" s="1" customFormat="1" x14ac:dyDescent="0.2">
      <c r="A1" s="1" t="s">
        <v>1020</v>
      </c>
      <c r="C1" s="1" t="s">
        <v>1444</v>
      </c>
      <c r="D1" s="1" t="s">
        <v>1445</v>
      </c>
      <c r="E1" s="1" t="s">
        <v>976</v>
      </c>
      <c r="F1" s="45">
        <v>41221</v>
      </c>
    </row>
    <row r="2" spans="1:6" x14ac:dyDescent="0.2">
      <c r="A2" t="s">
        <v>1245</v>
      </c>
      <c r="B2" t="s">
        <v>1446</v>
      </c>
      <c r="C2">
        <v>0</v>
      </c>
      <c r="D2">
        <v>0</v>
      </c>
      <c r="E2">
        <v>0</v>
      </c>
    </row>
    <row r="3" spans="1:6" x14ac:dyDescent="0.2">
      <c r="A3" t="s">
        <v>1246</v>
      </c>
      <c r="B3" t="s">
        <v>1446</v>
      </c>
      <c r="C3">
        <v>0</v>
      </c>
      <c r="D3">
        <v>0</v>
      </c>
      <c r="E3">
        <v>344</v>
      </c>
    </row>
    <row r="4" spans="1:6" x14ac:dyDescent="0.2">
      <c r="A4" t="s">
        <v>1247</v>
      </c>
      <c r="B4" t="s">
        <v>1446</v>
      </c>
      <c r="C4">
        <v>0</v>
      </c>
      <c r="D4">
        <v>0</v>
      </c>
      <c r="E4">
        <v>656</v>
      </c>
    </row>
    <row r="5" spans="1:6" x14ac:dyDescent="0.2">
      <c r="A5" t="s">
        <v>1248</v>
      </c>
      <c r="B5" t="s">
        <v>1446</v>
      </c>
      <c r="C5">
        <v>0</v>
      </c>
      <c r="D5">
        <v>0</v>
      </c>
      <c r="E5">
        <v>576</v>
      </c>
    </row>
    <row r="6" spans="1:6" x14ac:dyDescent="0.2">
      <c r="A6" t="s">
        <v>1249</v>
      </c>
      <c r="B6" t="s">
        <v>1446</v>
      </c>
      <c r="C6">
        <v>0</v>
      </c>
      <c r="D6">
        <v>0</v>
      </c>
      <c r="E6">
        <v>654</v>
      </c>
    </row>
    <row r="7" spans="1:6" x14ac:dyDescent="0.2">
      <c r="A7" t="s">
        <v>1250</v>
      </c>
      <c r="B7" t="s">
        <v>1446</v>
      </c>
      <c r="C7">
        <v>0</v>
      </c>
      <c r="D7">
        <v>0</v>
      </c>
      <c r="E7">
        <v>0</v>
      </c>
    </row>
    <row r="8" spans="1:6" x14ac:dyDescent="0.2">
      <c r="A8" t="s">
        <v>1251</v>
      </c>
      <c r="B8" t="s">
        <v>1446</v>
      </c>
      <c r="C8">
        <v>0</v>
      </c>
      <c r="D8">
        <v>0</v>
      </c>
      <c r="E8">
        <v>0</v>
      </c>
    </row>
    <row r="9" spans="1:6" x14ac:dyDescent="0.2">
      <c r="A9" t="s">
        <v>1252</v>
      </c>
      <c r="B9" t="s">
        <v>1446</v>
      </c>
      <c r="C9">
        <v>0</v>
      </c>
      <c r="D9">
        <v>0</v>
      </c>
      <c r="E9">
        <v>0</v>
      </c>
    </row>
    <row r="10" spans="1:6" x14ac:dyDescent="0.2">
      <c r="A10" t="s">
        <v>1253</v>
      </c>
      <c r="B10" t="s">
        <v>1446</v>
      </c>
      <c r="C10">
        <v>0</v>
      </c>
      <c r="D10">
        <v>0</v>
      </c>
      <c r="E10">
        <v>328</v>
      </c>
    </row>
    <row r="11" spans="1:6" x14ac:dyDescent="0.2">
      <c r="A11" t="s">
        <v>1254</v>
      </c>
      <c r="B11" t="s">
        <v>1446</v>
      </c>
      <c r="C11">
        <v>0</v>
      </c>
      <c r="D11">
        <v>0</v>
      </c>
      <c r="E11">
        <v>312</v>
      </c>
    </row>
    <row r="12" spans="1:6" x14ac:dyDescent="0.2">
      <c r="A12" t="s">
        <v>1255</v>
      </c>
      <c r="B12" t="s">
        <v>1446</v>
      </c>
      <c r="C12">
        <v>0</v>
      </c>
      <c r="D12">
        <v>0</v>
      </c>
      <c r="E12">
        <v>336</v>
      </c>
    </row>
    <row r="13" spans="1:6" x14ac:dyDescent="0.2">
      <c r="A13" t="s">
        <v>1256</v>
      </c>
      <c r="B13" t="s">
        <v>1446</v>
      </c>
      <c r="C13">
        <v>0</v>
      </c>
      <c r="D13">
        <v>0</v>
      </c>
      <c r="E13">
        <v>312</v>
      </c>
    </row>
    <row r="14" spans="1:6" x14ac:dyDescent="0.2">
      <c r="A14" t="s">
        <v>1257</v>
      </c>
      <c r="B14" t="s">
        <v>1446</v>
      </c>
      <c r="C14">
        <v>0</v>
      </c>
      <c r="D14">
        <v>0</v>
      </c>
      <c r="E14">
        <v>321</v>
      </c>
    </row>
    <row r="15" spans="1:6" x14ac:dyDescent="0.2">
      <c r="A15" t="s">
        <v>1258</v>
      </c>
      <c r="B15" t="s">
        <v>1446</v>
      </c>
      <c r="C15">
        <v>0</v>
      </c>
      <c r="D15">
        <v>0</v>
      </c>
      <c r="E15">
        <v>688</v>
      </c>
    </row>
    <row r="16" spans="1:6" x14ac:dyDescent="0.2">
      <c r="A16" t="s">
        <v>1259</v>
      </c>
      <c r="B16" t="s">
        <v>1446</v>
      </c>
      <c r="C16">
        <v>0</v>
      </c>
      <c r="D16">
        <v>0</v>
      </c>
      <c r="E16">
        <v>656</v>
      </c>
    </row>
    <row r="17" spans="1:5" x14ac:dyDescent="0.2">
      <c r="A17" t="s">
        <v>1260</v>
      </c>
      <c r="B17" t="s">
        <v>1446</v>
      </c>
      <c r="C17">
        <v>0</v>
      </c>
      <c r="D17">
        <v>0</v>
      </c>
      <c r="E17">
        <v>576</v>
      </c>
    </row>
    <row r="18" spans="1:5" x14ac:dyDescent="0.2">
      <c r="A18" t="s">
        <v>1261</v>
      </c>
      <c r="B18" t="s">
        <v>1446</v>
      </c>
      <c r="C18">
        <v>0</v>
      </c>
      <c r="D18">
        <v>0</v>
      </c>
      <c r="E18">
        <v>654</v>
      </c>
    </row>
    <row r="19" spans="1:5" x14ac:dyDescent="0.2">
      <c r="A19" t="s">
        <v>1262</v>
      </c>
      <c r="B19" t="s">
        <v>1446</v>
      </c>
      <c r="C19">
        <v>0</v>
      </c>
      <c r="D19">
        <v>0</v>
      </c>
      <c r="E19">
        <v>304</v>
      </c>
    </row>
    <row r="20" spans="1:5" x14ac:dyDescent="0.2">
      <c r="A20" t="s">
        <v>1263</v>
      </c>
      <c r="B20" t="s">
        <v>1446</v>
      </c>
      <c r="C20">
        <v>0</v>
      </c>
      <c r="D20">
        <v>0</v>
      </c>
      <c r="E20">
        <v>328</v>
      </c>
    </row>
    <row r="21" spans="1:5" x14ac:dyDescent="0.2">
      <c r="A21" t="s">
        <v>1264</v>
      </c>
      <c r="B21" t="s">
        <v>1446</v>
      </c>
      <c r="C21">
        <v>0</v>
      </c>
      <c r="D21">
        <v>0</v>
      </c>
      <c r="E21">
        <v>320</v>
      </c>
    </row>
    <row r="22" spans="1:5" x14ac:dyDescent="0.2">
      <c r="A22" t="s">
        <v>1265</v>
      </c>
      <c r="B22" t="s">
        <v>1446</v>
      </c>
      <c r="C22">
        <v>0</v>
      </c>
      <c r="D22">
        <v>0</v>
      </c>
      <c r="E22">
        <v>656</v>
      </c>
    </row>
    <row r="23" spans="1:5" x14ac:dyDescent="0.2">
      <c r="A23" t="s">
        <v>1266</v>
      </c>
      <c r="B23" t="s">
        <v>1446</v>
      </c>
      <c r="C23">
        <v>0</v>
      </c>
      <c r="D23">
        <v>0</v>
      </c>
      <c r="E23">
        <v>656</v>
      </c>
    </row>
    <row r="24" spans="1:5" x14ac:dyDescent="0.2">
      <c r="A24" t="s">
        <v>1267</v>
      </c>
      <c r="B24" t="s">
        <v>1446</v>
      </c>
      <c r="C24">
        <v>0</v>
      </c>
      <c r="D24">
        <v>0</v>
      </c>
      <c r="E24">
        <v>640</v>
      </c>
    </row>
    <row r="25" spans="1:5" x14ac:dyDescent="0.2">
      <c r="A25" t="s">
        <v>1268</v>
      </c>
      <c r="B25" t="s">
        <v>1446</v>
      </c>
      <c r="C25">
        <v>0</v>
      </c>
      <c r="D25">
        <v>0</v>
      </c>
      <c r="E25">
        <v>312</v>
      </c>
    </row>
    <row r="26" spans="1:5" x14ac:dyDescent="0.2">
      <c r="A26" t="s">
        <v>1269</v>
      </c>
      <c r="B26" t="s">
        <v>1446</v>
      </c>
      <c r="C26">
        <v>0</v>
      </c>
      <c r="D26">
        <v>0</v>
      </c>
      <c r="E26">
        <v>337</v>
      </c>
    </row>
    <row r="27" spans="1:5" x14ac:dyDescent="0.2">
      <c r="A27" t="s">
        <v>1270</v>
      </c>
      <c r="B27" t="s">
        <v>1446</v>
      </c>
      <c r="C27">
        <v>0</v>
      </c>
      <c r="D27">
        <v>0</v>
      </c>
      <c r="E27">
        <v>328</v>
      </c>
    </row>
    <row r="28" spans="1:5" x14ac:dyDescent="0.2">
      <c r="A28" t="s">
        <v>1271</v>
      </c>
      <c r="B28" t="s">
        <v>1446</v>
      </c>
      <c r="C28">
        <v>0</v>
      </c>
      <c r="D28">
        <v>0</v>
      </c>
      <c r="E28">
        <v>0</v>
      </c>
    </row>
    <row r="29" spans="1:5" x14ac:dyDescent="0.2">
      <c r="A29" t="s">
        <v>1272</v>
      </c>
      <c r="B29" t="s">
        <v>1446</v>
      </c>
      <c r="C29">
        <v>0</v>
      </c>
      <c r="D29">
        <v>0</v>
      </c>
      <c r="E29">
        <v>0</v>
      </c>
    </row>
    <row r="30" spans="1:5" x14ac:dyDescent="0.2">
      <c r="A30" t="s">
        <v>1273</v>
      </c>
      <c r="B30" t="s">
        <v>1446</v>
      </c>
      <c r="C30">
        <v>0</v>
      </c>
      <c r="D30">
        <v>0</v>
      </c>
      <c r="E30">
        <v>0</v>
      </c>
    </row>
    <row r="31" spans="1:5" x14ac:dyDescent="0.2">
      <c r="A31" t="s">
        <v>1274</v>
      </c>
      <c r="B31" t="s">
        <v>1446</v>
      </c>
      <c r="C31">
        <v>0</v>
      </c>
      <c r="D31">
        <v>0</v>
      </c>
      <c r="E31">
        <v>0</v>
      </c>
    </row>
    <row r="32" spans="1:5" x14ac:dyDescent="0.2">
      <c r="A32" t="s">
        <v>1275</v>
      </c>
      <c r="B32" t="s">
        <v>1446</v>
      </c>
      <c r="C32">
        <v>0</v>
      </c>
      <c r="D32">
        <v>0</v>
      </c>
      <c r="E32">
        <v>0</v>
      </c>
    </row>
    <row r="33" spans="1:5" x14ac:dyDescent="0.2">
      <c r="A33" t="s">
        <v>1276</v>
      </c>
      <c r="B33" t="s">
        <v>1446</v>
      </c>
      <c r="C33">
        <v>0</v>
      </c>
      <c r="D33">
        <v>0</v>
      </c>
      <c r="E33">
        <v>0</v>
      </c>
    </row>
    <row r="34" spans="1:5" x14ac:dyDescent="0.2">
      <c r="A34" t="s">
        <v>1277</v>
      </c>
      <c r="B34" t="s">
        <v>1446</v>
      </c>
      <c r="C34">
        <v>0</v>
      </c>
      <c r="D34">
        <v>0</v>
      </c>
      <c r="E34">
        <v>0</v>
      </c>
    </row>
    <row r="35" spans="1:5" x14ac:dyDescent="0.2">
      <c r="A35" t="s">
        <v>1278</v>
      </c>
      <c r="B35" t="s">
        <v>1446</v>
      </c>
      <c r="C35">
        <v>0</v>
      </c>
      <c r="D35">
        <v>0</v>
      </c>
      <c r="E35">
        <v>0</v>
      </c>
    </row>
    <row r="36" spans="1:5" x14ac:dyDescent="0.2">
      <c r="A36" t="s">
        <v>1279</v>
      </c>
      <c r="B36" t="s">
        <v>1446</v>
      </c>
      <c r="C36">
        <v>0</v>
      </c>
      <c r="D36">
        <v>0</v>
      </c>
      <c r="E36">
        <v>0</v>
      </c>
    </row>
    <row r="37" spans="1:5" x14ac:dyDescent="0.2">
      <c r="A37" t="s">
        <v>1280</v>
      </c>
      <c r="B37" t="s">
        <v>1446</v>
      </c>
      <c r="C37">
        <v>0</v>
      </c>
      <c r="D37">
        <v>0</v>
      </c>
      <c r="E37">
        <v>0</v>
      </c>
    </row>
    <row r="38" spans="1:5" x14ac:dyDescent="0.2">
      <c r="A38" t="s">
        <v>1281</v>
      </c>
      <c r="B38" t="s">
        <v>1446</v>
      </c>
      <c r="C38">
        <v>0</v>
      </c>
      <c r="D38">
        <v>0</v>
      </c>
      <c r="E38">
        <v>0</v>
      </c>
    </row>
    <row r="39" spans="1:5" x14ac:dyDescent="0.2">
      <c r="A39" t="s">
        <v>1282</v>
      </c>
      <c r="B39" t="s">
        <v>1446</v>
      </c>
      <c r="C39">
        <v>0</v>
      </c>
      <c r="D39">
        <v>0</v>
      </c>
      <c r="E39">
        <v>0</v>
      </c>
    </row>
    <row r="40" spans="1:5" x14ac:dyDescent="0.2">
      <c r="A40" t="s">
        <v>1283</v>
      </c>
      <c r="B40" t="s">
        <v>1446</v>
      </c>
      <c r="C40">
        <v>0</v>
      </c>
      <c r="D40">
        <v>0</v>
      </c>
      <c r="E40">
        <v>0</v>
      </c>
    </row>
    <row r="41" spans="1:5" x14ac:dyDescent="0.2">
      <c r="A41" t="s">
        <v>1284</v>
      </c>
      <c r="B41" t="s">
        <v>1446</v>
      </c>
      <c r="C41">
        <v>0</v>
      </c>
      <c r="D41">
        <v>0</v>
      </c>
      <c r="E41">
        <v>0</v>
      </c>
    </row>
    <row r="42" spans="1:5" x14ac:dyDescent="0.2">
      <c r="A42" t="s">
        <v>1285</v>
      </c>
      <c r="B42" t="s">
        <v>1446</v>
      </c>
      <c r="C42">
        <v>0</v>
      </c>
      <c r="D42">
        <v>0</v>
      </c>
      <c r="E42">
        <v>0</v>
      </c>
    </row>
    <row r="43" spans="1:5" x14ac:dyDescent="0.2">
      <c r="A43" t="s">
        <v>1286</v>
      </c>
      <c r="B43" t="s">
        <v>1446</v>
      </c>
      <c r="C43">
        <v>0</v>
      </c>
      <c r="D43">
        <v>0</v>
      </c>
      <c r="E43">
        <v>0</v>
      </c>
    </row>
    <row r="44" spans="1:5" x14ac:dyDescent="0.2">
      <c r="A44" t="s">
        <v>1287</v>
      </c>
      <c r="B44" t="s">
        <v>1446</v>
      </c>
      <c r="C44">
        <v>0</v>
      </c>
      <c r="D44">
        <v>0</v>
      </c>
      <c r="E44">
        <v>0</v>
      </c>
    </row>
    <row r="45" spans="1:5" x14ac:dyDescent="0.2">
      <c r="A45" t="s">
        <v>1288</v>
      </c>
      <c r="B45" t="s">
        <v>1446</v>
      </c>
      <c r="C45">
        <v>0</v>
      </c>
      <c r="D45">
        <v>0</v>
      </c>
      <c r="E45">
        <v>0</v>
      </c>
    </row>
    <row r="46" spans="1:5" x14ac:dyDescent="0.2">
      <c r="A46" t="s">
        <v>1289</v>
      </c>
      <c r="B46" t="s">
        <v>1446</v>
      </c>
      <c r="C46">
        <v>0</v>
      </c>
      <c r="D46">
        <v>0</v>
      </c>
      <c r="E46">
        <v>0</v>
      </c>
    </row>
    <row r="47" spans="1:5" x14ac:dyDescent="0.2">
      <c r="A47" t="s">
        <v>1290</v>
      </c>
      <c r="B47" t="s">
        <v>1446</v>
      </c>
      <c r="C47">
        <v>0</v>
      </c>
      <c r="D47">
        <v>0</v>
      </c>
      <c r="E47">
        <v>0</v>
      </c>
    </row>
    <row r="48" spans="1:5" x14ac:dyDescent="0.2">
      <c r="A48" t="s">
        <v>1291</v>
      </c>
      <c r="B48" t="s">
        <v>1446</v>
      </c>
      <c r="C48">
        <v>0</v>
      </c>
      <c r="D48">
        <v>0</v>
      </c>
      <c r="E48">
        <v>0</v>
      </c>
    </row>
    <row r="49" spans="1:5" x14ac:dyDescent="0.2">
      <c r="A49" t="s">
        <v>1292</v>
      </c>
      <c r="B49" t="s">
        <v>1446</v>
      </c>
      <c r="C49">
        <v>0</v>
      </c>
      <c r="D49">
        <v>0</v>
      </c>
      <c r="E49">
        <v>0</v>
      </c>
    </row>
    <row r="50" spans="1:5" x14ac:dyDescent="0.2">
      <c r="A50" t="s">
        <v>1293</v>
      </c>
      <c r="B50" t="s">
        <v>1446</v>
      </c>
      <c r="C50">
        <v>0</v>
      </c>
      <c r="D50">
        <v>0</v>
      </c>
      <c r="E50">
        <v>0</v>
      </c>
    </row>
    <row r="51" spans="1:5" x14ac:dyDescent="0.2">
      <c r="A51" t="s">
        <v>1294</v>
      </c>
      <c r="B51" t="s">
        <v>1446</v>
      </c>
      <c r="C51">
        <v>0</v>
      </c>
      <c r="D51">
        <v>0</v>
      </c>
      <c r="E51">
        <v>0</v>
      </c>
    </row>
    <row r="52" spans="1:5" x14ac:dyDescent="0.2">
      <c r="A52" t="s">
        <v>1295</v>
      </c>
      <c r="B52" t="s">
        <v>1446</v>
      </c>
      <c r="C52">
        <v>0</v>
      </c>
      <c r="D52">
        <v>0</v>
      </c>
      <c r="E52">
        <v>0</v>
      </c>
    </row>
    <row r="53" spans="1:5" x14ac:dyDescent="0.2">
      <c r="A53" t="s">
        <v>1296</v>
      </c>
      <c r="B53" t="s">
        <v>1446</v>
      </c>
      <c r="C53">
        <v>0</v>
      </c>
      <c r="D53">
        <v>0</v>
      </c>
      <c r="E53">
        <v>0</v>
      </c>
    </row>
    <row r="54" spans="1:5" x14ac:dyDescent="0.2">
      <c r="A54" t="s">
        <v>1297</v>
      </c>
      <c r="B54" t="s">
        <v>1446</v>
      </c>
      <c r="C54">
        <v>0</v>
      </c>
      <c r="D54">
        <v>0</v>
      </c>
      <c r="E54">
        <v>0</v>
      </c>
    </row>
    <row r="55" spans="1:5" x14ac:dyDescent="0.2">
      <c r="A55" t="s">
        <v>1298</v>
      </c>
      <c r="B55" t="s">
        <v>1446</v>
      </c>
      <c r="C55">
        <v>0</v>
      </c>
      <c r="D55">
        <v>0</v>
      </c>
      <c r="E55">
        <v>0</v>
      </c>
    </row>
    <row r="56" spans="1:5" x14ac:dyDescent="0.2">
      <c r="A56" t="s">
        <v>1299</v>
      </c>
      <c r="B56" t="s">
        <v>1446</v>
      </c>
      <c r="C56">
        <v>0</v>
      </c>
      <c r="D56">
        <v>0</v>
      </c>
      <c r="E56">
        <v>0</v>
      </c>
    </row>
    <row r="57" spans="1:5" x14ac:dyDescent="0.2">
      <c r="A57" t="s">
        <v>1300</v>
      </c>
      <c r="B57" t="s">
        <v>1446</v>
      </c>
      <c r="C57">
        <v>0</v>
      </c>
      <c r="D57">
        <v>0</v>
      </c>
      <c r="E57">
        <v>0</v>
      </c>
    </row>
    <row r="58" spans="1:5" x14ac:dyDescent="0.2">
      <c r="A58" t="s">
        <v>1301</v>
      </c>
      <c r="B58" t="s">
        <v>1446</v>
      </c>
      <c r="C58">
        <v>0</v>
      </c>
      <c r="D58">
        <v>0</v>
      </c>
      <c r="E58">
        <v>0</v>
      </c>
    </row>
    <row r="59" spans="1:5" x14ac:dyDescent="0.2">
      <c r="A59" t="s">
        <v>1302</v>
      </c>
      <c r="B59" t="s">
        <v>1446</v>
      </c>
      <c r="C59">
        <v>0</v>
      </c>
      <c r="D59">
        <v>0</v>
      </c>
      <c r="E59">
        <v>0</v>
      </c>
    </row>
    <row r="60" spans="1:5" x14ac:dyDescent="0.2">
      <c r="A60" t="s">
        <v>1303</v>
      </c>
      <c r="B60" t="s">
        <v>1446</v>
      </c>
      <c r="C60">
        <v>0</v>
      </c>
      <c r="D60">
        <v>0</v>
      </c>
      <c r="E60">
        <v>0</v>
      </c>
    </row>
    <row r="61" spans="1:5" x14ac:dyDescent="0.2">
      <c r="A61" t="s">
        <v>1304</v>
      </c>
      <c r="B61" t="s">
        <v>1446</v>
      </c>
      <c r="C61">
        <v>0</v>
      </c>
      <c r="D61">
        <v>0</v>
      </c>
      <c r="E61">
        <v>0</v>
      </c>
    </row>
    <row r="62" spans="1:5" x14ac:dyDescent="0.2">
      <c r="A62" t="s">
        <v>1305</v>
      </c>
      <c r="B62" t="s">
        <v>1446</v>
      </c>
      <c r="C62">
        <v>0</v>
      </c>
      <c r="D62">
        <v>0</v>
      </c>
      <c r="E62">
        <v>0</v>
      </c>
    </row>
    <row r="63" spans="1:5" x14ac:dyDescent="0.2">
      <c r="A63" t="s">
        <v>1306</v>
      </c>
      <c r="B63" t="s">
        <v>1446</v>
      </c>
      <c r="C63">
        <v>0</v>
      </c>
      <c r="D63">
        <v>0</v>
      </c>
      <c r="E63">
        <v>0</v>
      </c>
    </row>
    <row r="64" spans="1:5" x14ac:dyDescent="0.2">
      <c r="A64" t="s">
        <v>1307</v>
      </c>
      <c r="B64" t="s">
        <v>1446</v>
      </c>
      <c r="C64">
        <v>0</v>
      </c>
      <c r="D64">
        <v>0</v>
      </c>
      <c r="E64">
        <v>0</v>
      </c>
    </row>
    <row r="65" spans="1:5" x14ac:dyDescent="0.2">
      <c r="A65" t="s">
        <v>1308</v>
      </c>
      <c r="B65" t="s">
        <v>1446</v>
      </c>
      <c r="C65">
        <v>0</v>
      </c>
      <c r="D65">
        <v>0</v>
      </c>
      <c r="E65">
        <v>0</v>
      </c>
    </row>
    <row r="66" spans="1:5" x14ac:dyDescent="0.2">
      <c r="A66" t="s">
        <v>1309</v>
      </c>
      <c r="B66" t="s">
        <v>1446</v>
      </c>
      <c r="C66">
        <v>0</v>
      </c>
      <c r="D66">
        <v>0</v>
      </c>
      <c r="E66">
        <v>0</v>
      </c>
    </row>
    <row r="67" spans="1:5" x14ac:dyDescent="0.2">
      <c r="A67" t="s">
        <v>1310</v>
      </c>
      <c r="B67" t="s">
        <v>1446</v>
      </c>
      <c r="C67">
        <v>0</v>
      </c>
      <c r="D67">
        <v>0</v>
      </c>
      <c r="E67">
        <v>0</v>
      </c>
    </row>
    <row r="68" spans="1:5" x14ac:dyDescent="0.2">
      <c r="A68" t="s">
        <v>1311</v>
      </c>
      <c r="B68" t="s">
        <v>1446</v>
      </c>
      <c r="C68">
        <v>0</v>
      </c>
      <c r="D68">
        <v>0</v>
      </c>
      <c r="E68">
        <v>0</v>
      </c>
    </row>
    <row r="69" spans="1:5" x14ac:dyDescent="0.2">
      <c r="A69" t="s">
        <v>1312</v>
      </c>
      <c r="B69" t="s">
        <v>1446</v>
      </c>
      <c r="C69">
        <v>0</v>
      </c>
      <c r="D69">
        <v>0</v>
      </c>
      <c r="E69">
        <v>0</v>
      </c>
    </row>
    <row r="70" spans="1:5" x14ac:dyDescent="0.2">
      <c r="A70" t="s">
        <v>1313</v>
      </c>
      <c r="B70" t="s">
        <v>1446</v>
      </c>
      <c r="C70">
        <v>0</v>
      </c>
      <c r="D70">
        <v>0</v>
      </c>
      <c r="E70">
        <v>0</v>
      </c>
    </row>
    <row r="71" spans="1:5" x14ac:dyDescent="0.2">
      <c r="A71" t="s">
        <v>1314</v>
      </c>
      <c r="B71" t="s">
        <v>1446</v>
      </c>
      <c r="C71">
        <v>0</v>
      </c>
      <c r="D71">
        <v>0</v>
      </c>
      <c r="E71">
        <v>0</v>
      </c>
    </row>
    <row r="72" spans="1:5" x14ac:dyDescent="0.2">
      <c r="A72" t="s">
        <v>1315</v>
      </c>
      <c r="B72" t="s">
        <v>1446</v>
      </c>
      <c r="C72">
        <v>0</v>
      </c>
      <c r="D72">
        <v>0</v>
      </c>
      <c r="E72">
        <v>0</v>
      </c>
    </row>
    <row r="73" spans="1:5" x14ac:dyDescent="0.2">
      <c r="A73" t="s">
        <v>1316</v>
      </c>
      <c r="B73" t="s">
        <v>1446</v>
      </c>
      <c r="C73">
        <v>0</v>
      </c>
      <c r="D73">
        <v>0</v>
      </c>
      <c r="E73">
        <v>0</v>
      </c>
    </row>
    <row r="74" spans="1:5" x14ac:dyDescent="0.2">
      <c r="A74" t="s">
        <v>1317</v>
      </c>
      <c r="B74" t="s">
        <v>1446</v>
      </c>
      <c r="C74">
        <v>0</v>
      </c>
      <c r="D74">
        <v>0</v>
      </c>
      <c r="E74">
        <v>0</v>
      </c>
    </row>
    <row r="75" spans="1:5" x14ac:dyDescent="0.2">
      <c r="A75" t="s">
        <v>1318</v>
      </c>
      <c r="B75" t="s">
        <v>1446</v>
      </c>
      <c r="C75">
        <v>0</v>
      </c>
      <c r="D75">
        <v>0</v>
      </c>
      <c r="E75">
        <v>0</v>
      </c>
    </row>
    <row r="76" spans="1:5" x14ac:dyDescent="0.2">
      <c r="A76" t="s">
        <v>1319</v>
      </c>
      <c r="B76" t="s">
        <v>1446</v>
      </c>
      <c r="C76">
        <v>0</v>
      </c>
      <c r="D76">
        <v>0</v>
      </c>
      <c r="E76">
        <v>0</v>
      </c>
    </row>
    <row r="77" spans="1:5" x14ac:dyDescent="0.2">
      <c r="A77" t="s">
        <v>1320</v>
      </c>
      <c r="B77" t="s">
        <v>1446</v>
      </c>
      <c r="C77">
        <v>0</v>
      </c>
      <c r="D77">
        <v>0</v>
      </c>
      <c r="E77">
        <v>0</v>
      </c>
    </row>
    <row r="78" spans="1:5" x14ac:dyDescent="0.2">
      <c r="A78" t="s">
        <v>1321</v>
      </c>
      <c r="B78" t="s">
        <v>1446</v>
      </c>
      <c r="C78">
        <v>0</v>
      </c>
      <c r="D78">
        <v>0</v>
      </c>
      <c r="E78">
        <v>0</v>
      </c>
    </row>
    <row r="79" spans="1:5" x14ac:dyDescent="0.2">
      <c r="A79" t="s">
        <v>1322</v>
      </c>
      <c r="B79" t="s">
        <v>1446</v>
      </c>
      <c r="C79">
        <v>0</v>
      </c>
      <c r="D79">
        <v>0</v>
      </c>
      <c r="E79">
        <v>0</v>
      </c>
    </row>
    <row r="80" spans="1:5" x14ac:dyDescent="0.2">
      <c r="A80" t="s">
        <v>1323</v>
      </c>
      <c r="B80" t="s">
        <v>1446</v>
      </c>
      <c r="C80">
        <v>0</v>
      </c>
      <c r="D80">
        <v>0</v>
      </c>
      <c r="E80">
        <v>0</v>
      </c>
    </row>
    <row r="81" spans="1:5" x14ac:dyDescent="0.2">
      <c r="A81" t="s">
        <v>1324</v>
      </c>
      <c r="B81" t="s">
        <v>1446</v>
      </c>
      <c r="C81">
        <v>0</v>
      </c>
      <c r="D81">
        <v>0</v>
      </c>
      <c r="E81">
        <v>0</v>
      </c>
    </row>
    <row r="82" spans="1:5" x14ac:dyDescent="0.2">
      <c r="A82" t="s">
        <v>1325</v>
      </c>
      <c r="B82" t="s">
        <v>1446</v>
      </c>
      <c r="C82">
        <v>0</v>
      </c>
      <c r="D82">
        <v>0</v>
      </c>
      <c r="E82">
        <v>0</v>
      </c>
    </row>
    <row r="83" spans="1:5" x14ac:dyDescent="0.2">
      <c r="A83" t="s">
        <v>1326</v>
      </c>
      <c r="B83" t="s">
        <v>1446</v>
      </c>
      <c r="C83">
        <v>0</v>
      </c>
      <c r="D83">
        <v>0</v>
      </c>
      <c r="E83">
        <v>0</v>
      </c>
    </row>
    <row r="84" spans="1:5" x14ac:dyDescent="0.2">
      <c r="A84" t="s">
        <v>1327</v>
      </c>
      <c r="B84" t="s">
        <v>1446</v>
      </c>
      <c r="C84">
        <v>0</v>
      </c>
      <c r="D84">
        <v>0</v>
      </c>
      <c r="E84">
        <v>0</v>
      </c>
    </row>
    <row r="85" spans="1:5" x14ac:dyDescent="0.2">
      <c r="A85" t="s">
        <v>1328</v>
      </c>
      <c r="B85" t="s">
        <v>1446</v>
      </c>
      <c r="C85">
        <v>0</v>
      </c>
      <c r="D85">
        <v>0</v>
      </c>
      <c r="E85">
        <v>0</v>
      </c>
    </row>
    <row r="86" spans="1:5" x14ac:dyDescent="0.2">
      <c r="A86" t="s">
        <v>1329</v>
      </c>
      <c r="B86" t="s">
        <v>1446</v>
      </c>
      <c r="C86">
        <v>0</v>
      </c>
      <c r="D86">
        <v>0</v>
      </c>
      <c r="E86">
        <v>0</v>
      </c>
    </row>
    <row r="87" spans="1:5" x14ac:dyDescent="0.2">
      <c r="A87" t="s">
        <v>1330</v>
      </c>
      <c r="B87" t="s">
        <v>1446</v>
      </c>
      <c r="C87">
        <v>0</v>
      </c>
      <c r="D87">
        <v>0</v>
      </c>
      <c r="E87">
        <v>0</v>
      </c>
    </row>
    <row r="88" spans="1:5" x14ac:dyDescent="0.2">
      <c r="A88" t="s">
        <v>1331</v>
      </c>
      <c r="B88" t="s">
        <v>1446</v>
      </c>
      <c r="C88">
        <v>0</v>
      </c>
      <c r="D88">
        <v>0</v>
      </c>
      <c r="E88">
        <v>0</v>
      </c>
    </row>
    <row r="89" spans="1:5" x14ac:dyDescent="0.2">
      <c r="A89" t="s">
        <v>1332</v>
      </c>
      <c r="B89" t="s">
        <v>1446</v>
      </c>
      <c r="C89">
        <v>0</v>
      </c>
      <c r="D89">
        <v>0</v>
      </c>
      <c r="E89">
        <v>0</v>
      </c>
    </row>
    <row r="90" spans="1:5" x14ac:dyDescent="0.2">
      <c r="A90" t="s">
        <v>1333</v>
      </c>
      <c r="B90" t="s">
        <v>1446</v>
      </c>
      <c r="C90">
        <v>0</v>
      </c>
      <c r="D90">
        <v>0</v>
      </c>
      <c r="E90">
        <v>0</v>
      </c>
    </row>
    <row r="91" spans="1:5" x14ac:dyDescent="0.2">
      <c r="A91" t="s">
        <v>317</v>
      </c>
      <c r="B91" t="s">
        <v>1446</v>
      </c>
      <c r="C91">
        <v>0</v>
      </c>
      <c r="D91">
        <v>0</v>
      </c>
      <c r="E91">
        <v>0</v>
      </c>
    </row>
    <row r="92" spans="1:5" x14ac:dyDescent="0.2">
      <c r="A92" t="s">
        <v>318</v>
      </c>
      <c r="B92" t="s">
        <v>1446</v>
      </c>
      <c r="C92">
        <v>0</v>
      </c>
      <c r="D92">
        <v>0</v>
      </c>
      <c r="E92">
        <v>0</v>
      </c>
    </row>
    <row r="93" spans="1:5" x14ac:dyDescent="0.2">
      <c r="A93" t="s">
        <v>319</v>
      </c>
      <c r="B93" t="s">
        <v>1446</v>
      </c>
      <c r="C93">
        <v>0</v>
      </c>
      <c r="D93">
        <v>0</v>
      </c>
      <c r="E93">
        <v>0</v>
      </c>
    </row>
    <row r="94" spans="1:5" x14ac:dyDescent="0.2">
      <c r="A94" t="s">
        <v>320</v>
      </c>
      <c r="B94" t="s">
        <v>1446</v>
      </c>
      <c r="C94">
        <v>0</v>
      </c>
      <c r="D94">
        <v>0</v>
      </c>
      <c r="E94">
        <v>0</v>
      </c>
    </row>
    <row r="95" spans="1:5" x14ac:dyDescent="0.2">
      <c r="A95" t="s">
        <v>321</v>
      </c>
      <c r="B95" t="s">
        <v>1446</v>
      </c>
      <c r="C95">
        <v>0</v>
      </c>
      <c r="D95">
        <v>0</v>
      </c>
      <c r="E95">
        <v>0</v>
      </c>
    </row>
    <row r="96" spans="1:5" x14ac:dyDescent="0.2">
      <c r="A96" t="s">
        <v>322</v>
      </c>
      <c r="B96" t="s">
        <v>1446</v>
      </c>
      <c r="C96">
        <v>0</v>
      </c>
      <c r="D96">
        <v>0</v>
      </c>
      <c r="E96">
        <v>0</v>
      </c>
    </row>
    <row r="97" spans="1:5" x14ac:dyDescent="0.2">
      <c r="A97" t="s">
        <v>323</v>
      </c>
      <c r="B97" t="s">
        <v>1446</v>
      </c>
      <c r="C97">
        <v>0</v>
      </c>
      <c r="D97">
        <v>0</v>
      </c>
      <c r="E97">
        <v>0</v>
      </c>
    </row>
    <row r="98" spans="1:5" x14ac:dyDescent="0.2">
      <c r="A98" t="s">
        <v>324</v>
      </c>
      <c r="B98" t="s">
        <v>1446</v>
      </c>
      <c r="C98">
        <v>0</v>
      </c>
      <c r="D98">
        <v>0</v>
      </c>
      <c r="E98">
        <v>0</v>
      </c>
    </row>
    <row r="99" spans="1:5" x14ac:dyDescent="0.2">
      <c r="A99" t="s">
        <v>325</v>
      </c>
      <c r="B99" t="s">
        <v>1446</v>
      </c>
      <c r="C99">
        <v>0</v>
      </c>
      <c r="D99">
        <v>0</v>
      </c>
      <c r="E99">
        <v>0</v>
      </c>
    </row>
  </sheetData>
  <phoneticPr fontId="2" type="noConversion"/>
  <pageMargins left="0.75" right="0.75" top="1" bottom="1" header="0.5" footer="0.5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missions"/>
  <dimension ref="A1:B196"/>
  <sheetViews>
    <sheetView workbookViewId="0">
      <selection activeCell="B1" sqref="B1"/>
    </sheetView>
  </sheetViews>
  <sheetFormatPr defaultRowHeight="12.75" x14ac:dyDescent="0.2"/>
  <cols>
    <col min="1" max="1" width="127.7109375" bestFit="1" customWidth="1"/>
    <col min="2" max="2" width="23.140625" bestFit="1" customWidth="1"/>
    <col min="3" max="3" width="11.7109375" customWidth="1"/>
    <col min="4" max="4" width="14.85546875" bestFit="1" customWidth="1"/>
    <col min="5" max="5" width="8" bestFit="1" customWidth="1"/>
    <col min="6" max="6" width="8.7109375" bestFit="1" customWidth="1"/>
    <col min="7" max="7" width="12.7109375" bestFit="1" customWidth="1"/>
  </cols>
  <sheetData>
    <row r="1" spans="1:2" x14ac:dyDescent="0.2">
      <c r="A1" s="1" t="s">
        <v>1019</v>
      </c>
      <c r="B1" s="1"/>
    </row>
    <row r="2" spans="1:2" s="1" customFormat="1" x14ac:dyDescent="0.2">
      <c r="A2" s="1" t="s">
        <v>30</v>
      </c>
    </row>
    <row r="3" spans="1:2" x14ac:dyDescent="0.2">
      <c r="A3" t="s">
        <v>31</v>
      </c>
    </row>
    <row r="4" spans="1:2" x14ac:dyDescent="0.2">
      <c r="A4" t="s">
        <v>32</v>
      </c>
    </row>
    <row r="5" spans="1:2" x14ac:dyDescent="0.2">
      <c r="A5" t="s">
        <v>33</v>
      </c>
    </row>
    <row r="6" spans="1:2" x14ac:dyDescent="0.2">
      <c r="A6" t="s">
        <v>34</v>
      </c>
    </row>
    <row r="7" spans="1:2" x14ac:dyDescent="0.2">
      <c r="A7" t="s">
        <v>35</v>
      </c>
    </row>
    <row r="8" spans="1:2" x14ac:dyDescent="0.2">
      <c r="A8" t="s">
        <v>36</v>
      </c>
    </row>
    <row r="9" spans="1:2" x14ac:dyDescent="0.2">
      <c r="A9" t="s">
        <v>37</v>
      </c>
    </row>
    <row r="10" spans="1:2" x14ac:dyDescent="0.2">
      <c r="A10" t="s">
        <v>38</v>
      </c>
    </row>
    <row r="11" spans="1:2" x14ac:dyDescent="0.2">
      <c r="A11" t="s">
        <v>39</v>
      </c>
    </row>
    <row r="12" spans="1:2" x14ac:dyDescent="0.2">
      <c r="A12" t="s">
        <v>40</v>
      </c>
    </row>
    <row r="13" spans="1:2" x14ac:dyDescent="0.2">
      <c r="A13" t="s">
        <v>41</v>
      </c>
    </row>
    <row r="14" spans="1:2" x14ac:dyDescent="0.2">
      <c r="A14" t="s">
        <v>42</v>
      </c>
    </row>
    <row r="15" spans="1:2" x14ac:dyDescent="0.2">
      <c r="A15" t="s">
        <v>43</v>
      </c>
    </row>
    <row r="16" spans="1:2" x14ac:dyDescent="0.2">
      <c r="A16" t="s">
        <v>44</v>
      </c>
    </row>
    <row r="17" spans="1:1" x14ac:dyDescent="0.2">
      <c r="A17" t="s">
        <v>45</v>
      </c>
    </row>
    <row r="18" spans="1:1" x14ac:dyDescent="0.2">
      <c r="A18" t="s">
        <v>46</v>
      </c>
    </row>
    <row r="19" spans="1:1" x14ac:dyDescent="0.2">
      <c r="A19" t="s">
        <v>47</v>
      </c>
    </row>
    <row r="20" spans="1:1" x14ac:dyDescent="0.2">
      <c r="A20" t="s">
        <v>48</v>
      </c>
    </row>
    <row r="21" spans="1:1" x14ac:dyDescent="0.2">
      <c r="A21" t="s">
        <v>49</v>
      </c>
    </row>
    <row r="22" spans="1:1" x14ac:dyDescent="0.2">
      <c r="A22" t="s">
        <v>50</v>
      </c>
    </row>
    <row r="23" spans="1:1" x14ac:dyDescent="0.2">
      <c r="A23" t="s">
        <v>51</v>
      </c>
    </row>
    <row r="24" spans="1:1" x14ac:dyDescent="0.2">
      <c r="A24" t="s">
        <v>52</v>
      </c>
    </row>
    <row r="25" spans="1:1" x14ac:dyDescent="0.2">
      <c r="A25" t="s">
        <v>53</v>
      </c>
    </row>
    <row r="26" spans="1:1" x14ac:dyDescent="0.2">
      <c r="A26" t="s">
        <v>54</v>
      </c>
    </row>
    <row r="27" spans="1:1" x14ac:dyDescent="0.2">
      <c r="A27" t="s">
        <v>55</v>
      </c>
    </row>
    <row r="28" spans="1:1" x14ac:dyDescent="0.2">
      <c r="A28" t="s">
        <v>56</v>
      </c>
    </row>
    <row r="29" spans="1:1" x14ac:dyDescent="0.2">
      <c r="A29" t="s">
        <v>57</v>
      </c>
    </row>
    <row r="30" spans="1:1" x14ac:dyDescent="0.2">
      <c r="A30" t="s">
        <v>58</v>
      </c>
    </row>
    <row r="31" spans="1:1" x14ac:dyDescent="0.2">
      <c r="A31" t="s">
        <v>59</v>
      </c>
    </row>
    <row r="32" spans="1:1" x14ac:dyDescent="0.2">
      <c r="A32" t="s">
        <v>60</v>
      </c>
    </row>
    <row r="33" spans="1:1" x14ac:dyDescent="0.2">
      <c r="A33" t="s">
        <v>61</v>
      </c>
    </row>
    <row r="34" spans="1:1" x14ac:dyDescent="0.2">
      <c r="A34" t="s">
        <v>62</v>
      </c>
    </row>
    <row r="35" spans="1:1" x14ac:dyDescent="0.2">
      <c r="A35" t="s">
        <v>63</v>
      </c>
    </row>
    <row r="36" spans="1:1" x14ac:dyDescent="0.2">
      <c r="A36" t="s">
        <v>64</v>
      </c>
    </row>
    <row r="37" spans="1:1" x14ac:dyDescent="0.2">
      <c r="A37" t="s">
        <v>65</v>
      </c>
    </row>
    <row r="38" spans="1:1" x14ac:dyDescent="0.2">
      <c r="A38" t="s">
        <v>66</v>
      </c>
    </row>
    <row r="39" spans="1:1" x14ac:dyDescent="0.2">
      <c r="A39" t="s">
        <v>67</v>
      </c>
    </row>
    <row r="40" spans="1:1" x14ac:dyDescent="0.2">
      <c r="A40" t="s">
        <v>68</v>
      </c>
    </row>
    <row r="41" spans="1:1" x14ac:dyDescent="0.2">
      <c r="A41" t="s">
        <v>69</v>
      </c>
    </row>
    <row r="42" spans="1:1" x14ac:dyDescent="0.2">
      <c r="A42" t="s">
        <v>70</v>
      </c>
    </row>
    <row r="43" spans="1:1" x14ac:dyDescent="0.2">
      <c r="A43" t="s">
        <v>71</v>
      </c>
    </row>
    <row r="44" spans="1:1" x14ac:dyDescent="0.2">
      <c r="A44" t="s">
        <v>72</v>
      </c>
    </row>
    <row r="45" spans="1:1" x14ac:dyDescent="0.2">
      <c r="A45" t="s">
        <v>73</v>
      </c>
    </row>
    <row r="46" spans="1:1" x14ac:dyDescent="0.2">
      <c r="A46" t="s">
        <v>74</v>
      </c>
    </row>
    <row r="47" spans="1:1" x14ac:dyDescent="0.2">
      <c r="A47" t="s">
        <v>75</v>
      </c>
    </row>
    <row r="48" spans="1:1" x14ac:dyDescent="0.2">
      <c r="A48" t="s">
        <v>76</v>
      </c>
    </row>
    <row r="49" spans="1:1" x14ac:dyDescent="0.2">
      <c r="A49" t="s">
        <v>77</v>
      </c>
    </row>
    <row r="50" spans="1:1" x14ac:dyDescent="0.2">
      <c r="A50" t="s">
        <v>78</v>
      </c>
    </row>
    <row r="51" spans="1:1" x14ac:dyDescent="0.2">
      <c r="A51" t="s">
        <v>79</v>
      </c>
    </row>
    <row r="52" spans="1:1" x14ac:dyDescent="0.2">
      <c r="A52" t="s">
        <v>80</v>
      </c>
    </row>
    <row r="53" spans="1:1" x14ac:dyDescent="0.2">
      <c r="A53" t="s">
        <v>81</v>
      </c>
    </row>
    <row r="54" spans="1:1" x14ac:dyDescent="0.2">
      <c r="A54" t="s">
        <v>82</v>
      </c>
    </row>
    <row r="55" spans="1:1" x14ac:dyDescent="0.2">
      <c r="A55" t="s">
        <v>83</v>
      </c>
    </row>
    <row r="56" spans="1:1" x14ac:dyDescent="0.2">
      <c r="A56" t="s">
        <v>84</v>
      </c>
    </row>
    <row r="57" spans="1:1" x14ac:dyDescent="0.2">
      <c r="A57" t="s">
        <v>85</v>
      </c>
    </row>
    <row r="58" spans="1:1" x14ac:dyDescent="0.2">
      <c r="A58" t="s">
        <v>86</v>
      </c>
    </row>
    <row r="59" spans="1:1" x14ac:dyDescent="0.2">
      <c r="A59" t="s">
        <v>810</v>
      </c>
    </row>
    <row r="60" spans="1:1" x14ac:dyDescent="0.2">
      <c r="A60" t="s">
        <v>811</v>
      </c>
    </row>
    <row r="61" spans="1:1" x14ac:dyDescent="0.2">
      <c r="A61" t="s">
        <v>812</v>
      </c>
    </row>
    <row r="62" spans="1:1" x14ac:dyDescent="0.2">
      <c r="A62" t="s">
        <v>813</v>
      </c>
    </row>
    <row r="63" spans="1:1" x14ac:dyDescent="0.2">
      <c r="A63" t="s">
        <v>814</v>
      </c>
    </row>
    <row r="64" spans="1:1" x14ac:dyDescent="0.2">
      <c r="A64" t="s">
        <v>815</v>
      </c>
    </row>
    <row r="65" spans="1:1" x14ac:dyDescent="0.2">
      <c r="A65" t="s">
        <v>816</v>
      </c>
    </row>
    <row r="66" spans="1:1" x14ac:dyDescent="0.2">
      <c r="A66" t="s">
        <v>817</v>
      </c>
    </row>
    <row r="67" spans="1:1" x14ac:dyDescent="0.2">
      <c r="A67" t="s">
        <v>818</v>
      </c>
    </row>
    <row r="68" spans="1:1" x14ac:dyDescent="0.2">
      <c r="A68" t="s">
        <v>819</v>
      </c>
    </row>
    <row r="69" spans="1:1" x14ac:dyDescent="0.2">
      <c r="A69" t="s">
        <v>820</v>
      </c>
    </row>
    <row r="70" spans="1:1" x14ac:dyDescent="0.2">
      <c r="A70" t="s">
        <v>821</v>
      </c>
    </row>
    <row r="71" spans="1:1" x14ac:dyDescent="0.2">
      <c r="A71" t="s">
        <v>822</v>
      </c>
    </row>
    <row r="72" spans="1:1" x14ac:dyDescent="0.2">
      <c r="A72" t="s">
        <v>823</v>
      </c>
    </row>
    <row r="73" spans="1:1" x14ac:dyDescent="0.2">
      <c r="A73" t="s">
        <v>824</v>
      </c>
    </row>
    <row r="74" spans="1:1" x14ac:dyDescent="0.2">
      <c r="A74" t="s">
        <v>825</v>
      </c>
    </row>
    <row r="75" spans="1:1" x14ac:dyDescent="0.2">
      <c r="A75" t="s">
        <v>826</v>
      </c>
    </row>
    <row r="76" spans="1:1" x14ac:dyDescent="0.2">
      <c r="A76" t="s">
        <v>827</v>
      </c>
    </row>
    <row r="77" spans="1:1" x14ac:dyDescent="0.2">
      <c r="A77" t="s">
        <v>828</v>
      </c>
    </row>
    <row r="78" spans="1:1" x14ac:dyDescent="0.2">
      <c r="A78" t="s">
        <v>829</v>
      </c>
    </row>
    <row r="79" spans="1:1" x14ac:dyDescent="0.2">
      <c r="A79" t="s">
        <v>830</v>
      </c>
    </row>
    <row r="80" spans="1:1" x14ac:dyDescent="0.2">
      <c r="A80" t="s">
        <v>831</v>
      </c>
    </row>
    <row r="81" spans="1:1" x14ac:dyDescent="0.2">
      <c r="A81" t="s">
        <v>832</v>
      </c>
    </row>
    <row r="82" spans="1:1" x14ac:dyDescent="0.2">
      <c r="A82" t="s">
        <v>833</v>
      </c>
    </row>
    <row r="83" spans="1:1" x14ac:dyDescent="0.2">
      <c r="A83" t="s">
        <v>834</v>
      </c>
    </row>
    <row r="84" spans="1:1" x14ac:dyDescent="0.2">
      <c r="A84" t="s">
        <v>835</v>
      </c>
    </row>
    <row r="85" spans="1:1" x14ac:dyDescent="0.2">
      <c r="A85" t="s">
        <v>836</v>
      </c>
    </row>
    <row r="86" spans="1:1" x14ac:dyDescent="0.2">
      <c r="A86" t="s">
        <v>837</v>
      </c>
    </row>
    <row r="87" spans="1:1" x14ac:dyDescent="0.2">
      <c r="A87" t="s">
        <v>838</v>
      </c>
    </row>
    <row r="88" spans="1:1" x14ac:dyDescent="0.2">
      <c r="A88" t="s">
        <v>839</v>
      </c>
    </row>
    <row r="89" spans="1:1" x14ac:dyDescent="0.2">
      <c r="A89" t="s">
        <v>840</v>
      </c>
    </row>
    <row r="90" spans="1:1" x14ac:dyDescent="0.2">
      <c r="A90" t="s">
        <v>841</v>
      </c>
    </row>
    <row r="91" spans="1:1" x14ac:dyDescent="0.2">
      <c r="A91" t="s">
        <v>842</v>
      </c>
    </row>
    <row r="92" spans="1:1" x14ac:dyDescent="0.2">
      <c r="A92" t="s">
        <v>843</v>
      </c>
    </row>
    <row r="93" spans="1:1" x14ac:dyDescent="0.2">
      <c r="A93" t="s">
        <v>844</v>
      </c>
    </row>
    <row r="94" spans="1:1" x14ac:dyDescent="0.2">
      <c r="A94" t="s">
        <v>845</v>
      </c>
    </row>
    <row r="95" spans="1:1" x14ac:dyDescent="0.2">
      <c r="A95" t="s">
        <v>846</v>
      </c>
    </row>
    <row r="96" spans="1:1" x14ac:dyDescent="0.2">
      <c r="A96" t="s">
        <v>847</v>
      </c>
    </row>
    <row r="97" spans="1:1" x14ac:dyDescent="0.2">
      <c r="A97" t="s">
        <v>848</v>
      </c>
    </row>
    <row r="98" spans="1:1" x14ac:dyDescent="0.2">
      <c r="A98" t="s">
        <v>849</v>
      </c>
    </row>
    <row r="99" spans="1:1" x14ac:dyDescent="0.2">
      <c r="A99" t="s">
        <v>850</v>
      </c>
    </row>
    <row r="100" spans="1:1" x14ac:dyDescent="0.2">
      <c r="A100" t="s">
        <v>851</v>
      </c>
    </row>
    <row r="101" spans="1:1" x14ac:dyDescent="0.2">
      <c r="A101" t="s">
        <v>852</v>
      </c>
    </row>
    <row r="102" spans="1:1" x14ac:dyDescent="0.2">
      <c r="A102" t="s">
        <v>853</v>
      </c>
    </row>
    <row r="103" spans="1:1" x14ac:dyDescent="0.2">
      <c r="A103" t="s">
        <v>854</v>
      </c>
    </row>
    <row r="104" spans="1:1" x14ac:dyDescent="0.2">
      <c r="A104" t="s">
        <v>855</v>
      </c>
    </row>
    <row r="105" spans="1:1" x14ac:dyDescent="0.2">
      <c r="A105" t="s">
        <v>856</v>
      </c>
    </row>
    <row r="106" spans="1:1" x14ac:dyDescent="0.2">
      <c r="A106" t="s">
        <v>857</v>
      </c>
    </row>
    <row r="107" spans="1:1" x14ac:dyDescent="0.2">
      <c r="A107" t="s">
        <v>858</v>
      </c>
    </row>
    <row r="108" spans="1:1" x14ac:dyDescent="0.2">
      <c r="A108" t="s">
        <v>859</v>
      </c>
    </row>
    <row r="109" spans="1:1" x14ac:dyDescent="0.2">
      <c r="A109" t="s">
        <v>860</v>
      </c>
    </row>
    <row r="110" spans="1:1" x14ac:dyDescent="0.2">
      <c r="A110" t="s">
        <v>861</v>
      </c>
    </row>
    <row r="111" spans="1:1" x14ac:dyDescent="0.2">
      <c r="A111" t="s">
        <v>862</v>
      </c>
    </row>
    <row r="112" spans="1:1" x14ac:dyDescent="0.2">
      <c r="A112" t="s">
        <v>863</v>
      </c>
    </row>
    <row r="113" spans="1:1" x14ac:dyDescent="0.2">
      <c r="A113" t="s">
        <v>864</v>
      </c>
    </row>
    <row r="114" spans="1:1" x14ac:dyDescent="0.2">
      <c r="A114" t="s">
        <v>865</v>
      </c>
    </row>
    <row r="115" spans="1:1" x14ac:dyDescent="0.2">
      <c r="A115" t="s">
        <v>866</v>
      </c>
    </row>
    <row r="116" spans="1:1" x14ac:dyDescent="0.2">
      <c r="A116" t="s">
        <v>867</v>
      </c>
    </row>
    <row r="117" spans="1:1" x14ac:dyDescent="0.2">
      <c r="A117" t="s">
        <v>868</v>
      </c>
    </row>
    <row r="118" spans="1:1" x14ac:dyDescent="0.2">
      <c r="A118" t="s">
        <v>869</v>
      </c>
    </row>
    <row r="119" spans="1:1" x14ac:dyDescent="0.2">
      <c r="A119" t="s">
        <v>870</v>
      </c>
    </row>
    <row r="120" spans="1:1" x14ac:dyDescent="0.2">
      <c r="A120" t="s">
        <v>871</v>
      </c>
    </row>
    <row r="121" spans="1:1" x14ac:dyDescent="0.2">
      <c r="A121" t="s">
        <v>872</v>
      </c>
    </row>
    <row r="122" spans="1:1" x14ac:dyDescent="0.2">
      <c r="A122" t="s">
        <v>873</v>
      </c>
    </row>
    <row r="123" spans="1:1" x14ac:dyDescent="0.2">
      <c r="A123" t="s">
        <v>874</v>
      </c>
    </row>
    <row r="124" spans="1:1" x14ac:dyDescent="0.2">
      <c r="A124" t="s">
        <v>875</v>
      </c>
    </row>
    <row r="125" spans="1:1" x14ac:dyDescent="0.2">
      <c r="A125" t="s">
        <v>876</v>
      </c>
    </row>
    <row r="126" spans="1:1" x14ac:dyDescent="0.2">
      <c r="A126" t="s">
        <v>877</v>
      </c>
    </row>
    <row r="127" spans="1:1" x14ac:dyDescent="0.2">
      <c r="A127" t="s">
        <v>878</v>
      </c>
    </row>
    <row r="128" spans="1:1" x14ac:dyDescent="0.2">
      <c r="A128" t="s">
        <v>879</v>
      </c>
    </row>
    <row r="129" spans="1:1" x14ac:dyDescent="0.2">
      <c r="A129" t="s">
        <v>880</v>
      </c>
    </row>
    <row r="130" spans="1:1" x14ac:dyDescent="0.2">
      <c r="A130" t="s">
        <v>881</v>
      </c>
    </row>
    <row r="131" spans="1:1" x14ac:dyDescent="0.2">
      <c r="A131" t="s">
        <v>882</v>
      </c>
    </row>
    <row r="132" spans="1:1" x14ac:dyDescent="0.2">
      <c r="A132" t="s">
        <v>883</v>
      </c>
    </row>
    <row r="133" spans="1:1" x14ac:dyDescent="0.2">
      <c r="A133" t="s">
        <v>884</v>
      </c>
    </row>
    <row r="134" spans="1:1" x14ac:dyDescent="0.2">
      <c r="A134" t="s">
        <v>885</v>
      </c>
    </row>
    <row r="135" spans="1:1" x14ac:dyDescent="0.2">
      <c r="A135" t="s">
        <v>886</v>
      </c>
    </row>
    <row r="136" spans="1:1" x14ac:dyDescent="0.2">
      <c r="A136" t="s">
        <v>887</v>
      </c>
    </row>
    <row r="137" spans="1:1" x14ac:dyDescent="0.2">
      <c r="A137" t="s">
        <v>888</v>
      </c>
    </row>
    <row r="138" spans="1:1" x14ac:dyDescent="0.2">
      <c r="A138" t="s">
        <v>889</v>
      </c>
    </row>
    <row r="139" spans="1:1" x14ac:dyDescent="0.2">
      <c r="A139" t="s">
        <v>890</v>
      </c>
    </row>
    <row r="140" spans="1:1" x14ac:dyDescent="0.2">
      <c r="A140" t="s">
        <v>891</v>
      </c>
    </row>
    <row r="141" spans="1:1" x14ac:dyDescent="0.2">
      <c r="A141" t="s">
        <v>892</v>
      </c>
    </row>
    <row r="142" spans="1:1" x14ac:dyDescent="0.2">
      <c r="A142" t="s">
        <v>893</v>
      </c>
    </row>
    <row r="143" spans="1:1" x14ac:dyDescent="0.2">
      <c r="A143" t="s">
        <v>894</v>
      </c>
    </row>
    <row r="144" spans="1:1" x14ac:dyDescent="0.2">
      <c r="A144" t="s">
        <v>895</v>
      </c>
    </row>
    <row r="145" spans="1:1" x14ac:dyDescent="0.2">
      <c r="A145" t="s">
        <v>896</v>
      </c>
    </row>
    <row r="146" spans="1:1" x14ac:dyDescent="0.2">
      <c r="A146" t="s">
        <v>897</v>
      </c>
    </row>
    <row r="147" spans="1:1" x14ac:dyDescent="0.2">
      <c r="A147" t="s">
        <v>898</v>
      </c>
    </row>
    <row r="148" spans="1:1" x14ac:dyDescent="0.2">
      <c r="A148" t="s">
        <v>899</v>
      </c>
    </row>
    <row r="149" spans="1:1" x14ac:dyDescent="0.2">
      <c r="A149" t="s">
        <v>900</v>
      </c>
    </row>
    <row r="150" spans="1:1" x14ac:dyDescent="0.2">
      <c r="A150" t="s">
        <v>901</v>
      </c>
    </row>
    <row r="151" spans="1:1" x14ac:dyDescent="0.2">
      <c r="A151" t="s">
        <v>902</v>
      </c>
    </row>
    <row r="152" spans="1:1" x14ac:dyDescent="0.2">
      <c r="A152" t="s">
        <v>903</v>
      </c>
    </row>
    <row r="153" spans="1:1" x14ac:dyDescent="0.2">
      <c r="A153" t="s">
        <v>904</v>
      </c>
    </row>
    <row r="154" spans="1:1" x14ac:dyDescent="0.2">
      <c r="A154" t="s">
        <v>905</v>
      </c>
    </row>
    <row r="155" spans="1:1" x14ac:dyDescent="0.2">
      <c r="A155" t="s">
        <v>906</v>
      </c>
    </row>
    <row r="156" spans="1:1" x14ac:dyDescent="0.2">
      <c r="A156" t="s">
        <v>907</v>
      </c>
    </row>
    <row r="157" spans="1:1" x14ac:dyDescent="0.2">
      <c r="A157" t="s">
        <v>442</v>
      </c>
    </row>
    <row r="158" spans="1:1" x14ac:dyDescent="0.2">
      <c r="A158" t="s">
        <v>443</v>
      </c>
    </row>
    <row r="159" spans="1:1" x14ac:dyDescent="0.2">
      <c r="A159" t="s">
        <v>444</v>
      </c>
    </row>
    <row r="160" spans="1:1" x14ac:dyDescent="0.2">
      <c r="A160" t="s">
        <v>445</v>
      </c>
    </row>
    <row r="161" spans="1:1" x14ac:dyDescent="0.2">
      <c r="A161" t="s">
        <v>446</v>
      </c>
    </row>
    <row r="162" spans="1:1" x14ac:dyDescent="0.2">
      <c r="A162" t="s">
        <v>447</v>
      </c>
    </row>
    <row r="163" spans="1:1" x14ac:dyDescent="0.2">
      <c r="A163" t="s">
        <v>448</v>
      </c>
    </row>
    <row r="164" spans="1:1" x14ac:dyDescent="0.2">
      <c r="A164" t="s">
        <v>449</v>
      </c>
    </row>
    <row r="165" spans="1:1" x14ac:dyDescent="0.2">
      <c r="A165" t="s">
        <v>450</v>
      </c>
    </row>
    <row r="166" spans="1:1" x14ac:dyDescent="0.2">
      <c r="A166" t="s">
        <v>451</v>
      </c>
    </row>
    <row r="167" spans="1:1" x14ac:dyDescent="0.2">
      <c r="A167" t="s">
        <v>452</v>
      </c>
    </row>
    <row r="168" spans="1:1" x14ac:dyDescent="0.2">
      <c r="A168" t="s">
        <v>453</v>
      </c>
    </row>
    <row r="169" spans="1:1" x14ac:dyDescent="0.2">
      <c r="A169" t="s">
        <v>454</v>
      </c>
    </row>
    <row r="170" spans="1:1" x14ac:dyDescent="0.2">
      <c r="A170" t="s">
        <v>455</v>
      </c>
    </row>
    <row r="171" spans="1:1" x14ac:dyDescent="0.2">
      <c r="A171" t="s">
        <v>456</v>
      </c>
    </row>
    <row r="172" spans="1:1" x14ac:dyDescent="0.2">
      <c r="A172" t="s">
        <v>457</v>
      </c>
    </row>
    <row r="173" spans="1:1" x14ac:dyDescent="0.2">
      <c r="A173" t="s">
        <v>458</v>
      </c>
    </row>
    <row r="174" spans="1:1" x14ac:dyDescent="0.2">
      <c r="A174" t="s">
        <v>459</v>
      </c>
    </row>
    <row r="175" spans="1:1" x14ac:dyDescent="0.2">
      <c r="A175" t="s">
        <v>460</v>
      </c>
    </row>
    <row r="176" spans="1:1" x14ac:dyDescent="0.2">
      <c r="A176" t="s">
        <v>461</v>
      </c>
    </row>
    <row r="177" spans="1:1" x14ac:dyDescent="0.2">
      <c r="A177" t="s">
        <v>462</v>
      </c>
    </row>
    <row r="178" spans="1:1" x14ac:dyDescent="0.2">
      <c r="A178" t="s">
        <v>463</v>
      </c>
    </row>
    <row r="179" spans="1:1" x14ac:dyDescent="0.2">
      <c r="A179" t="s">
        <v>464</v>
      </c>
    </row>
    <row r="180" spans="1:1" x14ac:dyDescent="0.2">
      <c r="A180" t="s">
        <v>465</v>
      </c>
    </row>
    <row r="181" spans="1:1" x14ac:dyDescent="0.2">
      <c r="A181" t="s">
        <v>466</v>
      </c>
    </row>
    <row r="182" spans="1:1" x14ac:dyDescent="0.2">
      <c r="A182" t="s">
        <v>467</v>
      </c>
    </row>
    <row r="183" spans="1:1" x14ac:dyDescent="0.2">
      <c r="A183" t="s">
        <v>468</v>
      </c>
    </row>
    <row r="184" spans="1:1" x14ac:dyDescent="0.2">
      <c r="A184" t="s">
        <v>469</v>
      </c>
    </row>
    <row r="185" spans="1:1" x14ac:dyDescent="0.2">
      <c r="A185" t="s">
        <v>470</v>
      </c>
    </row>
    <row r="186" spans="1:1" x14ac:dyDescent="0.2">
      <c r="A186" t="s">
        <v>471</v>
      </c>
    </row>
    <row r="187" spans="1:1" x14ac:dyDescent="0.2">
      <c r="A187" t="s">
        <v>472</v>
      </c>
    </row>
    <row r="188" spans="1:1" x14ac:dyDescent="0.2">
      <c r="A188" t="s">
        <v>473</v>
      </c>
    </row>
    <row r="189" spans="1:1" x14ac:dyDescent="0.2">
      <c r="A189" t="s">
        <v>474</v>
      </c>
    </row>
    <row r="190" spans="1:1" x14ac:dyDescent="0.2">
      <c r="A190" t="s">
        <v>475</v>
      </c>
    </row>
    <row r="191" spans="1:1" x14ac:dyDescent="0.2">
      <c r="A191" t="s">
        <v>476</v>
      </c>
    </row>
    <row r="192" spans="1:1" x14ac:dyDescent="0.2">
      <c r="A192" t="s">
        <v>477</v>
      </c>
    </row>
    <row r="193" spans="1:1" x14ac:dyDescent="0.2">
      <c r="A193" t="s">
        <v>478</v>
      </c>
    </row>
    <row r="194" spans="1:1" x14ac:dyDescent="0.2">
      <c r="A194" t="s">
        <v>479</v>
      </c>
    </row>
    <row r="195" spans="1:1" x14ac:dyDescent="0.2">
      <c r="A195" t="s">
        <v>480</v>
      </c>
    </row>
    <row r="196" spans="1:1" x14ac:dyDescent="0.2">
      <c r="A196" t="s">
        <v>481</v>
      </c>
    </row>
  </sheetData>
  <phoneticPr fontId="2" type="noConversion"/>
  <pageMargins left="0.7" right="0.7" top="0.75" bottom="0.75" header="0.3" footer="0.3"/>
  <pageSetup orientation="portrait" horizontalDpi="300" verticalDpi="30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aloVerdePeak"/>
  <dimension ref="A1:T117"/>
  <sheetViews>
    <sheetView workbookViewId="0">
      <selection activeCell="I30" sqref="I30"/>
    </sheetView>
  </sheetViews>
  <sheetFormatPr defaultRowHeight="12.75" x14ac:dyDescent="0.2"/>
  <cols>
    <col min="1" max="1" width="11.140625" bestFit="1" customWidth="1"/>
    <col min="2" max="2" width="8.5703125" bestFit="1" customWidth="1"/>
    <col min="3" max="3" width="5.7109375" bestFit="1" customWidth="1"/>
    <col min="4" max="4" width="5.140625" bestFit="1" customWidth="1"/>
    <col min="5" max="5" width="7.7109375" bestFit="1" customWidth="1"/>
    <col min="6" max="6" width="5.85546875" bestFit="1" customWidth="1"/>
    <col min="7" max="7" width="5.140625" bestFit="1" customWidth="1"/>
    <col min="8" max="8" width="5" bestFit="1" customWidth="1"/>
    <col min="9" max="9" width="6" bestFit="1" customWidth="1"/>
    <col min="10" max="10" width="10.85546875" bestFit="1" customWidth="1"/>
    <col min="11" max="12" width="8" bestFit="1" customWidth="1"/>
    <col min="13" max="13" width="8.7109375" bestFit="1" customWidth="1"/>
    <col min="14" max="14" width="10.5703125" bestFit="1" customWidth="1"/>
    <col min="15" max="16" width="4.5703125" bestFit="1" customWidth="1"/>
    <col min="17" max="17" width="9.5703125" bestFit="1" customWidth="1"/>
    <col min="18" max="18" width="11.140625" bestFit="1" customWidth="1"/>
  </cols>
  <sheetData>
    <row r="1" spans="1:20" s="1" customFormat="1" x14ac:dyDescent="0.2">
      <c r="A1" s="1" t="s">
        <v>1404</v>
      </c>
      <c r="B1" s="1" t="s">
        <v>1402</v>
      </c>
      <c r="C1" s="1" t="s">
        <v>974</v>
      </c>
      <c r="D1" s="1" t="s">
        <v>980</v>
      </c>
      <c r="E1" s="50" t="s">
        <v>1364</v>
      </c>
      <c r="F1" s="45" t="s">
        <v>1365</v>
      </c>
      <c r="G1" s="1" t="s">
        <v>1366</v>
      </c>
      <c r="H1" s="1" t="s">
        <v>1367</v>
      </c>
      <c r="I1" s="1" t="s">
        <v>1368</v>
      </c>
      <c r="J1" s="1" t="s">
        <v>978</v>
      </c>
      <c r="K1" s="1" t="s">
        <v>1369</v>
      </c>
      <c r="L1" s="1" t="s">
        <v>975</v>
      </c>
      <c r="M1" s="1" t="s">
        <v>979</v>
      </c>
      <c r="N1" s="1" t="s">
        <v>969</v>
      </c>
      <c r="O1" s="1" t="s">
        <v>1444</v>
      </c>
      <c r="P1" s="1" t="s">
        <v>1445</v>
      </c>
      <c r="Q1" s="1" t="s">
        <v>976</v>
      </c>
      <c r="R1" s="1" t="s">
        <v>1510</v>
      </c>
      <c r="T1" s="45">
        <v>43236</v>
      </c>
    </row>
    <row r="2" spans="1:20" x14ac:dyDescent="0.2">
      <c r="A2" t="str">
        <f>B2&amp;"."&amp;D2&amp;"."&amp;C2</f>
        <v>ICE.2018.5</v>
      </c>
      <c r="B2" t="s">
        <v>1403</v>
      </c>
      <c r="C2" t="str">
        <f>TEXT(DATEVALUE("1"&amp;E2),"M")</f>
        <v>5</v>
      </c>
      <c r="D2" t="str">
        <f>TEXT(DATEVALUE("1"&amp;E2),"YYYY")</f>
        <v>2018</v>
      </c>
      <c r="E2" s="51" t="s">
        <v>1370</v>
      </c>
      <c r="J2">
        <v>23.39</v>
      </c>
      <c r="K2">
        <v>-0.19</v>
      </c>
      <c r="L2">
        <v>0</v>
      </c>
      <c r="M2">
        <v>1273</v>
      </c>
      <c r="N2">
        <v>0</v>
      </c>
      <c r="O2">
        <v>0</v>
      </c>
      <c r="P2">
        <v>0</v>
      </c>
      <c r="Q2">
        <v>0</v>
      </c>
      <c r="R2">
        <v>0</v>
      </c>
    </row>
    <row r="3" spans="1:20" x14ac:dyDescent="0.2">
      <c r="A3" t="str">
        <f t="shared" ref="A3:A66" si="0">B3&amp;"."&amp;D3&amp;"."&amp;C3</f>
        <v>ICE.2018.6</v>
      </c>
      <c r="B3" t="s">
        <v>1403</v>
      </c>
      <c r="C3" t="str">
        <f t="shared" ref="C3:C66" si="1">TEXT(DATEVALUE("1"&amp;E3),"M")</f>
        <v>6</v>
      </c>
      <c r="D3" t="str">
        <f t="shared" ref="D3:D66" si="2">TEXT(DATEVALUE("1"&amp;E3),"YYYY")</f>
        <v>2018</v>
      </c>
      <c r="E3" s="51" t="s">
        <v>1371</v>
      </c>
      <c r="J3">
        <v>36.35</v>
      </c>
      <c r="K3">
        <v>-0.9</v>
      </c>
      <c r="L3">
        <v>0</v>
      </c>
      <c r="M3">
        <v>1278</v>
      </c>
      <c r="N3">
        <v>0</v>
      </c>
      <c r="O3">
        <v>0</v>
      </c>
      <c r="P3">
        <v>0</v>
      </c>
      <c r="Q3">
        <v>0</v>
      </c>
      <c r="R3">
        <v>0</v>
      </c>
    </row>
    <row r="4" spans="1:20" x14ac:dyDescent="0.2">
      <c r="A4" t="str">
        <f t="shared" si="0"/>
        <v>ICE.2018.7</v>
      </c>
      <c r="B4" t="s">
        <v>1403</v>
      </c>
      <c r="C4" t="str">
        <f t="shared" si="1"/>
        <v>7</v>
      </c>
      <c r="D4" t="str">
        <f t="shared" si="2"/>
        <v>2018</v>
      </c>
      <c r="E4" s="51" t="s">
        <v>1372</v>
      </c>
      <c r="F4">
        <v>47.5</v>
      </c>
      <c r="G4">
        <v>47.5</v>
      </c>
      <c r="H4">
        <v>47.5</v>
      </c>
      <c r="I4">
        <v>47.5</v>
      </c>
      <c r="J4">
        <v>47.5</v>
      </c>
      <c r="K4">
        <v>-0.3</v>
      </c>
      <c r="L4">
        <v>1</v>
      </c>
      <c r="M4">
        <v>1128</v>
      </c>
      <c r="N4">
        <v>0</v>
      </c>
      <c r="O4">
        <v>0</v>
      </c>
      <c r="P4">
        <v>0</v>
      </c>
      <c r="Q4">
        <v>0</v>
      </c>
      <c r="R4">
        <v>0</v>
      </c>
    </row>
    <row r="5" spans="1:20" x14ac:dyDescent="0.2">
      <c r="A5" t="str">
        <f t="shared" si="0"/>
        <v>ICE.2018.8</v>
      </c>
      <c r="B5" t="s">
        <v>1403</v>
      </c>
      <c r="C5" t="str">
        <f t="shared" si="1"/>
        <v>8</v>
      </c>
      <c r="D5" t="str">
        <f t="shared" si="2"/>
        <v>2018</v>
      </c>
      <c r="E5" s="51" t="s">
        <v>1373</v>
      </c>
      <c r="J5">
        <v>51.5</v>
      </c>
      <c r="K5">
        <v>0.25</v>
      </c>
      <c r="L5">
        <v>0</v>
      </c>
      <c r="M5">
        <v>908</v>
      </c>
      <c r="N5">
        <v>0</v>
      </c>
      <c r="O5">
        <v>0</v>
      </c>
      <c r="P5">
        <v>0</v>
      </c>
      <c r="Q5">
        <v>0</v>
      </c>
      <c r="R5">
        <v>0</v>
      </c>
    </row>
    <row r="6" spans="1:20" x14ac:dyDescent="0.2">
      <c r="A6" t="str">
        <f t="shared" si="0"/>
        <v>ICE.2018.9</v>
      </c>
      <c r="B6" t="s">
        <v>1403</v>
      </c>
      <c r="C6" t="str">
        <f t="shared" si="1"/>
        <v>9</v>
      </c>
      <c r="D6" t="str">
        <f t="shared" si="2"/>
        <v>2018</v>
      </c>
      <c r="E6" s="51" t="s">
        <v>1374</v>
      </c>
      <c r="J6">
        <v>35.85</v>
      </c>
      <c r="K6">
        <v>0</v>
      </c>
      <c r="L6">
        <v>0</v>
      </c>
      <c r="M6">
        <v>1083</v>
      </c>
      <c r="N6">
        <v>0</v>
      </c>
      <c r="O6">
        <v>0</v>
      </c>
      <c r="P6">
        <v>0</v>
      </c>
      <c r="Q6">
        <v>0</v>
      </c>
      <c r="R6">
        <v>0</v>
      </c>
    </row>
    <row r="7" spans="1:20" x14ac:dyDescent="0.2">
      <c r="A7" t="str">
        <f t="shared" si="0"/>
        <v>ICE.2018.10</v>
      </c>
      <c r="B7" t="s">
        <v>1403</v>
      </c>
      <c r="C7" t="str">
        <f t="shared" si="1"/>
        <v>10</v>
      </c>
      <c r="D7" t="str">
        <f t="shared" si="2"/>
        <v>2018</v>
      </c>
      <c r="E7" s="51" t="s">
        <v>1375</v>
      </c>
      <c r="J7">
        <v>26.25</v>
      </c>
      <c r="K7">
        <v>-0.35</v>
      </c>
      <c r="L7">
        <v>0</v>
      </c>
      <c r="M7">
        <v>1078</v>
      </c>
      <c r="N7">
        <v>0</v>
      </c>
      <c r="O7">
        <v>0</v>
      </c>
      <c r="P7">
        <v>0</v>
      </c>
      <c r="Q7">
        <v>0</v>
      </c>
      <c r="R7">
        <v>0</v>
      </c>
    </row>
    <row r="8" spans="1:20" x14ac:dyDescent="0.2">
      <c r="A8" t="str">
        <f t="shared" si="0"/>
        <v>ICE.2018.11</v>
      </c>
      <c r="B8" t="s">
        <v>1403</v>
      </c>
      <c r="C8" t="str">
        <f t="shared" si="1"/>
        <v>11</v>
      </c>
      <c r="D8" t="str">
        <f t="shared" si="2"/>
        <v>2018</v>
      </c>
      <c r="E8" s="51" t="s">
        <v>1376</v>
      </c>
      <c r="J8">
        <v>23.95</v>
      </c>
      <c r="K8">
        <v>-0.15</v>
      </c>
      <c r="L8">
        <v>0</v>
      </c>
      <c r="M8">
        <v>1078</v>
      </c>
      <c r="N8">
        <v>0</v>
      </c>
      <c r="O8">
        <v>0</v>
      </c>
      <c r="P8">
        <v>0</v>
      </c>
      <c r="Q8">
        <v>0</v>
      </c>
      <c r="R8">
        <v>0</v>
      </c>
    </row>
    <row r="9" spans="1:20" x14ac:dyDescent="0.2">
      <c r="A9" t="str">
        <f t="shared" si="0"/>
        <v>ICE.2018.12</v>
      </c>
      <c r="B9" t="s">
        <v>1403</v>
      </c>
      <c r="C9" t="str">
        <f t="shared" si="1"/>
        <v>12</v>
      </c>
      <c r="D9" t="str">
        <f t="shared" si="2"/>
        <v>2018</v>
      </c>
      <c r="E9" s="51" t="s">
        <v>1377</v>
      </c>
      <c r="J9">
        <v>30.1</v>
      </c>
      <c r="K9">
        <v>-0.15</v>
      </c>
      <c r="L9">
        <v>0</v>
      </c>
      <c r="M9">
        <v>1078</v>
      </c>
      <c r="N9">
        <v>0</v>
      </c>
      <c r="O9">
        <v>0</v>
      </c>
      <c r="P9">
        <v>0</v>
      </c>
      <c r="Q9">
        <v>0</v>
      </c>
      <c r="R9">
        <v>0</v>
      </c>
    </row>
    <row r="10" spans="1:20" x14ac:dyDescent="0.2">
      <c r="A10" t="str">
        <f t="shared" si="0"/>
        <v>ICE.2019.1</v>
      </c>
      <c r="B10" t="s">
        <v>1403</v>
      </c>
      <c r="C10" t="str">
        <f t="shared" si="1"/>
        <v>1</v>
      </c>
      <c r="D10" t="str">
        <f t="shared" si="2"/>
        <v>2019</v>
      </c>
      <c r="E10" s="51" t="s">
        <v>1378</v>
      </c>
      <c r="J10">
        <v>28.8</v>
      </c>
      <c r="K10">
        <v>-0.35</v>
      </c>
      <c r="L10">
        <v>0</v>
      </c>
      <c r="M10">
        <v>1125</v>
      </c>
      <c r="N10">
        <v>0</v>
      </c>
      <c r="O10">
        <v>0</v>
      </c>
      <c r="P10">
        <v>0</v>
      </c>
      <c r="Q10">
        <v>0</v>
      </c>
      <c r="R10">
        <v>0</v>
      </c>
    </row>
    <row r="11" spans="1:20" x14ac:dyDescent="0.2">
      <c r="A11" t="str">
        <f t="shared" si="0"/>
        <v>ICE.2019.2</v>
      </c>
      <c r="B11" t="s">
        <v>1403</v>
      </c>
      <c r="C11" t="str">
        <f t="shared" si="1"/>
        <v>2</v>
      </c>
      <c r="D11" t="str">
        <f t="shared" si="2"/>
        <v>2019</v>
      </c>
      <c r="E11" s="51" t="s">
        <v>1379</v>
      </c>
      <c r="J11">
        <v>26.5</v>
      </c>
      <c r="K11">
        <v>-0.3</v>
      </c>
      <c r="L11">
        <v>0</v>
      </c>
      <c r="M11">
        <v>1125</v>
      </c>
      <c r="N11">
        <v>0</v>
      </c>
      <c r="O11">
        <v>0</v>
      </c>
      <c r="P11">
        <v>0</v>
      </c>
      <c r="Q11">
        <v>0</v>
      </c>
      <c r="R11">
        <v>0</v>
      </c>
    </row>
    <row r="12" spans="1:20" x14ac:dyDescent="0.2">
      <c r="A12" t="str">
        <f t="shared" si="0"/>
        <v>ICE.2019.3</v>
      </c>
      <c r="B12" t="s">
        <v>1403</v>
      </c>
      <c r="C12" t="str">
        <f t="shared" si="1"/>
        <v>3</v>
      </c>
      <c r="D12" t="str">
        <f t="shared" si="2"/>
        <v>2019</v>
      </c>
      <c r="E12" s="51" t="s">
        <v>1380</v>
      </c>
      <c r="J12">
        <v>22.3</v>
      </c>
      <c r="K12">
        <v>-0.25</v>
      </c>
      <c r="L12">
        <v>0</v>
      </c>
      <c r="M12">
        <v>1125</v>
      </c>
      <c r="N12">
        <v>0</v>
      </c>
      <c r="O12">
        <v>0</v>
      </c>
      <c r="P12">
        <v>0</v>
      </c>
      <c r="Q12">
        <v>0</v>
      </c>
      <c r="R12">
        <v>0</v>
      </c>
    </row>
    <row r="13" spans="1:20" x14ac:dyDescent="0.2">
      <c r="A13" t="str">
        <f t="shared" si="0"/>
        <v>ICE.2019.4</v>
      </c>
      <c r="B13" t="s">
        <v>1403</v>
      </c>
      <c r="C13" t="str">
        <f t="shared" si="1"/>
        <v>4</v>
      </c>
      <c r="D13" t="str">
        <f t="shared" si="2"/>
        <v>2019</v>
      </c>
      <c r="E13" s="51" t="s">
        <v>1381</v>
      </c>
      <c r="J13">
        <v>20.75</v>
      </c>
      <c r="K13">
        <v>0.65</v>
      </c>
      <c r="L13">
        <v>0</v>
      </c>
      <c r="M13">
        <v>750</v>
      </c>
      <c r="N13">
        <v>0</v>
      </c>
      <c r="O13">
        <v>0</v>
      </c>
      <c r="P13">
        <v>0</v>
      </c>
      <c r="Q13">
        <v>0</v>
      </c>
      <c r="R13">
        <v>0</v>
      </c>
    </row>
    <row r="14" spans="1:20" x14ac:dyDescent="0.2">
      <c r="A14" t="str">
        <f t="shared" si="0"/>
        <v>ICE.2019.5</v>
      </c>
      <c r="B14" t="s">
        <v>1403</v>
      </c>
      <c r="C14" t="str">
        <f t="shared" si="1"/>
        <v>5</v>
      </c>
      <c r="D14" t="str">
        <f t="shared" si="2"/>
        <v>2019</v>
      </c>
      <c r="E14" s="51" t="s">
        <v>1382</v>
      </c>
      <c r="J14">
        <v>22.9</v>
      </c>
      <c r="K14">
        <v>-0.2</v>
      </c>
      <c r="L14">
        <v>0</v>
      </c>
      <c r="M14">
        <v>750</v>
      </c>
      <c r="N14">
        <v>0</v>
      </c>
      <c r="O14">
        <v>0</v>
      </c>
      <c r="P14">
        <v>0</v>
      </c>
      <c r="Q14">
        <v>0</v>
      </c>
      <c r="R14">
        <v>0</v>
      </c>
    </row>
    <row r="15" spans="1:20" x14ac:dyDescent="0.2">
      <c r="A15" t="str">
        <f t="shared" si="0"/>
        <v>ICE.2019.6</v>
      </c>
      <c r="B15" t="s">
        <v>1403</v>
      </c>
      <c r="C15" t="str">
        <f t="shared" si="1"/>
        <v>6</v>
      </c>
      <c r="D15" t="str">
        <f t="shared" si="2"/>
        <v>2019</v>
      </c>
      <c r="E15" s="51" t="s">
        <v>1383</v>
      </c>
      <c r="J15">
        <v>33.5</v>
      </c>
      <c r="K15">
        <v>0.4</v>
      </c>
      <c r="L15">
        <v>0</v>
      </c>
      <c r="M15">
        <v>750</v>
      </c>
      <c r="N15">
        <v>0</v>
      </c>
      <c r="O15">
        <v>0</v>
      </c>
      <c r="P15">
        <v>0</v>
      </c>
      <c r="Q15">
        <v>0</v>
      </c>
      <c r="R15">
        <v>0</v>
      </c>
    </row>
    <row r="16" spans="1:20" x14ac:dyDescent="0.2">
      <c r="A16" t="str">
        <f t="shared" si="0"/>
        <v>ICE.2019.7</v>
      </c>
      <c r="B16" t="s">
        <v>1403</v>
      </c>
      <c r="C16" t="str">
        <f t="shared" si="1"/>
        <v>7</v>
      </c>
      <c r="D16" t="str">
        <f t="shared" si="2"/>
        <v>2019</v>
      </c>
      <c r="E16" s="51" t="s">
        <v>1384</v>
      </c>
      <c r="J16">
        <v>42</v>
      </c>
      <c r="K16">
        <v>-0.2</v>
      </c>
      <c r="L16">
        <v>0</v>
      </c>
      <c r="M16">
        <v>625</v>
      </c>
      <c r="N16">
        <v>0</v>
      </c>
      <c r="O16">
        <v>0</v>
      </c>
      <c r="P16">
        <v>0</v>
      </c>
      <c r="Q16">
        <v>0</v>
      </c>
      <c r="R16">
        <v>0</v>
      </c>
    </row>
    <row r="17" spans="1:18" x14ac:dyDescent="0.2">
      <c r="A17" t="str">
        <f t="shared" si="0"/>
        <v>ICE.2019.8</v>
      </c>
      <c r="B17" t="s">
        <v>1403</v>
      </c>
      <c r="C17" t="str">
        <f t="shared" si="1"/>
        <v>8</v>
      </c>
      <c r="D17" t="str">
        <f t="shared" si="2"/>
        <v>2019</v>
      </c>
      <c r="E17" s="51" t="s">
        <v>1385</v>
      </c>
      <c r="J17">
        <v>42.75</v>
      </c>
      <c r="K17">
        <v>0.7</v>
      </c>
      <c r="L17">
        <v>0</v>
      </c>
      <c r="M17">
        <v>625</v>
      </c>
      <c r="N17">
        <v>0</v>
      </c>
      <c r="O17">
        <v>0</v>
      </c>
      <c r="P17">
        <v>0</v>
      </c>
      <c r="Q17">
        <v>0</v>
      </c>
      <c r="R17">
        <v>0</v>
      </c>
    </row>
    <row r="18" spans="1:18" x14ac:dyDescent="0.2">
      <c r="A18" t="str">
        <f t="shared" si="0"/>
        <v>ICE.2019.9</v>
      </c>
      <c r="B18" t="s">
        <v>1403</v>
      </c>
      <c r="C18" t="str">
        <f t="shared" si="1"/>
        <v>9</v>
      </c>
      <c r="D18" t="str">
        <f t="shared" si="2"/>
        <v>2019</v>
      </c>
      <c r="E18" s="51" t="s">
        <v>1386</v>
      </c>
      <c r="J18">
        <v>34.299999999999997</v>
      </c>
      <c r="K18">
        <v>-0.1</v>
      </c>
      <c r="L18">
        <v>0</v>
      </c>
      <c r="M18">
        <v>625</v>
      </c>
      <c r="N18">
        <v>0</v>
      </c>
      <c r="O18">
        <v>0</v>
      </c>
      <c r="P18">
        <v>0</v>
      </c>
      <c r="Q18">
        <v>0</v>
      </c>
      <c r="R18">
        <v>0</v>
      </c>
    </row>
    <row r="19" spans="1:18" x14ac:dyDescent="0.2">
      <c r="A19" t="str">
        <f t="shared" si="0"/>
        <v>ICE.2019.10</v>
      </c>
      <c r="B19" t="s">
        <v>1403</v>
      </c>
      <c r="C19" t="str">
        <f t="shared" si="1"/>
        <v>10</v>
      </c>
      <c r="D19" t="str">
        <f t="shared" si="2"/>
        <v>2019</v>
      </c>
      <c r="E19" s="51" t="s">
        <v>1387</v>
      </c>
      <c r="J19">
        <v>24.5</v>
      </c>
      <c r="K19">
        <v>0.55000000000000004</v>
      </c>
      <c r="L19">
        <v>0</v>
      </c>
      <c r="M19">
        <v>625</v>
      </c>
      <c r="N19">
        <v>0</v>
      </c>
      <c r="O19">
        <v>0</v>
      </c>
      <c r="P19">
        <v>0</v>
      </c>
      <c r="Q19">
        <v>0</v>
      </c>
      <c r="R19">
        <v>0</v>
      </c>
    </row>
    <row r="20" spans="1:18" x14ac:dyDescent="0.2">
      <c r="A20" t="str">
        <f t="shared" si="0"/>
        <v>ICE.2019.11</v>
      </c>
      <c r="B20" t="s">
        <v>1403</v>
      </c>
      <c r="C20" t="str">
        <f t="shared" si="1"/>
        <v>11</v>
      </c>
      <c r="D20" t="str">
        <f t="shared" si="2"/>
        <v>2019</v>
      </c>
      <c r="E20" s="51" t="s">
        <v>1388</v>
      </c>
      <c r="J20">
        <v>24</v>
      </c>
      <c r="K20">
        <v>-0.05</v>
      </c>
      <c r="L20">
        <v>0</v>
      </c>
      <c r="M20">
        <v>625</v>
      </c>
      <c r="N20">
        <v>0</v>
      </c>
      <c r="O20">
        <v>0</v>
      </c>
      <c r="P20">
        <v>0</v>
      </c>
      <c r="Q20">
        <v>0</v>
      </c>
      <c r="R20">
        <v>0</v>
      </c>
    </row>
    <row r="21" spans="1:18" x14ac:dyDescent="0.2">
      <c r="A21" t="str">
        <f t="shared" si="0"/>
        <v>ICE.2019.12</v>
      </c>
      <c r="B21" t="s">
        <v>1403</v>
      </c>
      <c r="C21" t="str">
        <f t="shared" si="1"/>
        <v>12</v>
      </c>
      <c r="D21" t="str">
        <f t="shared" si="2"/>
        <v>2019</v>
      </c>
      <c r="E21" s="51" t="s">
        <v>1389</v>
      </c>
      <c r="J21">
        <v>26.75</v>
      </c>
      <c r="K21">
        <v>-0.1</v>
      </c>
      <c r="L21">
        <v>0</v>
      </c>
      <c r="M21">
        <v>625</v>
      </c>
      <c r="N21">
        <v>0</v>
      </c>
      <c r="O21">
        <v>0</v>
      </c>
      <c r="P21">
        <v>0</v>
      </c>
      <c r="Q21">
        <v>0</v>
      </c>
      <c r="R21">
        <v>0</v>
      </c>
    </row>
    <row r="22" spans="1:18" x14ac:dyDescent="0.2">
      <c r="A22" t="str">
        <f t="shared" si="0"/>
        <v>ICE.2020.1</v>
      </c>
      <c r="B22" t="s">
        <v>1403</v>
      </c>
      <c r="C22" t="str">
        <f t="shared" si="1"/>
        <v>1</v>
      </c>
      <c r="D22" t="str">
        <f t="shared" si="2"/>
        <v>2020</v>
      </c>
      <c r="E22" s="51" t="s">
        <v>1390</v>
      </c>
      <c r="J22">
        <v>26.6</v>
      </c>
      <c r="K22">
        <v>0.35</v>
      </c>
      <c r="L22">
        <v>0</v>
      </c>
      <c r="M22">
        <v>200</v>
      </c>
      <c r="N22">
        <v>0</v>
      </c>
      <c r="O22">
        <v>0</v>
      </c>
      <c r="P22">
        <v>0</v>
      </c>
      <c r="Q22">
        <v>0</v>
      </c>
      <c r="R22">
        <v>0</v>
      </c>
    </row>
    <row r="23" spans="1:18" x14ac:dyDescent="0.2">
      <c r="A23" t="str">
        <f t="shared" si="0"/>
        <v>ICE.2020.2</v>
      </c>
      <c r="B23" t="s">
        <v>1403</v>
      </c>
      <c r="C23" t="str">
        <f t="shared" si="1"/>
        <v>2</v>
      </c>
      <c r="D23" t="str">
        <f t="shared" si="2"/>
        <v>2020</v>
      </c>
      <c r="E23" s="51" t="s">
        <v>1391</v>
      </c>
      <c r="J23">
        <v>25.9</v>
      </c>
      <c r="K23">
        <v>0.3</v>
      </c>
      <c r="L23">
        <v>0</v>
      </c>
      <c r="M23">
        <v>200</v>
      </c>
      <c r="N23">
        <v>0</v>
      </c>
      <c r="O23">
        <v>0</v>
      </c>
      <c r="P23">
        <v>0</v>
      </c>
      <c r="Q23">
        <v>0</v>
      </c>
      <c r="R23">
        <v>0</v>
      </c>
    </row>
    <row r="24" spans="1:18" x14ac:dyDescent="0.2">
      <c r="A24" t="str">
        <f t="shared" si="0"/>
        <v>ICE.2020.3</v>
      </c>
      <c r="B24" t="s">
        <v>1403</v>
      </c>
      <c r="C24" t="str">
        <f t="shared" si="1"/>
        <v>3</v>
      </c>
      <c r="D24" t="str">
        <f t="shared" si="2"/>
        <v>2020</v>
      </c>
      <c r="E24" s="51" t="s">
        <v>1392</v>
      </c>
      <c r="J24">
        <v>22.85</v>
      </c>
      <c r="K24">
        <v>0.3</v>
      </c>
      <c r="L24">
        <v>0</v>
      </c>
      <c r="M24">
        <v>200</v>
      </c>
      <c r="N24">
        <v>0</v>
      </c>
      <c r="O24">
        <v>0</v>
      </c>
      <c r="P24">
        <v>0</v>
      </c>
      <c r="Q24">
        <v>0</v>
      </c>
      <c r="R24">
        <v>0</v>
      </c>
    </row>
    <row r="25" spans="1:18" x14ac:dyDescent="0.2">
      <c r="A25" t="str">
        <f t="shared" si="0"/>
        <v>ICE.2020.4</v>
      </c>
      <c r="B25" t="s">
        <v>1403</v>
      </c>
      <c r="C25" t="str">
        <f t="shared" si="1"/>
        <v>4</v>
      </c>
      <c r="D25" t="str">
        <f t="shared" si="2"/>
        <v>2020</v>
      </c>
      <c r="E25" s="51" t="s">
        <v>1393</v>
      </c>
      <c r="J25">
        <v>22.7</v>
      </c>
      <c r="K25">
        <v>-0.6</v>
      </c>
      <c r="L25">
        <v>0</v>
      </c>
      <c r="M25">
        <v>150</v>
      </c>
      <c r="N25">
        <v>0</v>
      </c>
      <c r="O25">
        <v>0</v>
      </c>
      <c r="P25">
        <v>0</v>
      </c>
      <c r="Q25">
        <v>0</v>
      </c>
      <c r="R25">
        <v>0</v>
      </c>
    </row>
    <row r="26" spans="1:18" x14ac:dyDescent="0.2">
      <c r="A26" t="str">
        <f t="shared" si="0"/>
        <v>ICE.2020.5</v>
      </c>
      <c r="B26" t="s">
        <v>1403</v>
      </c>
      <c r="C26" t="str">
        <f t="shared" si="1"/>
        <v>5</v>
      </c>
      <c r="D26" t="str">
        <f t="shared" si="2"/>
        <v>2020</v>
      </c>
      <c r="E26" s="51" t="s">
        <v>1394</v>
      </c>
      <c r="J26">
        <v>23.8</v>
      </c>
      <c r="K26">
        <v>-0.6</v>
      </c>
      <c r="L26">
        <v>0</v>
      </c>
      <c r="M26">
        <v>150</v>
      </c>
      <c r="N26">
        <v>0</v>
      </c>
      <c r="O26">
        <v>0</v>
      </c>
      <c r="P26">
        <v>0</v>
      </c>
      <c r="Q26">
        <v>0</v>
      </c>
      <c r="R26">
        <v>0</v>
      </c>
    </row>
    <row r="27" spans="1:18" x14ac:dyDescent="0.2">
      <c r="A27" t="str">
        <f t="shared" si="0"/>
        <v>ICE.2020.6</v>
      </c>
      <c r="B27" t="s">
        <v>1403</v>
      </c>
      <c r="C27" t="str">
        <f t="shared" si="1"/>
        <v>6</v>
      </c>
      <c r="D27" t="str">
        <f t="shared" si="2"/>
        <v>2020</v>
      </c>
      <c r="E27" s="51" t="s">
        <v>1395</v>
      </c>
      <c r="J27">
        <v>35.15</v>
      </c>
      <c r="K27">
        <v>-0.9</v>
      </c>
      <c r="L27">
        <v>0</v>
      </c>
      <c r="M27">
        <v>150</v>
      </c>
      <c r="N27">
        <v>0</v>
      </c>
      <c r="O27">
        <v>0</v>
      </c>
      <c r="P27">
        <v>0</v>
      </c>
      <c r="Q27">
        <v>0</v>
      </c>
      <c r="R27">
        <v>0</v>
      </c>
    </row>
    <row r="28" spans="1:18" x14ac:dyDescent="0.2">
      <c r="A28" t="str">
        <f t="shared" si="0"/>
        <v>ICE.2020.7</v>
      </c>
      <c r="B28" t="s">
        <v>1403</v>
      </c>
      <c r="C28" t="str">
        <f t="shared" si="1"/>
        <v>7</v>
      </c>
      <c r="D28" t="str">
        <f t="shared" si="2"/>
        <v>2020</v>
      </c>
      <c r="E28" s="51" t="s">
        <v>1396</v>
      </c>
      <c r="J28">
        <v>45.85</v>
      </c>
      <c r="K28">
        <v>0.55000000000000004</v>
      </c>
      <c r="L28">
        <v>0</v>
      </c>
      <c r="M28">
        <v>175</v>
      </c>
      <c r="N28">
        <v>0</v>
      </c>
      <c r="O28">
        <v>0</v>
      </c>
      <c r="P28">
        <v>0</v>
      </c>
      <c r="Q28">
        <v>0</v>
      </c>
      <c r="R28">
        <v>0</v>
      </c>
    </row>
    <row r="29" spans="1:18" x14ac:dyDescent="0.2">
      <c r="A29" t="str">
        <f t="shared" si="0"/>
        <v>ICE.2020.8</v>
      </c>
      <c r="B29" t="s">
        <v>1403</v>
      </c>
      <c r="C29" t="str">
        <f t="shared" si="1"/>
        <v>8</v>
      </c>
      <c r="D29" t="str">
        <f t="shared" si="2"/>
        <v>2020</v>
      </c>
      <c r="E29" s="51" t="s">
        <v>1397</v>
      </c>
      <c r="J29">
        <v>42.5</v>
      </c>
      <c r="K29">
        <v>0.55000000000000004</v>
      </c>
      <c r="L29">
        <v>0</v>
      </c>
      <c r="M29">
        <v>175</v>
      </c>
      <c r="N29">
        <v>0</v>
      </c>
      <c r="O29">
        <v>0</v>
      </c>
      <c r="P29">
        <v>0</v>
      </c>
      <c r="Q29">
        <v>0</v>
      </c>
      <c r="R29">
        <v>0</v>
      </c>
    </row>
    <row r="30" spans="1:18" x14ac:dyDescent="0.2">
      <c r="A30" t="str">
        <f t="shared" si="0"/>
        <v>ICE.2020.9</v>
      </c>
      <c r="B30" t="s">
        <v>1403</v>
      </c>
      <c r="C30" t="str">
        <f t="shared" si="1"/>
        <v>9</v>
      </c>
      <c r="D30" t="str">
        <f t="shared" si="2"/>
        <v>2020</v>
      </c>
      <c r="E30" s="51" t="s">
        <v>1398</v>
      </c>
      <c r="J30">
        <v>34.9</v>
      </c>
      <c r="K30">
        <v>0.45</v>
      </c>
      <c r="L30">
        <v>0</v>
      </c>
      <c r="M30">
        <v>175</v>
      </c>
      <c r="N30">
        <v>0</v>
      </c>
      <c r="O30">
        <v>0</v>
      </c>
      <c r="P30">
        <v>0</v>
      </c>
      <c r="Q30">
        <v>0</v>
      </c>
      <c r="R30">
        <v>0</v>
      </c>
    </row>
    <row r="31" spans="1:18" x14ac:dyDescent="0.2">
      <c r="A31" t="str">
        <f t="shared" si="0"/>
        <v>ICE.2020.10</v>
      </c>
      <c r="B31" t="s">
        <v>1403</v>
      </c>
      <c r="C31" t="str">
        <f t="shared" si="1"/>
        <v>10</v>
      </c>
      <c r="D31" t="str">
        <f t="shared" si="2"/>
        <v>2020</v>
      </c>
      <c r="E31" s="51" t="s">
        <v>1399</v>
      </c>
      <c r="J31">
        <v>27</v>
      </c>
      <c r="K31">
        <v>0.35</v>
      </c>
      <c r="L31">
        <v>0</v>
      </c>
      <c r="M31">
        <v>150</v>
      </c>
      <c r="N31">
        <v>0</v>
      </c>
      <c r="O31">
        <v>0</v>
      </c>
      <c r="P31">
        <v>0</v>
      </c>
      <c r="Q31">
        <v>0</v>
      </c>
      <c r="R31">
        <v>0</v>
      </c>
    </row>
    <row r="32" spans="1:18" x14ac:dyDescent="0.2">
      <c r="A32" t="str">
        <f t="shared" si="0"/>
        <v>ICE.2020.11</v>
      </c>
      <c r="B32" t="s">
        <v>1403</v>
      </c>
      <c r="C32" t="str">
        <f t="shared" si="1"/>
        <v>11</v>
      </c>
      <c r="D32" t="str">
        <f t="shared" si="2"/>
        <v>2020</v>
      </c>
      <c r="E32" s="51" t="s">
        <v>1400</v>
      </c>
      <c r="J32">
        <v>26.8</v>
      </c>
      <c r="K32">
        <v>0.35</v>
      </c>
      <c r="L32">
        <v>0</v>
      </c>
      <c r="M32">
        <v>150</v>
      </c>
      <c r="N32">
        <v>0</v>
      </c>
      <c r="O32">
        <v>0</v>
      </c>
      <c r="P32">
        <v>0</v>
      </c>
      <c r="Q32">
        <v>0</v>
      </c>
      <c r="R32">
        <v>0</v>
      </c>
    </row>
    <row r="33" spans="1:18" x14ac:dyDescent="0.2">
      <c r="A33" t="str">
        <f t="shared" si="0"/>
        <v>ICE.2020.12</v>
      </c>
      <c r="B33" t="s">
        <v>1403</v>
      </c>
      <c r="C33" t="str">
        <f t="shared" si="1"/>
        <v>12</v>
      </c>
      <c r="D33" t="str">
        <f t="shared" si="2"/>
        <v>2020</v>
      </c>
      <c r="E33" s="51" t="s">
        <v>1401</v>
      </c>
      <c r="J33">
        <v>30</v>
      </c>
      <c r="K33">
        <v>0.35</v>
      </c>
      <c r="L33">
        <v>0</v>
      </c>
      <c r="M33">
        <v>150</v>
      </c>
      <c r="N33">
        <v>0</v>
      </c>
      <c r="O33">
        <v>0</v>
      </c>
      <c r="P33">
        <v>0</v>
      </c>
      <c r="Q33">
        <v>0</v>
      </c>
      <c r="R33">
        <v>0</v>
      </c>
    </row>
    <row r="34" spans="1:18" x14ac:dyDescent="0.2">
      <c r="A34" t="str">
        <f t="shared" si="0"/>
        <v>ICE.2021.1</v>
      </c>
      <c r="B34" t="s">
        <v>1403</v>
      </c>
      <c r="C34" t="str">
        <f t="shared" si="1"/>
        <v>1</v>
      </c>
      <c r="D34" t="str">
        <f t="shared" si="2"/>
        <v>2021</v>
      </c>
      <c r="E34" s="51" t="s">
        <v>1405</v>
      </c>
      <c r="J34">
        <v>34.1</v>
      </c>
      <c r="K34">
        <v>0.1</v>
      </c>
      <c r="L34">
        <v>0</v>
      </c>
      <c r="M34">
        <v>50</v>
      </c>
      <c r="N34">
        <v>0</v>
      </c>
      <c r="O34">
        <v>0</v>
      </c>
      <c r="P34">
        <v>0</v>
      </c>
      <c r="Q34">
        <v>0</v>
      </c>
      <c r="R34">
        <v>0</v>
      </c>
    </row>
    <row r="35" spans="1:18" x14ac:dyDescent="0.2">
      <c r="A35" t="str">
        <f t="shared" si="0"/>
        <v>ICE.2021.2</v>
      </c>
      <c r="B35" t="s">
        <v>1403</v>
      </c>
      <c r="C35" t="str">
        <f t="shared" si="1"/>
        <v>2</v>
      </c>
      <c r="D35" t="str">
        <f t="shared" si="2"/>
        <v>2021</v>
      </c>
      <c r="E35" s="51" t="s">
        <v>1406</v>
      </c>
      <c r="J35">
        <v>33.4</v>
      </c>
      <c r="K35">
        <v>0.1</v>
      </c>
      <c r="L35">
        <v>0</v>
      </c>
      <c r="M35">
        <v>50</v>
      </c>
      <c r="N35">
        <v>0</v>
      </c>
      <c r="O35">
        <v>0</v>
      </c>
      <c r="P35">
        <v>0</v>
      </c>
      <c r="Q35">
        <v>0</v>
      </c>
      <c r="R35">
        <v>0</v>
      </c>
    </row>
    <row r="36" spans="1:18" x14ac:dyDescent="0.2">
      <c r="A36" t="str">
        <f t="shared" si="0"/>
        <v>ICE.2021.3</v>
      </c>
      <c r="B36" t="s">
        <v>1403</v>
      </c>
      <c r="C36" t="str">
        <f t="shared" si="1"/>
        <v>3</v>
      </c>
      <c r="D36" t="str">
        <f t="shared" si="2"/>
        <v>2021</v>
      </c>
      <c r="E36" s="51" t="s">
        <v>1407</v>
      </c>
      <c r="J36">
        <v>29.6</v>
      </c>
      <c r="K36">
        <v>0.05</v>
      </c>
      <c r="L36">
        <v>0</v>
      </c>
      <c r="M36">
        <v>50</v>
      </c>
      <c r="N36">
        <v>0</v>
      </c>
      <c r="O36">
        <v>0</v>
      </c>
      <c r="P36">
        <v>0</v>
      </c>
      <c r="Q36">
        <v>0</v>
      </c>
      <c r="R36">
        <v>0</v>
      </c>
    </row>
    <row r="37" spans="1:18" x14ac:dyDescent="0.2">
      <c r="A37" t="str">
        <f t="shared" si="0"/>
        <v>ICE.2021.4</v>
      </c>
      <c r="B37" t="s">
        <v>1403</v>
      </c>
      <c r="C37" t="str">
        <f t="shared" si="1"/>
        <v>4</v>
      </c>
      <c r="D37" t="str">
        <f t="shared" si="2"/>
        <v>2021</v>
      </c>
      <c r="E37" s="51" t="s">
        <v>1408</v>
      </c>
      <c r="J37">
        <v>27.2</v>
      </c>
      <c r="K37">
        <v>0.05</v>
      </c>
      <c r="L37">
        <v>0</v>
      </c>
      <c r="M37">
        <v>50</v>
      </c>
      <c r="N37">
        <v>0</v>
      </c>
      <c r="O37">
        <v>0</v>
      </c>
      <c r="P37">
        <v>0</v>
      </c>
      <c r="Q37">
        <v>0</v>
      </c>
      <c r="R37">
        <v>0</v>
      </c>
    </row>
    <row r="38" spans="1:18" x14ac:dyDescent="0.2">
      <c r="A38" t="str">
        <f t="shared" si="0"/>
        <v>ICE.2021.5</v>
      </c>
      <c r="B38" t="s">
        <v>1403</v>
      </c>
      <c r="C38" t="str">
        <f t="shared" si="1"/>
        <v>5</v>
      </c>
      <c r="D38" t="str">
        <f t="shared" si="2"/>
        <v>2021</v>
      </c>
      <c r="E38" s="51" t="s">
        <v>1409</v>
      </c>
      <c r="J38">
        <v>28.65</v>
      </c>
      <c r="K38">
        <v>0.05</v>
      </c>
      <c r="L38">
        <v>0</v>
      </c>
      <c r="M38">
        <v>50</v>
      </c>
      <c r="N38">
        <v>0</v>
      </c>
      <c r="O38">
        <v>0</v>
      </c>
      <c r="P38">
        <v>0</v>
      </c>
      <c r="Q38">
        <v>0</v>
      </c>
      <c r="R38">
        <v>0</v>
      </c>
    </row>
    <row r="39" spans="1:18" x14ac:dyDescent="0.2">
      <c r="A39" t="str">
        <f t="shared" si="0"/>
        <v>ICE.2021.6</v>
      </c>
      <c r="B39" t="s">
        <v>1403</v>
      </c>
      <c r="C39" t="str">
        <f t="shared" si="1"/>
        <v>6</v>
      </c>
      <c r="D39" t="str">
        <f t="shared" si="2"/>
        <v>2021</v>
      </c>
      <c r="E39" s="51" t="s">
        <v>1410</v>
      </c>
      <c r="J39">
        <v>33.200000000000003</v>
      </c>
      <c r="K39">
        <v>0.1</v>
      </c>
      <c r="L39">
        <v>0</v>
      </c>
      <c r="M39">
        <v>50</v>
      </c>
      <c r="N39">
        <v>0</v>
      </c>
      <c r="O39">
        <v>0</v>
      </c>
      <c r="P39">
        <v>0</v>
      </c>
      <c r="Q39">
        <v>0</v>
      </c>
      <c r="R39">
        <v>0</v>
      </c>
    </row>
    <row r="40" spans="1:18" x14ac:dyDescent="0.2">
      <c r="A40" t="str">
        <f t="shared" si="0"/>
        <v>ICE.2021.7</v>
      </c>
      <c r="B40" t="s">
        <v>1403</v>
      </c>
      <c r="C40" t="str">
        <f t="shared" si="1"/>
        <v>7</v>
      </c>
      <c r="D40" t="str">
        <f t="shared" si="2"/>
        <v>2021</v>
      </c>
      <c r="E40" s="51" t="s">
        <v>1411</v>
      </c>
      <c r="J40">
        <v>43.1</v>
      </c>
      <c r="K40">
        <v>0.1</v>
      </c>
      <c r="L40">
        <v>0</v>
      </c>
      <c r="M40">
        <v>50</v>
      </c>
      <c r="N40">
        <v>0</v>
      </c>
      <c r="O40">
        <v>0</v>
      </c>
      <c r="P40">
        <v>0</v>
      </c>
      <c r="Q40">
        <v>0</v>
      </c>
      <c r="R40">
        <v>0</v>
      </c>
    </row>
    <row r="41" spans="1:18" x14ac:dyDescent="0.2">
      <c r="A41" t="str">
        <f t="shared" si="0"/>
        <v>ICE.2021.8</v>
      </c>
      <c r="B41" t="s">
        <v>1403</v>
      </c>
      <c r="C41" t="str">
        <f t="shared" si="1"/>
        <v>8</v>
      </c>
      <c r="D41" t="str">
        <f t="shared" si="2"/>
        <v>2021</v>
      </c>
      <c r="E41" s="51" t="s">
        <v>1412</v>
      </c>
      <c r="J41">
        <v>42.15</v>
      </c>
      <c r="K41">
        <v>0.1</v>
      </c>
      <c r="L41">
        <v>0</v>
      </c>
      <c r="M41">
        <v>50</v>
      </c>
      <c r="N41">
        <v>0</v>
      </c>
      <c r="O41">
        <v>0</v>
      </c>
      <c r="P41">
        <v>0</v>
      </c>
      <c r="Q41">
        <v>0</v>
      </c>
      <c r="R41">
        <v>0</v>
      </c>
    </row>
    <row r="42" spans="1:18" x14ac:dyDescent="0.2">
      <c r="A42" t="str">
        <f t="shared" si="0"/>
        <v>ICE.2021.9</v>
      </c>
      <c r="B42" t="s">
        <v>1403</v>
      </c>
      <c r="C42" t="str">
        <f t="shared" si="1"/>
        <v>9</v>
      </c>
      <c r="D42" t="str">
        <f t="shared" si="2"/>
        <v>2021</v>
      </c>
      <c r="E42" s="51" t="s">
        <v>1413</v>
      </c>
      <c r="J42">
        <v>34.6</v>
      </c>
      <c r="K42">
        <v>0.1</v>
      </c>
      <c r="L42">
        <v>0</v>
      </c>
      <c r="M42">
        <v>50</v>
      </c>
      <c r="N42">
        <v>0</v>
      </c>
      <c r="O42">
        <v>0</v>
      </c>
      <c r="P42">
        <v>0</v>
      </c>
      <c r="Q42">
        <v>0</v>
      </c>
      <c r="R42">
        <v>0</v>
      </c>
    </row>
    <row r="43" spans="1:18" x14ac:dyDescent="0.2">
      <c r="A43" t="str">
        <f t="shared" si="0"/>
        <v>ICE.2021.10</v>
      </c>
      <c r="B43" t="s">
        <v>1403</v>
      </c>
      <c r="C43" t="str">
        <f t="shared" si="1"/>
        <v>10</v>
      </c>
      <c r="D43" t="str">
        <f t="shared" si="2"/>
        <v>2021</v>
      </c>
      <c r="E43" s="51" t="s">
        <v>1414</v>
      </c>
      <c r="J43">
        <v>32.85</v>
      </c>
      <c r="K43">
        <v>0.1</v>
      </c>
      <c r="L43">
        <v>0</v>
      </c>
      <c r="M43">
        <v>50</v>
      </c>
      <c r="N43">
        <v>0</v>
      </c>
      <c r="O43">
        <v>0</v>
      </c>
      <c r="P43">
        <v>0</v>
      </c>
      <c r="Q43">
        <v>0</v>
      </c>
      <c r="R43">
        <v>0</v>
      </c>
    </row>
    <row r="44" spans="1:18" x14ac:dyDescent="0.2">
      <c r="A44" t="str">
        <f t="shared" si="0"/>
        <v>ICE.2021.11</v>
      </c>
      <c r="B44" t="s">
        <v>1403</v>
      </c>
      <c r="C44" t="str">
        <f t="shared" si="1"/>
        <v>11</v>
      </c>
      <c r="D44" t="str">
        <f t="shared" si="2"/>
        <v>2021</v>
      </c>
      <c r="E44" s="51" t="s">
        <v>1415</v>
      </c>
      <c r="J44">
        <v>32.65</v>
      </c>
      <c r="K44">
        <v>0.1</v>
      </c>
      <c r="L44">
        <v>0</v>
      </c>
      <c r="M44">
        <v>50</v>
      </c>
      <c r="N44">
        <v>0</v>
      </c>
      <c r="O44">
        <v>0</v>
      </c>
      <c r="P44">
        <v>0</v>
      </c>
      <c r="Q44">
        <v>0</v>
      </c>
      <c r="R44">
        <v>0</v>
      </c>
    </row>
    <row r="45" spans="1:18" x14ac:dyDescent="0.2">
      <c r="A45" t="str">
        <f t="shared" si="0"/>
        <v>ICE.2021.12</v>
      </c>
      <c r="B45" t="s">
        <v>1403</v>
      </c>
      <c r="C45" t="str">
        <f t="shared" si="1"/>
        <v>12</v>
      </c>
      <c r="D45" t="str">
        <f t="shared" si="2"/>
        <v>2021</v>
      </c>
      <c r="E45" s="51" t="s">
        <v>1416</v>
      </c>
      <c r="J45">
        <v>36.549999999999997</v>
      </c>
      <c r="K45">
        <v>0.1</v>
      </c>
      <c r="L45">
        <v>0</v>
      </c>
      <c r="M45">
        <v>50</v>
      </c>
      <c r="N45">
        <v>0</v>
      </c>
      <c r="O45">
        <v>0</v>
      </c>
      <c r="P45">
        <v>0</v>
      </c>
      <c r="Q45">
        <v>0</v>
      </c>
      <c r="R45">
        <v>0</v>
      </c>
    </row>
    <row r="46" spans="1:18" x14ac:dyDescent="0.2">
      <c r="A46" t="str">
        <f t="shared" si="0"/>
        <v>ICE.2022.1</v>
      </c>
      <c r="B46" t="s">
        <v>1403</v>
      </c>
      <c r="C46" t="str">
        <f t="shared" si="1"/>
        <v>1</v>
      </c>
      <c r="D46" t="str">
        <f t="shared" si="2"/>
        <v>2022</v>
      </c>
      <c r="E46" s="51" t="s">
        <v>1485</v>
      </c>
      <c r="J46">
        <v>36.950000000000003</v>
      </c>
      <c r="K46">
        <v>0</v>
      </c>
      <c r="L46">
        <v>0</v>
      </c>
      <c r="M46">
        <v>50</v>
      </c>
      <c r="N46">
        <v>0</v>
      </c>
      <c r="O46">
        <v>0</v>
      </c>
      <c r="P46">
        <v>0</v>
      </c>
      <c r="Q46">
        <v>0</v>
      </c>
      <c r="R46">
        <v>0</v>
      </c>
    </row>
    <row r="47" spans="1:18" x14ac:dyDescent="0.2">
      <c r="A47" t="str">
        <f t="shared" si="0"/>
        <v>ICE.2022.2</v>
      </c>
      <c r="B47" t="s">
        <v>1403</v>
      </c>
      <c r="C47" t="str">
        <f t="shared" si="1"/>
        <v>2</v>
      </c>
      <c r="D47" t="str">
        <f t="shared" si="2"/>
        <v>2022</v>
      </c>
      <c r="E47" s="51" t="s">
        <v>1486</v>
      </c>
      <c r="J47">
        <v>36.15</v>
      </c>
      <c r="K47">
        <v>0</v>
      </c>
      <c r="L47">
        <v>0</v>
      </c>
      <c r="M47">
        <v>50</v>
      </c>
      <c r="N47">
        <v>0</v>
      </c>
      <c r="O47">
        <v>0</v>
      </c>
      <c r="P47">
        <v>0</v>
      </c>
      <c r="Q47">
        <v>0</v>
      </c>
      <c r="R47">
        <v>0</v>
      </c>
    </row>
    <row r="48" spans="1:18" x14ac:dyDescent="0.2">
      <c r="A48" t="str">
        <f t="shared" si="0"/>
        <v>ICE.2022.3</v>
      </c>
      <c r="B48" t="s">
        <v>1403</v>
      </c>
      <c r="C48" t="str">
        <f t="shared" si="1"/>
        <v>3</v>
      </c>
      <c r="D48" t="str">
        <f t="shared" si="2"/>
        <v>2022</v>
      </c>
      <c r="E48" s="51" t="s">
        <v>1487</v>
      </c>
      <c r="J48">
        <v>31.9</v>
      </c>
      <c r="K48">
        <v>0</v>
      </c>
      <c r="L48">
        <v>0</v>
      </c>
      <c r="M48">
        <v>50</v>
      </c>
      <c r="N48">
        <v>0</v>
      </c>
      <c r="O48">
        <v>0</v>
      </c>
      <c r="P48">
        <v>0</v>
      </c>
      <c r="Q48">
        <v>0</v>
      </c>
      <c r="R48">
        <v>0</v>
      </c>
    </row>
    <row r="49" spans="1:18" x14ac:dyDescent="0.2">
      <c r="A49" t="str">
        <f t="shared" si="0"/>
        <v>ICE.2022.4</v>
      </c>
      <c r="B49" t="s">
        <v>1403</v>
      </c>
      <c r="C49" t="str">
        <f t="shared" si="1"/>
        <v>4</v>
      </c>
      <c r="D49" t="str">
        <f t="shared" si="2"/>
        <v>2022</v>
      </c>
      <c r="E49" s="51" t="s">
        <v>1488</v>
      </c>
      <c r="J49">
        <v>29.75</v>
      </c>
      <c r="K49">
        <v>0</v>
      </c>
      <c r="L49">
        <v>0</v>
      </c>
      <c r="M49">
        <v>50</v>
      </c>
      <c r="N49">
        <v>0</v>
      </c>
      <c r="O49">
        <v>0</v>
      </c>
      <c r="P49">
        <v>0</v>
      </c>
      <c r="Q49">
        <v>0</v>
      </c>
      <c r="R49">
        <v>0</v>
      </c>
    </row>
    <row r="50" spans="1:18" x14ac:dyDescent="0.2">
      <c r="A50" t="str">
        <f t="shared" si="0"/>
        <v>ICE.2022.5</v>
      </c>
      <c r="B50" t="s">
        <v>1403</v>
      </c>
      <c r="C50" t="str">
        <f t="shared" si="1"/>
        <v>5</v>
      </c>
      <c r="D50" t="str">
        <f t="shared" si="2"/>
        <v>2022</v>
      </c>
      <c r="E50" s="51" t="s">
        <v>1489</v>
      </c>
      <c r="J50">
        <v>31.2</v>
      </c>
      <c r="K50">
        <v>0</v>
      </c>
      <c r="L50">
        <v>0</v>
      </c>
      <c r="M50">
        <v>50</v>
      </c>
      <c r="N50">
        <v>0</v>
      </c>
      <c r="O50">
        <v>0</v>
      </c>
      <c r="P50">
        <v>0</v>
      </c>
      <c r="Q50">
        <v>0</v>
      </c>
      <c r="R50">
        <v>0</v>
      </c>
    </row>
    <row r="51" spans="1:18" x14ac:dyDescent="0.2">
      <c r="A51" t="str">
        <f t="shared" si="0"/>
        <v>ICE.2022.6</v>
      </c>
      <c r="B51" t="s">
        <v>1403</v>
      </c>
      <c r="C51" t="str">
        <f t="shared" si="1"/>
        <v>6</v>
      </c>
      <c r="D51" t="str">
        <f t="shared" si="2"/>
        <v>2022</v>
      </c>
      <c r="E51" s="51" t="s">
        <v>1490</v>
      </c>
      <c r="J51">
        <v>36.9</v>
      </c>
      <c r="K51">
        <v>0</v>
      </c>
      <c r="L51">
        <v>0</v>
      </c>
      <c r="M51">
        <v>50</v>
      </c>
      <c r="N51">
        <v>0</v>
      </c>
      <c r="O51">
        <v>0</v>
      </c>
      <c r="P51">
        <v>0</v>
      </c>
      <c r="Q51">
        <v>0</v>
      </c>
      <c r="R51">
        <v>0</v>
      </c>
    </row>
    <row r="52" spans="1:18" x14ac:dyDescent="0.2">
      <c r="A52" t="str">
        <f t="shared" si="0"/>
        <v>ICE.2022.7</v>
      </c>
      <c r="B52" t="s">
        <v>1403</v>
      </c>
      <c r="C52" t="str">
        <f t="shared" si="1"/>
        <v>7</v>
      </c>
      <c r="D52" t="str">
        <f t="shared" si="2"/>
        <v>2022</v>
      </c>
      <c r="E52" s="51" t="s">
        <v>1491</v>
      </c>
      <c r="J52">
        <v>46.65</v>
      </c>
      <c r="K52">
        <v>0</v>
      </c>
      <c r="L52">
        <v>0</v>
      </c>
      <c r="M52">
        <v>50</v>
      </c>
      <c r="N52">
        <v>0</v>
      </c>
      <c r="O52">
        <v>0</v>
      </c>
      <c r="P52">
        <v>0</v>
      </c>
      <c r="Q52">
        <v>0</v>
      </c>
      <c r="R52">
        <v>0</v>
      </c>
    </row>
    <row r="53" spans="1:18" x14ac:dyDescent="0.2">
      <c r="A53" t="str">
        <f t="shared" si="0"/>
        <v>ICE.2022.8</v>
      </c>
      <c r="B53" t="s">
        <v>1403</v>
      </c>
      <c r="C53" t="str">
        <f t="shared" si="1"/>
        <v>8</v>
      </c>
      <c r="D53" t="str">
        <f t="shared" si="2"/>
        <v>2022</v>
      </c>
      <c r="E53" s="51" t="s">
        <v>1492</v>
      </c>
      <c r="J53">
        <v>45.65</v>
      </c>
      <c r="K53">
        <v>0</v>
      </c>
      <c r="L53">
        <v>0</v>
      </c>
      <c r="M53">
        <v>50</v>
      </c>
      <c r="N53">
        <v>0</v>
      </c>
      <c r="O53">
        <v>0</v>
      </c>
      <c r="P53">
        <v>0</v>
      </c>
      <c r="Q53">
        <v>0</v>
      </c>
      <c r="R53">
        <v>0</v>
      </c>
    </row>
    <row r="54" spans="1:18" x14ac:dyDescent="0.2">
      <c r="A54" t="str">
        <f t="shared" si="0"/>
        <v>ICE.2022.9</v>
      </c>
      <c r="B54" t="s">
        <v>1403</v>
      </c>
      <c r="C54" t="str">
        <f t="shared" si="1"/>
        <v>9</v>
      </c>
      <c r="D54" t="str">
        <f t="shared" si="2"/>
        <v>2022</v>
      </c>
      <c r="E54" s="51" t="s">
        <v>1493</v>
      </c>
      <c r="J54">
        <v>37.35</v>
      </c>
      <c r="K54">
        <v>0</v>
      </c>
      <c r="L54">
        <v>0</v>
      </c>
      <c r="M54">
        <v>50</v>
      </c>
      <c r="N54">
        <v>0</v>
      </c>
      <c r="O54">
        <v>0</v>
      </c>
      <c r="P54">
        <v>0</v>
      </c>
      <c r="Q54">
        <v>0</v>
      </c>
      <c r="R54">
        <v>0</v>
      </c>
    </row>
    <row r="55" spans="1:18" x14ac:dyDescent="0.2">
      <c r="A55" t="str">
        <f t="shared" si="0"/>
        <v>ICE.2022.10</v>
      </c>
      <c r="B55" t="s">
        <v>1403</v>
      </c>
      <c r="C55" t="str">
        <f t="shared" si="1"/>
        <v>10</v>
      </c>
      <c r="D55" t="str">
        <f t="shared" si="2"/>
        <v>2022</v>
      </c>
      <c r="E55" s="51" t="s">
        <v>1494</v>
      </c>
      <c r="J55">
        <v>35.65</v>
      </c>
      <c r="K55">
        <v>0</v>
      </c>
      <c r="L55">
        <v>0</v>
      </c>
      <c r="M55">
        <v>50</v>
      </c>
      <c r="N55">
        <v>0</v>
      </c>
      <c r="O55">
        <v>0</v>
      </c>
      <c r="P55">
        <v>0</v>
      </c>
      <c r="Q55">
        <v>0</v>
      </c>
      <c r="R55">
        <v>0</v>
      </c>
    </row>
    <row r="56" spans="1:18" x14ac:dyDescent="0.2">
      <c r="A56" t="str">
        <f t="shared" si="0"/>
        <v>ICE.2022.11</v>
      </c>
      <c r="B56" t="s">
        <v>1403</v>
      </c>
      <c r="C56" t="str">
        <f t="shared" si="1"/>
        <v>11</v>
      </c>
      <c r="D56" t="str">
        <f t="shared" si="2"/>
        <v>2022</v>
      </c>
      <c r="E56" s="51" t="s">
        <v>1495</v>
      </c>
      <c r="J56">
        <v>35.35</v>
      </c>
      <c r="K56">
        <v>0</v>
      </c>
      <c r="L56">
        <v>0</v>
      </c>
      <c r="M56">
        <v>50</v>
      </c>
      <c r="N56">
        <v>0</v>
      </c>
      <c r="O56">
        <v>0</v>
      </c>
      <c r="P56">
        <v>0</v>
      </c>
      <c r="Q56">
        <v>0</v>
      </c>
      <c r="R56">
        <v>0</v>
      </c>
    </row>
    <row r="57" spans="1:18" x14ac:dyDescent="0.2">
      <c r="A57" t="str">
        <f t="shared" si="0"/>
        <v>ICE.2022.12</v>
      </c>
      <c r="B57" t="s">
        <v>1403</v>
      </c>
      <c r="C57" t="str">
        <f t="shared" si="1"/>
        <v>12</v>
      </c>
      <c r="D57" t="str">
        <f t="shared" si="2"/>
        <v>2022</v>
      </c>
      <c r="E57" s="51" t="s">
        <v>1496</v>
      </c>
      <c r="J57">
        <v>39.6</v>
      </c>
      <c r="K57">
        <v>0</v>
      </c>
      <c r="L57">
        <v>0</v>
      </c>
      <c r="M57">
        <v>50</v>
      </c>
      <c r="N57">
        <v>0</v>
      </c>
      <c r="O57">
        <v>0</v>
      </c>
      <c r="P57">
        <v>0</v>
      </c>
      <c r="Q57">
        <v>0</v>
      </c>
      <c r="R57">
        <v>0</v>
      </c>
    </row>
    <row r="58" spans="1:18" x14ac:dyDescent="0.2">
      <c r="A58" t="str">
        <f t="shared" si="0"/>
        <v>ICE.2023.1</v>
      </c>
      <c r="B58" t="s">
        <v>1403</v>
      </c>
      <c r="C58" t="str">
        <f t="shared" si="1"/>
        <v>1</v>
      </c>
      <c r="D58" t="str">
        <f t="shared" si="2"/>
        <v>2023</v>
      </c>
      <c r="E58" s="51" t="s">
        <v>1511</v>
      </c>
      <c r="J58">
        <v>38.15</v>
      </c>
      <c r="K58">
        <v>0</v>
      </c>
      <c r="L58">
        <v>0</v>
      </c>
      <c r="M58">
        <v>75</v>
      </c>
      <c r="N58">
        <v>0</v>
      </c>
      <c r="O58">
        <v>0</v>
      </c>
      <c r="P58">
        <v>0</v>
      </c>
      <c r="Q58">
        <v>0</v>
      </c>
      <c r="R58">
        <v>0</v>
      </c>
    </row>
    <row r="59" spans="1:18" x14ac:dyDescent="0.2">
      <c r="A59" t="str">
        <f t="shared" si="0"/>
        <v>ICE.2023.2</v>
      </c>
      <c r="B59" t="s">
        <v>1403</v>
      </c>
      <c r="C59" t="str">
        <f t="shared" si="1"/>
        <v>2</v>
      </c>
      <c r="D59" t="str">
        <f t="shared" si="2"/>
        <v>2023</v>
      </c>
      <c r="E59" s="51" t="s">
        <v>1512</v>
      </c>
      <c r="J59">
        <v>37.25</v>
      </c>
      <c r="K59">
        <v>0</v>
      </c>
      <c r="L59">
        <v>0</v>
      </c>
      <c r="M59">
        <v>75</v>
      </c>
      <c r="N59">
        <v>0</v>
      </c>
      <c r="O59">
        <v>0</v>
      </c>
      <c r="P59">
        <v>0</v>
      </c>
      <c r="Q59">
        <v>0</v>
      </c>
      <c r="R59">
        <v>0</v>
      </c>
    </row>
    <row r="60" spans="1:18" x14ac:dyDescent="0.2">
      <c r="A60" t="str">
        <f t="shared" si="0"/>
        <v>ICE.2023.3</v>
      </c>
      <c r="B60" t="s">
        <v>1403</v>
      </c>
      <c r="C60" t="str">
        <f t="shared" si="1"/>
        <v>3</v>
      </c>
      <c r="D60" t="str">
        <f t="shared" si="2"/>
        <v>2023</v>
      </c>
      <c r="E60" s="51" t="s">
        <v>1513</v>
      </c>
      <c r="J60">
        <v>32.9</v>
      </c>
      <c r="K60">
        <v>0</v>
      </c>
      <c r="L60">
        <v>0</v>
      </c>
      <c r="M60">
        <v>75</v>
      </c>
      <c r="N60">
        <v>0</v>
      </c>
      <c r="O60">
        <v>0</v>
      </c>
      <c r="P60">
        <v>0</v>
      </c>
      <c r="Q60">
        <v>0</v>
      </c>
      <c r="R60">
        <v>0</v>
      </c>
    </row>
    <row r="61" spans="1:18" x14ac:dyDescent="0.2">
      <c r="A61" t="str">
        <f t="shared" si="0"/>
        <v>ICE.2023.4</v>
      </c>
      <c r="B61" t="s">
        <v>1403</v>
      </c>
      <c r="C61" t="str">
        <f t="shared" si="1"/>
        <v>4</v>
      </c>
      <c r="D61" t="str">
        <f t="shared" si="2"/>
        <v>2023</v>
      </c>
      <c r="E61" s="51" t="s">
        <v>1514</v>
      </c>
      <c r="J61">
        <v>30.7</v>
      </c>
      <c r="K61">
        <v>0</v>
      </c>
      <c r="L61">
        <v>0</v>
      </c>
      <c r="M61">
        <v>75</v>
      </c>
      <c r="N61">
        <v>0</v>
      </c>
      <c r="O61">
        <v>0</v>
      </c>
      <c r="P61">
        <v>0</v>
      </c>
      <c r="Q61">
        <v>0</v>
      </c>
      <c r="R61">
        <v>0</v>
      </c>
    </row>
    <row r="62" spans="1:18" x14ac:dyDescent="0.2">
      <c r="A62" t="str">
        <f t="shared" si="0"/>
        <v>ICE.2023.5</v>
      </c>
      <c r="B62" t="s">
        <v>1403</v>
      </c>
      <c r="C62" t="str">
        <f t="shared" si="1"/>
        <v>5</v>
      </c>
      <c r="D62" t="str">
        <f t="shared" si="2"/>
        <v>2023</v>
      </c>
      <c r="E62" s="51" t="s">
        <v>1515</v>
      </c>
      <c r="J62">
        <v>32.049999999999997</v>
      </c>
      <c r="K62">
        <v>0</v>
      </c>
      <c r="L62">
        <v>0</v>
      </c>
      <c r="M62">
        <v>75</v>
      </c>
      <c r="N62">
        <v>0</v>
      </c>
      <c r="O62">
        <v>0</v>
      </c>
      <c r="P62">
        <v>0</v>
      </c>
      <c r="Q62">
        <v>0</v>
      </c>
      <c r="R62">
        <v>0</v>
      </c>
    </row>
    <row r="63" spans="1:18" x14ac:dyDescent="0.2">
      <c r="A63" t="str">
        <f t="shared" si="0"/>
        <v>ICE.2023.6</v>
      </c>
      <c r="B63" t="s">
        <v>1403</v>
      </c>
      <c r="C63" t="str">
        <f t="shared" si="1"/>
        <v>6</v>
      </c>
      <c r="D63" t="str">
        <f t="shared" si="2"/>
        <v>2023</v>
      </c>
      <c r="E63" s="51" t="s">
        <v>1516</v>
      </c>
      <c r="J63">
        <v>37.75</v>
      </c>
      <c r="K63">
        <v>0</v>
      </c>
      <c r="L63">
        <v>0</v>
      </c>
      <c r="M63">
        <v>75</v>
      </c>
      <c r="N63">
        <v>0</v>
      </c>
      <c r="O63">
        <v>0</v>
      </c>
      <c r="P63">
        <v>0</v>
      </c>
      <c r="Q63">
        <v>0</v>
      </c>
      <c r="R63">
        <v>0</v>
      </c>
    </row>
    <row r="64" spans="1:18" x14ac:dyDescent="0.2">
      <c r="A64" t="str">
        <f t="shared" si="0"/>
        <v>ICE.2023.7</v>
      </c>
      <c r="B64" t="s">
        <v>1403</v>
      </c>
      <c r="C64" t="str">
        <f t="shared" si="1"/>
        <v>7</v>
      </c>
      <c r="D64" t="str">
        <f t="shared" si="2"/>
        <v>2023</v>
      </c>
      <c r="E64" s="51" t="s">
        <v>1517</v>
      </c>
      <c r="J64">
        <v>48.85</v>
      </c>
      <c r="K64">
        <v>0</v>
      </c>
      <c r="L64">
        <v>0</v>
      </c>
      <c r="M64">
        <v>75</v>
      </c>
      <c r="N64">
        <v>0</v>
      </c>
      <c r="O64">
        <v>0</v>
      </c>
      <c r="P64">
        <v>0</v>
      </c>
      <c r="Q64">
        <v>0</v>
      </c>
      <c r="R64">
        <v>0</v>
      </c>
    </row>
    <row r="65" spans="1:18" x14ac:dyDescent="0.2">
      <c r="A65" t="str">
        <f t="shared" si="0"/>
        <v>ICE.2023.8</v>
      </c>
      <c r="B65" t="s">
        <v>1403</v>
      </c>
      <c r="C65" t="str">
        <f t="shared" si="1"/>
        <v>8</v>
      </c>
      <c r="D65" t="str">
        <f t="shared" si="2"/>
        <v>2023</v>
      </c>
      <c r="E65" s="51" t="s">
        <v>1518</v>
      </c>
      <c r="J65">
        <v>48.05</v>
      </c>
      <c r="K65">
        <v>0</v>
      </c>
      <c r="L65">
        <v>0</v>
      </c>
      <c r="M65">
        <v>75</v>
      </c>
      <c r="N65">
        <v>0</v>
      </c>
      <c r="O65">
        <v>0</v>
      </c>
      <c r="P65">
        <v>0</v>
      </c>
      <c r="Q65">
        <v>0</v>
      </c>
      <c r="R65">
        <v>0</v>
      </c>
    </row>
    <row r="66" spans="1:18" x14ac:dyDescent="0.2">
      <c r="A66" t="str">
        <f t="shared" si="0"/>
        <v>ICE.2023.9</v>
      </c>
      <c r="B66" t="s">
        <v>1403</v>
      </c>
      <c r="C66" t="str">
        <f t="shared" si="1"/>
        <v>9</v>
      </c>
      <c r="D66" t="str">
        <f t="shared" si="2"/>
        <v>2023</v>
      </c>
      <c r="E66" s="51" t="s">
        <v>1519</v>
      </c>
      <c r="J66">
        <v>38.85</v>
      </c>
      <c r="K66">
        <v>0</v>
      </c>
      <c r="L66">
        <v>0</v>
      </c>
      <c r="M66">
        <v>75</v>
      </c>
      <c r="N66">
        <v>0</v>
      </c>
      <c r="O66">
        <v>0</v>
      </c>
      <c r="P66">
        <v>0</v>
      </c>
      <c r="Q66">
        <v>0</v>
      </c>
      <c r="R66">
        <v>0</v>
      </c>
    </row>
    <row r="67" spans="1:18" x14ac:dyDescent="0.2">
      <c r="A67" t="str">
        <f t="shared" ref="A67:A117" si="3">B67&amp;"."&amp;D67&amp;"."&amp;C67</f>
        <v>ICE.2023.10</v>
      </c>
      <c r="B67" t="s">
        <v>1403</v>
      </c>
      <c r="C67" t="str">
        <f t="shared" ref="C67:C117" si="4">TEXT(DATEVALUE("1"&amp;E67),"M")</f>
        <v>10</v>
      </c>
      <c r="D67" t="str">
        <f t="shared" ref="D67:D117" si="5">TEXT(DATEVALUE("1"&amp;E67),"YYYY")</f>
        <v>2023</v>
      </c>
      <c r="E67" s="51" t="s">
        <v>1520</v>
      </c>
      <c r="J67">
        <v>37.15</v>
      </c>
      <c r="K67">
        <v>0</v>
      </c>
      <c r="L67">
        <v>0</v>
      </c>
      <c r="M67">
        <v>75</v>
      </c>
      <c r="N67">
        <v>0</v>
      </c>
      <c r="O67">
        <v>0</v>
      </c>
      <c r="P67">
        <v>0</v>
      </c>
      <c r="Q67">
        <v>0</v>
      </c>
      <c r="R67">
        <v>0</v>
      </c>
    </row>
    <row r="68" spans="1:18" x14ac:dyDescent="0.2">
      <c r="A68" t="str">
        <f t="shared" si="3"/>
        <v>ICE.2023.11</v>
      </c>
      <c r="B68" t="s">
        <v>1403</v>
      </c>
      <c r="C68" t="str">
        <f t="shared" si="4"/>
        <v>11</v>
      </c>
      <c r="D68" t="str">
        <f t="shared" si="5"/>
        <v>2023</v>
      </c>
      <c r="E68" s="51" t="s">
        <v>1521</v>
      </c>
      <c r="J68">
        <v>36.950000000000003</v>
      </c>
      <c r="K68">
        <v>0</v>
      </c>
      <c r="L68">
        <v>0</v>
      </c>
      <c r="M68">
        <v>75</v>
      </c>
      <c r="N68">
        <v>0</v>
      </c>
      <c r="O68">
        <v>0</v>
      </c>
      <c r="P68">
        <v>0</v>
      </c>
      <c r="Q68">
        <v>0</v>
      </c>
      <c r="R68">
        <v>0</v>
      </c>
    </row>
    <row r="69" spans="1:18" x14ac:dyDescent="0.2">
      <c r="A69" t="str">
        <f t="shared" si="3"/>
        <v>ICE.2023.12</v>
      </c>
      <c r="B69" t="s">
        <v>1403</v>
      </c>
      <c r="C69" t="str">
        <f t="shared" si="4"/>
        <v>12</v>
      </c>
      <c r="D69" t="str">
        <f t="shared" si="5"/>
        <v>2023</v>
      </c>
      <c r="E69" s="51" t="s">
        <v>1522</v>
      </c>
      <c r="J69">
        <v>41.1</v>
      </c>
      <c r="K69">
        <v>0</v>
      </c>
      <c r="L69">
        <v>0</v>
      </c>
      <c r="M69">
        <v>75</v>
      </c>
      <c r="N69">
        <v>0</v>
      </c>
      <c r="O69">
        <v>0</v>
      </c>
      <c r="P69">
        <v>0</v>
      </c>
      <c r="Q69">
        <v>0</v>
      </c>
      <c r="R69">
        <v>0</v>
      </c>
    </row>
    <row r="70" spans="1:18" x14ac:dyDescent="0.2">
      <c r="A70" t="str">
        <f t="shared" si="3"/>
        <v>ICE.2024.1</v>
      </c>
      <c r="B70" t="s">
        <v>1403</v>
      </c>
      <c r="C70" t="str">
        <f t="shared" si="4"/>
        <v>1</v>
      </c>
      <c r="D70" t="str">
        <f t="shared" si="5"/>
        <v>2024</v>
      </c>
      <c r="E70" s="51" t="s">
        <v>1523</v>
      </c>
      <c r="J70">
        <v>39.299999999999997</v>
      </c>
      <c r="K70">
        <v>0</v>
      </c>
      <c r="L70">
        <v>0</v>
      </c>
      <c r="M70">
        <v>50</v>
      </c>
      <c r="N70">
        <v>0</v>
      </c>
      <c r="O70">
        <v>0</v>
      </c>
      <c r="P70">
        <v>0</v>
      </c>
      <c r="Q70">
        <v>0</v>
      </c>
      <c r="R70">
        <v>0</v>
      </c>
    </row>
    <row r="71" spans="1:18" x14ac:dyDescent="0.2">
      <c r="A71" t="str">
        <f t="shared" si="3"/>
        <v>ICE.2024.2</v>
      </c>
      <c r="B71" t="s">
        <v>1403</v>
      </c>
      <c r="C71" t="str">
        <f t="shared" si="4"/>
        <v>2</v>
      </c>
      <c r="D71" t="str">
        <f t="shared" si="5"/>
        <v>2024</v>
      </c>
      <c r="E71" s="51" t="s">
        <v>1524</v>
      </c>
      <c r="J71">
        <v>38.450000000000003</v>
      </c>
      <c r="K71">
        <v>0</v>
      </c>
      <c r="L71">
        <v>0</v>
      </c>
      <c r="M71">
        <v>50</v>
      </c>
      <c r="N71">
        <v>0</v>
      </c>
      <c r="O71">
        <v>0</v>
      </c>
      <c r="P71">
        <v>0</v>
      </c>
      <c r="Q71">
        <v>0</v>
      </c>
      <c r="R71">
        <v>0</v>
      </c>
    </row>
    <row r="72" spans="1:18" x14ac:dyDescent="0.2">
      <c r="A72" t="str">
        <f t="shared" si="3"/>
        <v>ICE.2024.3</v>
      </c>
      <c r="B72" t="s">
        <v>1403</v>
      </c>
      <c r="C72" t="str">
        <f t="shared" si="4"/>
        <v>3</v>
      </c>
      <c r="D72" t="str">
        <f t="shared" si="5"/>
        <v>2024</v>
      </c>
      <c r="E72" s="51" t="s">
        <v>1525</v>
      </c>
      <c r="J72">
        <v>34.1</v>
      </c>
      <c r="K72">
        <v>0</v>
      </c>
      <c r="L72">
        <v>0</v>
      </c>
      <c r="M72">
        <v>50</v>
      </c>
      <c r="N72">
        <v>0</v>
      </c>
      <c r="O72">
        <v>0</v>
      </c>
      <c r="P72">
        <v>0</v>
      </c>
      <c r="Q72">
        <v>0</v>
      </c>
      <c r="R72">
        <v>0</v>
      </c>
    </row>
    <row r="73" spans="1:18" x14ac:dyDescent="0.2">
      <c r="A73" t="str">
        <f t="shared" si="3"/>
        <v>ICE.2024.4</v>
      </c>
      <c r="B73" t="s">
        <v>1403</v>
      </c>
      <c r="C73" t="str">
        <f t="shared" si="4"/>
        <v>4</v>
      </c>
      <c r="D73" t="str">
        <f t="shared" si="5"/>
        <v>2024</v>
      </c>
      <c r="E73" s="51" t="s">
        <v>1526</v>
      </c>
      <c r="J73">
        <v>31.55</v>
      </c>
      <c r="K73">
        <v>0</v>
      </c>
      <c r="L73">
        <v>0</v>
      </c>
      <c r="M73">
        <v>50</v>
      </c>
      <c r="N73">
        <v>0</v>
      </c>
      <c r="O73">
        <v>0</v>
      </c>
      <c r="P73">
        <v>0</v>
      </c>
      <c r="Q73">
        <v>0</v>
      </c>
      <c r="R73">
        <v>0</v>
      </c>
    </row>
    <row r="74" spans="1:18" x14ac:dyDescent="0.2">
      <c r="A74" t="str">
        <f t="shared" si="3"/>
        <v>ICE.2024.5</v>
      </c>
      <c r="B74" t="s">
        <v>1403</v>
      </c>
      <c r="C74" t="str">
        <f t="shared" si="4"/>
        <v>5</v>
      </c>
      <c r="D74" t="str">
        <f t="shared" si="5"/>
        <v>2024</v>
      </c>
      <c r="E74" s="51" t="s">
        <v>1527</v>
      </c>
      <c r="J74">
        <v>33.1</v>
      </c>
      <c r="K74">
        <v>0</v>
      </c>
      <c r="L74">
        <v>0</v>
      </c>
      <c r="M74">
        <v>50</v>
      </c>
      <c r="N74">
        <v>0</v>
      </c>
      <c r="O74">
        <v>0</v>
      </c>
      <c r="P74">
        <v>0</v>
      </c>
      <c r="Q74">
        <v>0</v>
      </c>
      <c r="R74">
        <v>0</v>
      </c>
    </row>
    <row r="75" spans="1:18" x14ac:dyDescent="0.2">
      <c r="A75" t="str">
        <f t="shared" si="3"/>
        <v>ICE.2024.6</v>
      </c>
      <c r="B75" t="s">
        <v>1403</v>
      </c>
      <c r="C75" t="str">
        <f t="shared" si="4"/>
        <v>6</v>
      </c>
      <c r="D75" t="str">
        <f t="shared" si="5"/>
        <v>2024</v>
      </c>
      <c r="E75" s="51" t="s">
        <v>1528</v>
      </c>
      <c r="J75">
        <v>38.25</v>
      </c>
      <c r="K75">
        <v>0</v>
      </c>
      <c r="L75">
        <v>0</v>
      </c>
      <c r="M75">
        <v>50</v>
      </c>
      <c r="N75">
        <v>0</v>
      </c>
      <c r="O75">
        <v>0</v>
      </c>
      <c r="P75">
        <v>0</v>
      </c>
      <c r="Q75">
        <v>0</v>
      </c>
      <c r="R75">
        <v>0</v>
      </c>
    </row>
    <row r="76" spans="1:18" x14ac:dyDescent="0.2">
      <c r="A76" t="str">
        <f t="shared" si="3"/>
        <v>ICE.2024.7</v>
      </c>
      <c r="B76" t="s">
        <v>1403</v>
      </c>
      <c r="C76" t="str">
        <f t="shared" si="4"/>
        <v>7</v>
      </c>
      <c r="D76" t="str">
        <f t="shared" si="5"/>
        <v>2024</v>
      </c>
      <c r="E76" s="51" t="s">
        <v>1529</v>
      </c>
      <c r="J76">
        <v>50.55</v>
      </c>
      <c r="K76">
        <v>-0.05</v>
      </c>
      <c r="L76">
        <v>0</v>
      </c>
      <c r="M76">
        <v>50</v>
      </c>
      <c r="N76">
        <v>0</v>
      </c>
      <c r="O76">
        <v>0</v>
      </c>
      <c r="P76">
        <v>0</v>
      </c>
      <c r="Q76">
        <v>0</v>
      </c>
      <c r="R76">
        <v>0</v>
      </c>
    </row>
    <row r="77" spans="1:18" x14ac:dyDescent="0.2">
      <c r="A77" t="str">
        <f t="shared" si="3"/>
        <v>ICE.2024.8</v>
      </c>
      <c r="B77" t="s">
        <v>1403</v>
      </c>
      <c r="C77" t="str">
        <f t="shared" si="4"/>
        <v>8</v>
      </c>
      <c r="D77" t="str">
        <f t="shared" si="5"/>
        <v>2024</v>
      </c>
      <c r="E77" s="51" t="s">
        <v>1530</v>
      </c>
      <c r="J77">
        <v>49.5</v>
      </c>
      <c r="K77">
        <v>-0.05</v>
      </c>
      <c r="L77">
        <v>0</v>
      </c>
      <c r="M77">
        <v>50</v>
      </c>
      <c r="N77">
        <v>0</v>
      </c>
      <c r="O77">
        <v>0</v>
      </c>
      <c r="P77">
        <v>0</v>
      </c>
      <c r="Q77">
        <v>0</v>
      </c>
      <c r="R77">
        <v>0</v>
      </c>
    </row>
    <row r="78" spans="1:18" x14ac:dyDescent="0.2">
      <c r="A78" t="str">
        <f t="shared" si="3"/>
        <v>ICE.2024.9</v>
      </c>
      <c r="B78" t="s">
        <v>1403</v>
      </c>
      <c r="C78" t="str">
        <f t="shared" si="4"/>
        <v>9</v>
      </c>
      <c r="D78" t="str">
        <f t="shared" si="5"/>
        <v>2024</v>
      </c>
      <c r="E78" s="51" t="s">
        <v>1531</v>
      </c>
      <c r="J78">
        <v>40.299999999999997</v>
      </c>
      <c r="K78">
        <v>0</v>
      </c>
      <c r="L78">
        <v>0</v>
      </c>
      <c r="M78">
        <v>50</v>
      </c>
      <c r="N78">
        <v>0</v>
      </c>
      <c r="O78">
        <v>0</v>
      </c>
      <c r="P78">
        <v>0</v>
      </c>
      <c r="Q78">
        <v>0</v>
      </c>
      <c r="R78">
        <v>0</v>
      </c>
    </row>
    <row r="79" spans="1:18" x14ac:dyDescent="0.2">
      <c r="A79" t="str">
        <f t="shared" si="3"/>
        <v>ICE.2024.10</v>
      </c>
      <c r="B79" t="s">
        <v>1403</v>
      </c>
      <c r="C79" t="str">
        <f t="shared" si="4"/>
        <v>10</v>
      </c>
      <c r="D79" t="str">
        <f t="shared" si="5"/>
        <v>2024</v>
      </c>
      <c r="E79" s="51" t="s">
        <v>1532</v>
      </c>
      <c r="J79">
        <v>38.299999999999997</v>
      </c>
      <c r="K79">
        <v>0</v>
      </c>
      <c r="L79">
        <v>0</v>
      </c>
      <c r="M79">
        <v>50</v>
      </c>
      <c r="N79">
        <v>0</v>
      </c>
      <c r="O79">
        <v>0</v>
      </c>
      <c r="P79">
        <v>0</v>
      </c>
      <c r="Q79">
        <v>0</v>
      </c>
      <c r="R79">
        <v>0</v>
      </c>
    </row>
    <row r="80" spans="1:18" x14ac:dyDescent="0.2">
      <c r="A80" t="str">
        <f t="shared" si="3"/>
        <v>ICE.2024.11</v>
      </c>
      <c r="B80" t="s">
        <v>1403</v>
      </c>
      <c r="C80" t="str">
        <f t="shared" si="4"/>
        <v>11</v>
      </c>
      <c r="D80" t="str">
        <f t="shared" si="5"/>
        <v>2024</v>
      </c>
      <c r="E80" s="51" t="s">
        <v>1533</v>
      </c>
      <c r="J80">
        <v>38.049999999999997</v>
      </c>
      <c r="K80">
        <v>0</v>
      </c>
      <c r="L80">
        <v>0</v>
      </c>
      <c r="M80">
        <v>50</v>
      </c>
      <c r="N80">
        <v>0</v>
      </c>
      <c r="O80">
        <v>0</v>
      </c>
      <c r="P80">
        <v>0</v>
      </c>
      <c r="Q80">
        <v>0</v>
      </c>
      <c r="R80">
        <v>0</v>
      </c>
    </row>
    <row r="81" spans="1:18" x14ac:dyDescent="0.2">
      <c r="A81" t="str">
        <f t="shared" si="3"/>
        <v>ICE.2024.12</v>
      </c>
      <c r="B81" t="s">
        <v>1403</v>
      </c>
      <c r="C81" t="str">
        <f t="shared" si="4"/>
        <v>12</v>
      </c>
      <c r="D81" t="str">
        <f t="shared" si="5"/>
        <v>2024</v>
      </c>
      <c r="E81" s="51" t="s">
        <v>1534</v>
      </c>
      <c r="J81">
        <v>42.4</v>
      </c>
      <c r="K81">
        <v>-0.05</v>
      </c>
      <c r="L81">
        <v>0</v>
      </c>
      <c r="M81">
        <v>50</v>
      </c>
      <c r="N81">
        <v>0</v>
      </c>
      <c r="O81">
        <v>0</v>
      </c>
      <c r="P81">
        <v>0</v>
      </c>
      <c r="Q81">
        <v>0</v>
      </c>
      <c r="R81">
        <v>0</v>
      </c>
    </row>
    <row r="82" spans="1:18" x14ac:dyDescent="0.2">
      <c r="A82" t="str">
        <f t="shared" si="3"/>
        <v>ICE.2025.1</v>
      </c>
      <c r="B82" t="s">
        <v>1403</v>
      </c>
      <c r="C82" t="str">
        <f t="shared" si="4"/>
        <v>1</v>
      </c>
      <c r="D82" t="str">
        <f t="shared" si="5"/>
        <v>2025</v>
      </c>
      <c r="E82" s="51" t="s">
        <v>1538</v>
      </c>
      <c r="J82">
        <v>40.35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</row>
    <row r="83" spans="1:18" x14ac:dyDescent="0.2">
      <c r="A83" t="str">
        <f t="shared" si="3"/>
        <v>ICE.2025.2</v>
      </c>
      <c r="B83" t="s">
        <v>1403</v>
      </c>
      <c r="C83" t="str">
        <f t="shared" si="4"/>
        <v>2</v>
      </c>
      <c r="D83" t="str">
        <f t="shared" si="5"/>
        <v>2025</v>
      </c>
      <c r="E83" s="51" t="s">
        <v>1539</v>
      </c>
      <c r="J83">
        <v>39.549999999999997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</row>
    <row r="84" spans="1:18" x14ac:dyDescent="0.2">
      <c r="A84" t="str">
        <f t="shared" si="3"/>
        <v>ICE.2025.3</v>
      </c>
      <c r="B84" t="s">
        <v>1403</v>
      </c>
      <c r="C84" t="str">
        <f t="shared" si="4"/>
        <v>3</v>
      </c>
      <c r="D84" t="str">
        <f t="shared" si="5"/>
        <v>2025</v>
      </c>
      <c r="E84" s="51" t="s">
        <v>1540</v>
      </c>
      <c r="J84">
        <v>35.049999999999997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</row>
    <row r="85" spans="1:18" x14ac:dyDescent="0.2">
      <c r="A85" t="str">
        <f t="shared" si="3"/>
        <v>ICE.2025.4</v>
      </c>
      <c r="B85" t="s">
        <v>1403</v>
      </c>
      <c r="C85" t="str">
        <f t="shared" si="4"/>
        <v>4</v>
      </c>
      <c r="D85" t="str">
        <f t="shared" si="5"/>
        <v>2025</v>
      </c>
      <c r="E85" s="51" t="s">
        <v>1541</v>
      </c>
      <c r="J85">
        <v>32.299999999999997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</row>
    <row r="86" spans="1:18" x14ac:dyDescent="0.2">
      <c r="A86" t="str">
        <f t="shared" si="3"/>
        <v>ICE.2025.5</v>
      </c>
      <c r="B86" t="s">
        <v>1403</v>
      </c>
      <c r="C86" t="str">
        <f t="shared" si="4"/>
        <v>5</v>
      </c>
      <c r="D86" t="str">
        <f t="shared" si="5"/>
        <v>2025</v>
      </c>
      <c r="E86" s="51" t="s">
        <v>1542</v>
      </c>
      <c r="J86">
        <v>33.950000000000003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</row>
    <row r="87" spans="1:18" x14ac:dyDescent="0.2">
      <c r="A87" t="str">
        <f t="shared" si="3"/>
        <v>ICE.2025.6</v>
      </c>
      <c r="B87" t="s">
        <v>1403</v>
      </c>
      <c r="C87" t="str">
        <f t="shared" si="4"/>
        <v>6</v>
      </c>
      <c r="D87" t="str">
        <f t="shared" si="5"/>
        <v>2025</v>
      </c>
      <c r="E87" s="51" t="s">
        <v>1543</v>
      </c>
      <c r="J87">
        <v>39.5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</row>
    <row r="88" spans="1:18" x14ac:dyDescent="0.2">
      <c r="A88" t="str">
        <f t="shared" si="3"/>
        <v>ICE.2025.7</v>
      </c>
      <c r="B88" t="s">
        <v>1403</v>
      </c>
      <c r="C88" t="str">
        <f t="shared" si="4"/>
        <v>7</v>
      </c>
      <c r="D88" t="str">
        <f t="shared" si="5"/>
        <v>2025</v>
      </c>
      <c r="E88" s="51" t="s">
        <v>1544</v>
      </c>
      <c r="J88">
        <v>52.2</v>
      </c>
      <c r="K88">
        <v>-0.05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</row>
    <row r="89" spans="1:18" x14ac:dyDescent="0.2">
      <c r="A89" t="str">
        <f t="shared" si="3"/>
        <v>ICE.2025.8</v>
      </c>
      <c r="B89" t="s">
        <v>1403</v>
      </c>
      <c r="C89" t="str">
        <f t="shared" si="4"/>
        <v>8</v>
      </c>
      <c r="D89" t="str">
        <f t="shared" si="5"/>
        <v>2025</v>
      </c>
      <c r="E89" s="51" t="s">
        <v>1545</v>
      </c>
      <c r="J89">
        <v>50.95</v>
      </c>
      <c r="K89">
        <v>-0.05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</row>
    <row r="90" spans="1:18" x14ac:dyDescent="0.2">
      <c r="A90" t="str">
        <f t="shared" si="3"/>
        <v>ICE.2025.9</v>
      </c>
      <c r="B90" t="s">
        <v>1403</v>
      </c>
      <c r="C90" t="str">
        <f t="shared" si="4"/>
        <v>9</v>
      </c>
      <c r="D90" t="str">
        <f t="shared" si="5"/>
        <v>2025</v>
      </c>
      <c r="E90" s="51" t="s">
        <v>1546</v>
      </c>
      <c r="J90">
        <v>41.5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</row>
    <row r="91" spans="1:18" x14ac:dyDescent="0.2">
      <c r="A91" t="str">
        <f t="shared" si="3"/>
        <v>ICE.2025.10</v>
      </c>
      <c r="B91" t="s">
        <v>1403</v>
      </c>
      <c r="C91" t="str">
        <f t="shared" si="4"/>
        <v>10</v>
      </c>
      <c r="D91" t="str">
        <f t="shared" si="5"/>
        <v>2025</v>
      </c>
      <c r="E91" s="51" t="s">
        <v>1547</v>
      </c>
      <c r="J91">
        <v>39.299999999999997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</row>
    <row r="92" spans="1:18" x14ac:dyDescent="0.2">
      <c r="A92" t="str">
        <f t="shared" si="3"/>
        <v>ICE.2025.11</v>
      </c>
      <c r="B92" t="s">
        <v>1403</v>
      </c>
      <c r="C92" t="str">
        <f t="shared" si="4"/>
        <v>11</v>
      </c>
      <c r="D92" t="str">
        <f t="shared" si="5"/>
        <v>2025</v>
      </c>
      <c r="E92" s="51" t="s">
        <v>1548</v>
      </c>
      <c r="J92">
        <v>39.1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</row>
    <row r="93" spans="1:18" x14ac:dyDescent="0.2">
      <c r="A93" t="str">
        <f t="shared" si="3"/>
        <v>ICE.2025.12</v>
      </c>
      <c r="B93" t="s">
        <v>1403</v>
      </c>
      <c r="C93" t="str">
        <f t="shared" si="4"/>
        <v>12</v>
      </c>
      <c r="D93" t="str">
        <f t="shared" si="5"/>
        <v>2025</v>
      </c>
      <c r="E93" s="51" t="s">
        <v>1549</v>
      </c>
      <c r="J93">
        <v>43.6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</row>
    <row r="94" spans="1:18" x14ac:dyDescent="0.2">
      <c r="A94" t="str">
        <f t="shared" si="3"/>
        <v>ICE.2026.1</v>
      </c>
      <c r="B94" t="s">
        <v>1403</v>
      </c>
      <c r="C94" t="str">
        <f t="shared" si="4"/>
        <v>1</v>
      </c>
      <c r="D94" t="str">
        <f t="shared" si="5"/>
        <v>2026</v>
      </c>
      <c r="E94" s="51" t="s">
        <v>1550</v>
      </c>
      <c r="J94">
        <v>41.35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</row>
    <row r="95" spans="1:18" x14ac:dyDescent="0.2">
      <c r="A95" t="str">
        <f t="shared" si="3"/>
        <v>ICE.2026.2</v>
      </c>
      <c r="B95" t="s">
        <v>1403</v>
      </c>
      <c r="C95" t="str">
        <f t="shared" si="4"/>
        <v>2</v>
      </c>
      <c r="D95" t="str">
        <f t="shared" si="5"/>
        <v>2026</v>
      </c>
      <c r="E95" s="51" t="s">
        <v>1551</v>
      </c>
      <c r="J95">
        <v>40.5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</row>
    <row r="96" spans="1:18" x14ac:dyDescent="0.2">
      <c r="A96" t="str">
        <f t="shared" si="3"/>
        <v>ICE.2026.3</v>
      </c>
      <c r="B96" t="s">
        <v>1403</v>
      </c>
      <c r="C96" t="str">
        <f t="shared" si="4"/>
        <v>3</v>
      </c>
      <c r="D96" t="str">
        <f t="shared" si="5"/>
        <v>2026</v>
      </c>
      <c r="E96" s="51" t="s">
        <v>1552</v>
      </c>
      <c r="J96">
        <v>35.799999999999997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</row>
    <row r="97" spans="1:18" x14ac:dyDescent="0.2">
      <c r="A97" t="str">
        <f t="shared" si="3"/>
        <v>ICE.2026.4</v>
      </c>
      <c r="B97" t="s">
        <v>1403</v>
      </c>
      <c r="C97" t="str">
        <f t="shared" si="4"/>
        <v>4</v>
      </c>
      <c r="D97" t="str">
        <f t="shared" si="5"/>
        <v>2026</v>
      </c>
      <c r="E97" s="51" t="s">
        <v>1553</v>
      </c>
      <c r="J97">
        <v>33.35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</row>
    <row r="98" spans="1:18" x14ac:dyDescent="0.2">
      <c r="A98" t="str">
        <f t="shared" si="3"/>
        <v>ICE.2026.5</v>
      </c>
      <c r="B98" t="s">
        <v>1403</v>
      </c>
      <c r="C98" t="str">
        <f t="shared" si="4"/>
        <v>5</v>
      </c>
      <c r="D98" t="str">
        <f t="shared" si="5"/>
        <v>2026</v>
      </c>
      <c r="E98" s="51" t="s">
        <v>1554</v>
      </c>
      <c r="J98">
        <v>34.799999999999997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</row>
    <row r="99" spans="1:18" x14ac:dyDescent="0.2">
      <c r="A99" t="str">
        <f t="shared" si="3"/>
        <v>ICE.2026.6</v>
      </c>
      <c r="B99" t="s">
        <v>1403</v>
      </c>
      <c r="C99" t="str">
        <f t="shared" si="4"/>
        <v>6</v>
      </c>
      <c r="D99" t="str">
        <f t="shared" si="5"/>
        <v>2026</v>
      </c>
      <c r="E99" s="51" t="s">
        <v>1555</v>
      </c>
      <c r="J99">
        <v>40.75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</row>
    <row r="100" spans="1:18" x14ac:dyDescent="0.2">
      <c r="A100" t="str">
        <f t="shared" si="3"/>
        <v>ICE.2026.7</v>
      </c>
      <c r="B100" t="s">
        <v>1403</v>
      </c>
      <c r="C100" t="str">
        <f t="shared" si="4"/>
        <v>7</v>
      </c>
      <c r="D100" t="str">
        <f t="shared" si="5"/>
        <v>2026</v>
      </c>
      <c r="E100" s="51" t="s">
        <v>1556</v>
      </c>
      <c r="J100">
        <v>53.7</v>
      </c>
      <c r="K100">
        <v>-0.05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</row>
    <row r="101" spans="1:18" x14ac:dyDescent="0.2">
      <c r="A101" t="str">
        <f t="shared" si="3"/>
        <v>ICE.2026.8</v>
      </c>
      <c r="B101" t="s">
        <v>1403</v>
      </c>
      <c r="C101" t="str">
        <f t="shared" si="4"/>
        <v>8</v>
      </c>
      <c r="D101" t="str">
        <f t="shared" si="5"/>
        <v>2026</v>
      </c>
      <c r="E101" s="51" t="s">
        <v>1557</v>
      </c>
      <c r="J101">
        <v>52.6</v>
      </c>
      <c r="K101">
        <v>-0.05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</row>
    <row r="102" spans="1:18" x14ac:dyDescent="0.2">
      <c r="A102" t="str">
        <f t="shared" si="3"/>
        <v>ICE.2026.9</v>
      </c>
      <c r="B102" t="s">
        <v>1403</v>
      </c>
      <c r="C102" t="str">
        <f t="shared" si="4"/>
        <v>9</v>
      </c>
      <c r="D102" t="str">
        <f t="shared" si="5"/>
        <v>2026</v>
      </c>
      <c r="E102" s="51" t="s">
        <v>1558</v>
      </c>
      <c r="J102">
        <v>42.55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</row>
    <row r="103" spans="1:18" x14ac:dyDescent="0.2">
      <c r="A103" t="str">
        <f t="shared" si="3"/>
        <v>ICE.2026.10</v>
      </c>
      <c r="B103" t="s">
        <v>1403</v>
      </c>
      <c r="C103" t="str">
        <f t="shared" si="4"/>
        <v>10</v>
      </c>
      <c r="D103" t="str">
        <f t="shared" si="5"/>
        <v>2026</v>
      </c>
      <c r="E103" s="51" t="s">
        <v>1559</v>
      </c>
      <c r="J103">
        <v>40.15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</row>
    <row r="104" spans="1:18" x14ac:dyDescent="0.2">
      <c r="A104" t="str">
        <f t="shared" si="3"/>
        <v>ICE.2026.11</v>
      </c>
      <c r="B104" t="s">
        <v>1403</v>
      </c>
      <c r="C104" t="str">
        <f t="shared" si="4"/>
        <v>11</v>
      </c>
      <c r="D104" t="str">
        <f t="shared" si="5"/>
        <v>2026</v>
      </c>
      <c r="E104" s="51" t="s">
        <v>1560</v>
      </c>
      <c r="J104">
        <v>40.049999999999997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</row>
    <row r="105" spans="1:18" x14ac:dyDescent="0.2">
      <c r="A105" t="str">
        <f t="shared" si="3"/>
        <v>ICE.2026.12</v>
      </c>
      <c r="B105" t="s">
        <v>1403</v>
      </c>
      <c r="C105" t="str">
        <f t="shared" si="4"/>
        <v>12</v>
      </c>
      <c r="D105" t="str">
        <f t="shared" si="5"/>
        <v>2026</v>
      </c>
      <c r="E105" s="51" t="s">
        <v>1561</v>
      </c>
      <c r="J105">
        <v>44.7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</row>
    <row r="106" spans="1:18" x14ac:dyDescent="0.2">
      <c r="A106" t="str">
        <f t="shared" si="3"/>
        <v>ICE.2027.1</v>
      </c>
      <c r="B106" t="s">
        <v>1403</v>
      </c>
      <c r="C106" t="str">
        <f t="shared" si="4"/>
        <v>1</v>
      </c>
      <c r="D106" t="str">
        <f t="shared" si="5"/>
        <v>2027</v>
      </c>
      <c r="E106" s="51" t="s">
        <v>1562</v>
      </c>
      <c r="J106">
        <v>42.5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</row>
    <row r="107" spans="1:18" x14ac:dyDescent="0.2">
      <c r="A107" t="str">
        <f t="shared" si="3"/>
        <v>ICE.2027.2</v>
      </c>
      <c r="B107" t="s">
        <v>1403</v>
      </c>
      <c r="C107" t="str">
        <f t="shared" si="4"/>
        <v>2</v>
      </c>
      <c r="D107" t="str">
        <f t="shared" si="5"/>
        <v>2027</v>
      </c>
      <c r="E107" s="51" t="s">
        <v>1563</v>
      </c>
      <c r="J107">
        <v>41.65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</row>
    <row r="108" spans="1:18" x14ac:dyDescent="0.2">
      <c r="A108" t="str">
        <f t="shared" si="3"/>
        <v>ICE.2027.3</v>
      </c>
      <c r="B108" t="s">
        <v>1403</v>
      </c>
      <c r="C108" t="str">
        <f t="shared" si="4"/>
        <v>3</v>
      </c>
      <c r="D108" t="str">
        <f t="shared" si="5"/>
        <v>2027</v>
      </c>
      <c r="E108" s="51" t="s">
        <v>1564</v>
      </c>
      <c r="J108">
        <v>36.85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</row>
    <row r="109" spans="1:18" x14ac:dyDescent="0.2">
      <c r="A109" t="str">
        <f t="shared" si="3"/>
        <v>ICE.2027.4</v>
      </c>
      <c r="B109" t="s">
        <v>1403</v>
      </c>
      <c r="C109" t="str">
        <f t="shared" si="4"/>
        <v>4</v>
      </c>
      <c r="D109" t="str">
        <f t="shared" si="5"/>
        <v>2027</v>
      </c>
      <c r="E109" s="51" t="s">
        <v>1565</v>
      </c>
      <c r="J109">
        <v>34.049999999999997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</row>
    <row r="110" spans="1:18" x14ac:dyDescent="0.2">
      <c r="A110" t="str">
        <f t="shared" si="3"/>
        <v>ICE.2027.5</v>
      </c>
      <c r="B110" t="s">
        <v>1403</v>
      </c>
      <c r="C110" t="str">
        <f t="shared" si="4"/>
        <v>5</v>
      </c>
      <c r="D110" t="str">
        <f t="shared" si="5"/>
        <v>2027</v>
      </c>
      <c r="E110" s="51" t="s">
        <v>1566</v>
      </c>
      <c r="J110">
        <v>35.799999999999997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</row>
    <row r="111" spans="1:18" x14ac:dyDescent="0.2">
      <c r="A111" t="str">
        <f t="shared" si="3"/>
        <v>ICE.2027.6</v>
      </c>
      <c r="B111" t="s">
        <v>1403</v>
      </c>
      <c r="C111" t="str">
        <f t="shared" si="4"/>
        <v>6</v>
      </c>
      <c r="D111" t="str">
        <f t="shared" si="5"/>
        <v>2027</v>
      </c>
      <c r="E111" s="51" t="s">
        <v>1567</v>
      </c>
      <c r="J111">
        <v>41.7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</row>
    <row r="112" spans="1:18" x14ac:dyDescent="0.2">
      <c r="A112" t="str">
        <f t="shared" si="3"/>
        <v>ICE.2027.7</v>
      </c>
      <c r="B112" t="s">
        <v>1403</v>
      </c>
      <c r="C112" t="str">
        <f t="shared" si="4"/>
        <v>7</v>
      </c>
      <c r="D112" t="str">
        <f t="shared" si="5"/>
        <v>2027</v>
      </c>
      <c r="E112" s="51" t="s">
        <v>1568</v>
      </c>
      <c r="J112">
        <v>55.1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</row>
    <row r="113" spans="1:18" x14ac:dyDescent="0.2">
      <c r="A113" t="str">
        <f t="shared" si="3"/>
        <v>ICE.2027.8</v>
      </c>
      <c r="B113" t="s">
        <v>1403</v>
      </c>
      <c r="C113" t="str">
        <f t="shared" si="4"/>
        <v>8</v>
      </c>
      <c r="D113" t="str">
        <f t="shared" si="5"/>
        <v>2027</v>
      </c>
      <c r="E113" s="51" t="s">
        <v>1569</v>
      </c>
      <c r="J113">
        <v>53.85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</row>
    <row r="114" spans="1:18" x14ac:dyDescent="0.2">
      <c r="A114" t="str">
        <f t="shared" si="3"/>
        <v>ICE.2027.9</v>
      </c>
      <c r="B114" t="s">
        <v>1403</v>
      </c>
      <c r="C114" t="str">
        <f t="shared" si="4"/>
        <v>9</v>
      </c>
      <c r="D114" t="str">
        <f t="shared" si="5"/>
        <v>2027</v>
      </c>
      <c r="E114" s="51" t="s">
        <v>1570</v>
      </c>
      <c r="J114">
        <v>43.7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</row>
    <row r="115" spans="1:18" x14ac:dyDescent="0.2">
      <c r="A115" t="str">
        <f t="shared" si="3"/>
        <v>ICE.2027.10</v>
      </c>
      <c r="B115" t="s">
        <v>1403</v>
      </c>
      <c r="C115" t="str">
        <f t="shared" si="4"/>
        <v>10</v>
      </c>
      <c r="D115" t="str">
        <f t="shared" si="5"/>
        <v>2027</v>
      </c>
      <c r="E115" s="51" t="s">
        <v>1571</v>
      </c>
      <c r="J115">
        <v>41.4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</row>
    <row r="116" spans="1:18" x14ac:dyDescent="0.2">
      <c r="A116" t="str">
        <f t="shared" si="3"/>
        <v>ICE.2027.11</v>
      </c>
      <c r="B116" t="s">
        <v>1403</v>
      </c>
      <c r="C116" t="str">
        <f t="shared" si="4"/>
        <v>11</v>
      </c>
      <c r="D116" t="str">
        <f t="shared" si="5"/>
        <v>2027</v>
      </c>
      <c r="E116" s="51" t="s">
        <v>1572</v>
      </c>
      <c r="J116">
        <v>41.15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</row>
    <row r="117" spans="1:18" x14ac:dyDescent="0.2">
      <c r="A117" t="str">
        <f t="shared" si="3"/>
        <v>ICE.2027.12</v>
      </c>
      <c r="B117" t="s">
        <v>1403</v>
      </c>
      <c r="C117" t="str">
        <f t="shared" si="4"/>
        <v>12</v>
      </c>
      <c r="D117" t="str">
        <f t="shared" si="5"/>
        <v>2027</v>
      </c>
      <c r="E117" s="51" t="s">
        <v>1573</v>
      </c>
      <c r="J117">
        <v>46.05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aloVerdeOffPeak"/>
  <dimension ref="A1:T117"/>
  <sheetViews>
    <sheetView workbookViewId="0"/>
  </sheetViews>
  <sheetFormatPr defaultRowHeight="12.75" x14ac:dyDescent="0.2"/>
  <cols>
    <col min="1" max="1" width="11.140625" bestFit="1" customWidth="1"/>
    <col min="2" max="2" width="8.5703125" bestFit="1" customWidth="1"/>
    <col min="3" max="3" width="5.7109375" bestFit="1" customWidth="1"/>
    <col min="4" max="4" width="5.140625" bestFit="1" customWidth="1"/>
    <col min="5" max="5" width="7.7109375" bestFit="1" customWidth="1"/>
    <col min="6" max="6" width="5.85546875" bestFit="1" customWidth="1"/>
    <col min="7" max="7" width="5.140625" bestFit="1" customWidth="1"/>
    <col min="8" max="8" width="4.85546875" bestFit="1" customWidth="1"/>
    <col min="9" max="9" width="6" bestFit="1" customWidth="1"/>
    <col min="10" max="10" width="10.85546875" bestFit="1" customWidth="1"/>
    <col min="11" max="12" width="8" bestFit="1" customWidth="1"/>
    <col min="13" max="13" width="8.7109375" bestFit="1" customWidth="1"/>
    <col min="14" max="14" width="10.5703125" bestFit="1" customWidth="1"/>
    <col min="15" max="16" width="4.5703125" bestFit="1" customWidth="1"/>
    <col min="17" max="17" width="9.5703125" bestFit="1" customWidth="1"/>
    <col min="18" max="18" width="11.140625" bestFit="1" customWidth="1"/>
  </cols>
  <sheetData>
    <row r="1" spans="1:20" s="1" customFormat="1" x14ac:dyDescent="0.2">
      <c r="A1" s="1" t="s">
        <v>1404</v>
      </c>
      <c r="B1" s="1" t="s">
        <v>1402</v>
      </c>
      <c r="C1" s="1" t="s">
        <v>974</v>
      </c>
      <c r="D1" s="1" t="s">
        <v>980</v>
      </c>
      <c r="E1" s="50" t="s">
        <v>1364</v>
      </c>
      <c r="F1" s="45" t="s">
        <v>1365</v>
      </c>
      <c r="G1" s="1" t="s">
        <v>1366</v>
      </c>
      <c r="H1" s="1" t="s">
        <v>1367</v>
      </c>
      <c r="I1" s="1" t="s">
        <v>1368</v>
      </c>
      <c r="J1" s="1" t="s">
        <v>978</v>
      </c>
      <c r="K1" s="1" t="s">
        <v>1369</v>
      </c>
      <c r="L1" s="1" t="s">
        <v>975</v>
      </c>
      <c r="M1" s="1" t="s">
        <v>979</v>
      </c>
      <c r="N1" s="1" t="s">
        <v>969</v>
      </c>
      <c r="O1" s="1" t="s">
        <v>1444</v>
      </c>
      <c r="P1" s="1" t="s">
        <v>1445</v>
      </c>
      <c r="Q1" s="1" t="s">
        <v>976</v>
      </c>
      <c r="R1" s="1" t="s">
        <v>1510</v>
      </c>
      <c r="T1" s="45">
        <v>43236</v>
      </c>
    </row>
    <row r="2" spans="1:20" x14ac:dyDescent="0.2">
      <c r="A2" t="str">
        <f>B2&amp;"."&amp;D2&amp;"."&amp;C2</f>
        <v>ICE.2018.5</v>
      </c>
      <c r="B2" t="s">
        <v>1403</v>
      </c>
      <c r="C2" t="str">
        <f>TEXT(DATEVALUE("1"&amp;E2),"M")</f>
        <v>5</v>
      </c>
      <c r="D2" t="str">
        <f>TEXT(DATEVALUE("1"&amp;E2),"YYYY")</f>
        <v>2018</v>
      </c>
      <c r="E2" s="51" t="s">
        <v>1370</v>
      </c>
      <c r="J2">
        <v>17.43</v>
      </c>
      <c r="K2">
        <v>-0.03</v>
      </c>
      <c r="L2">
        <v>0</v>
      </c>
      <c r="M2">
        <v>485</v>
      </c>
      <c r="N2">
        <v>0</v>
      </c>
      <c r="O2">
        <v>0</v>
      </c>
      <c r="P2">
        <v>0</v>
      </c>
      <c r="Q2">
        <v>0</v>
      </c>
      <c r="R2">
        <v>0</v>
      </c>
    </row>
    <row r="3" spans="1:20" x14ac:dyDescent="0.2">
      <c r="A3" t="str">
        <f t="shared" ref="A3:A66" si="0">B3&amp;"."&amp;D3&amp;"."&amp;C3</f>
        <v>ICE.2018.6</v>
      </c>
      <c r="B3" t="s">
        <v>1403</v>
      </c>
      <c r="C3" t="str">
        <f t="shared" ref="C3:C66" si="1">TEXT(DATEVALUE("1"&amp;E3),"M")</f>
        <v>6</v>
      </c>
      <c r="D3" t="str">
        <f t="shared" ref="D3:D66" si="2">TEXT(DATEVALUE("1"&amp;E3),"YYYY")</f>
        <v>2018</v>
      </c>
      <c r="E3" s="51" t="s">
        <v>1371</v>
      </c>
      <c r="J3">
        <v>20.100000000000001</v>
      </c>
      <c r="K3">
        <v>-0.2</v>
      </c>
      <c r="L3">
        <v>0</v>
      </c>
      <c r="M3">
        <v>310</v>
      </c>
      <c r="N3">
        <v>0</v>
      </c>
      <c r="O3">
        <v>0</v>
      </c>
      <c r="P3">
        <v>0</v>
      </c>
      <c r="Q3">
        <v>0</v>
      </c>
      <c r="R3">
        <v>0</v>
      </c>
    </row>
    <row r="4" spans="1:20" x14ac:dyDescent="0.2">
      <c r="A4" t="str">
        <f t="shared" si="0"/>
        <v>ICE.2018.7</v>
      </c>
      <c r="B4" t="s">
        <v>1403</v>
      </c>
      <c r="C4" t="str">
        <f t="shared" si="1"/>
        <v>7</v>
      </c>
      <c r="D4" t="str">
        <f t="shared" si="2"/>
        <v>2018</v>
      </c>
      <c r="E4" s="51" t="s">
        <v>1372</v>
      </c>
      <c r="J4">
        <v>26.1</v>
      </c>
      <c r="K4">
        <v>-0.35</v>
      </c>
      <c r="L4">
        <v>0</v>
      </c>
      <c r="M4">
        <v>425</v>
      </c>
      <c r="N4">
        <v>0</v>
      </c>
      <c r="O4">
        <v>0</v>
      </c>
      <c r="P4">
        <v>0</v>
      </c>
      <c r="Q4">
        <v>0</v>
      </c>
      <c r="R4">
        <v>0</v>
      </c>
    </row>
    <row r="5" spans="1:20" x14ac:dyDescent="0.2">
      <c r="A5" t="str">
        <f t="shared" si="0"/>
        <v>ICE.2018.8</v>
      </c>
      <c r="B5" t="s">
        <v>1403</v>
      </c>
      <c r="C5" t="str">
        <f t="shared" si="1"/>
        <v>8</v>
      </c>
      <c r="D5" t="str">
        <f t="shared" si="2"/>
        <v>2018</v>
      </c>
      <c r="E5" s="51" t="s">
        <v>1373</v>
      </c>
      <c r="J5">
        <v>26.8</v>
      </c>
      <c r="K5">
        <v>-0.3</v>
      </c>
      <c r="L5">
        <v>0</v>
      </c>
      <c r="M5">
        <v>425</v>
      </c>
      <c r="N5">
        <v>0</v>
      </c>
      <c r="O5">
        <v>0</v>
      </c>
      <c r="P5">
        <v>0</v>
      </c>
      <c r="Q5">
        <v>0</v>
      </c>
      <c r="R5">
        <v>0</v>
      </c>
    </row>
    <row r="6" spans="1:20" x14ac:dyDescent="0.2">
      <c r="A6" t="str">
        <f t="shared" si="0"/>
        <v>ICE.2018.9</v>
      </c>
      <c r="B6" t="s">
        <v>1403</v>
      </c>
      <c r="C6" t="str">
        <f t="shared" si="1"/>
        <v>9</v>
      </c>
      <c r="D6" t="str">
        <f t="shared" si="2"/>
        <v>2018</v>
      </c>
      <c r="E6" s="51" t="s">
        <v>1374</v>
      </c>
      <c r="J6">
        <v>24.95</v>
      </c>
      <c r="K6">
        <v>0</v>
      </c>
      <c r="L6">
        <v>0</v>
      </c>
      <c r="M6">
        <v>425</v>
      </c>
      <c r="N6">
        <v>0</v>
      </c>
      <c r="O6">
        <v>0</v>
      </c>
      <c r="P6">
        <v>0</v>
      </c>
      <c r="Q6">
        <v>0</v>
      </c>
      <c r="R6">
        <v>0</v>
      </c>
    </row>
    <row r="7" spans="1:20" x14ac:dyDescent="0.2">
      <c r="A7" t="str">
        <f t="shared" si="0"/>
        <v>ICE.2018.10</v>
      </c>
      <c r="B7" t="s">
        <v>1403</v>
      </c>
      <c r="C7" t="str">
        <f t="shared" si="1"/>
        <v>10</v>
      </c>
      <c r="D7" t="str">
        <f t="shared" si="2"/>
        <v>2018</v>
      </c>
      <c r="E7" s="51" t="s">
        <v>1375</v>
      </c>
      <c r="J7">
        <v>20.05</v>
      </c>
      <c r="K7">
        <v>-0.25</v>
      </c>
      <c r="L7">
        <v>0</v>
      </c>
      <c r="M7">
        <v>385</v>
      </c>
      <c r="N7">
        <v>0</v>
      </c>
      <c r="O7">
        <v>0</v>
      </c>
      <c r="P7">
        <v>0</v>
      </c>
      <c r="Q7">
        <v>0</v>
      </c>
      <c r="R7">
        <v>0</v>
      </c>
    </row>
    <row r="8" spans="1:20" x14ac:dyDescent="0.2">
      <c r="A8" t="str">
        <f t="shared" si="0"/>
        <v>ICE.2018.11</v>
      </c>
      <c r="B8" t="s">
        <v>1403</v>
      </c>
      <c r="C8" t="str">
        <f t="shared" si="1"/>
        <v>11</v>
      </c>
      <c r="D8" t="str">
        <f t="shared" si="2"/>
        <v>2018</v>
      </c>
      <c r="E8" s="51" t="s">
        <v>1376</v>
      </c>
      <c r="J8">
        <v>20.05</v>
      </c>
      <c r="K8">
        <v>0</v>
      </c>
      <c r="L8">
        <v>0</v>
      </c>
      <c r="M8">
        <v>385</v>
      </c>
      <c r="N8">
        <v>0</v>
      </c>
      <c r="O8">
        <v>0</v>
      </c>
      <c r="P8">
        <v>0</v>
      </c>
      <c r="Q8">
        <v>0</v>
      </c>
      <c r="R8">
        <v>0</v>
      </c>
    </row>
    <row r="9" spans="1:20" x14ac:dyDescent="0.2">
      <c r="A9" t="str">
        <f t="shared" si="0"/>
        <v>ICE.2018.12</v>
      </c>
      <c r="B9" t="s">
        <v>1403</v>
      </c>
      <c r="C9" t="str">
        <f t="shared" si="1"/>
        <v>12</v>
      </c>
      <c r="D9" t="str">
        <f t="shared" si="2"/>
        <v>2018</v>
      </c>
      <c r="E9" s="51" t="s">
        <v>1377</v>
      </c>
      <c r="J9">
        <v>26</v>
      </c>
      <c r="K9">
        <v>0</v>
      </c>
      <c r="L9">
        <v>0</v>
      </c>
      <c r="M9">
        <v>385</v>
      </c>
      <c r="N9">
        <v>0</v>
      </c>
      <c r="O9">
        <v>0</v>
      </c>
      <c r="P9">
        <v>0</v>
      </c>
      <c r="Q9">
        <v>0</v>
      </c>
      <c r="R9">
        <v>0</v>
      </c>
    </row>
    <row r="10" spans="1:20" x14ac:dyDescent="0.2">
      <c r="A10" t="str">
        <f t="shared" si="0"/>
        <v>ICE.2019.1</v>
      </c>
      <c r="B10" t="s">
        <v>1403</v>
      </c>
      <c r="C10" t="str">
        <f t="shared" si="1"/>
        <v>1</v>
      </c>
      <c r="D10" t="str">
        <f t="shared" si="2"/>
        <v>2019</v>
      </c>
      <c r="E10" s="51" t="s">
        <v>1378</v>
      </c>
      <c r="J10">
        <v>26</v>
      </c>
      <c r="K10">
        <v>-0.05</v>
      </c>
      <c r="L10">
        <v>0</v>
      </c>
      <c r="M10">
        <v>605</v>
      </c>
      <c r="N10">
        <v>0</v>
      </c>
      <c r="O10">
        <v>0</v>
      </c>
      <c r="P10">
        <v>0</v>
      </c>
      <c r="Q10">
        <v>0</v>
      </c>
      <c r="R10">
        <v>0</v>
      </c>
    </row>
    <row r="11" spans="1:20" x14ac:dyDescent="0.2">
      <c r="A11" t="str">
        <f t="shared" si="0"/>
        <v>ICE.2019.2</v>
      </c>
      <c r="B11" t="s">
        <v>1403</v>
      </c>
      <c r="C11" t="str">
        <f t="shared" si="1"/>
        <v>2</v>
      </c>
      <c r="D11" t="str">
        <f t="shared" si="2"/>
        <v>2019</v>
      </c>
      <c r="E11" s="51" t="s">
        <v>1379</v>
      </c>
      <c r="J11">
        <v>23.05</v>
      </c>
      <c r="K11">
        <v>-0.05</v>
      </c>
      <c r="L11">
        <v>0</v>
      </c>
      <c r="M11">
        <v>605</v>
      </c>
      <c r="N11">
        <v>0</v>
      </c>
      <c r="O11">
        <v>0</v>
      </c>
      <c r="P11">
        <v>0</v>
      </c>
      <c r="Q11">
        <v>0</v>
      </c>
      <c r="R11">
        <v>0</v>
      </c>
    </row>
    <row r="12" spans="1:20" x14ac:dyDescent="0.2">
      <c r="A12" t="str">
        <f t="shared" si="0"/>
        <v>ICE.2019.3</v>
      </c>
      <c r="B12" t="s">
        <v>1403</v>
      </c>
      <c r="C12" t="str">
        <f t="shared" si="1"/>
        <v>3</v>
      </c>
      <c r="D12" t="str">
        <f t="shared" si="2"/>
        <v>2019</v>
      </c>
      <c r="E12" s="51" t="s">
        <v>1380</v>
      </c>
      <c r="J12">
        <v>19.8</v>
      </c>
      <c r="K12">
        <v>-0.05</v>
      </c>
      <c r="L12">
        <v>0</v>
      </c>
      <c r="M12">
        <v>605</v>
      </c>
      <c r="N12">
        <v>0</v>
      </c>
      <c r="O12">
        <v>0</v>
      </c>
      <c r="P12">
        <v>0</v>
      </c>
      <c r="Q12">
        <v>0</v>
      </c>
      <c r="R12">
        <v>0</v>
      </c>
    </row>
    <row r="13" spans="1:20" x14ac:dyDescent="0.2">
      <c r="A13" t="str">
        <f t="shared" si="0"/>
        <v>ICE.2019.4</v>
      </c>
      <c r="B13" t="s">
        <v>1403</v>
      </c>
      <c r="C13" t="str">
        <f t="shared" si="1"/>
        <v>4</v>
      </c>
      <c r="D13" t="str">
        <f t="shared" si="2"/>
        <v>2019</v>
      </c>
      <c r="E13" s="51" t="s">
        <v>1381</v>
      </c>
      <c r="J13">
        <v>16.350000000000001</v>
      </c>
      <c r="K13">
        <v>0.8</v>
      </c>
      <c r="L13">
        <v>0</v>
      </c>
      <c r="M13">
        <v>455</v>
      </c>
      <c r="N13">
        <v>0</v>
      </c>
      <c r="O13">
        <v>0</v>
      </c>
      <c r="P13">
        <v>0</v>
      </c>
      <c r="Q13">
        <v>0</v>
      </c>
      <c r="R13">
        <v>0</v>
      </c>
    </row>
    <row r="14" spans="1:20" x14ac:dyDescent="0.2">
      <c r="A14" t="str">
        <f t="shared" si="0"/>
        <v>ICE.2019.5</v>
      </c>
      <c r="B14" t="s">
        <v>1403</v>
      </c>
      <c r="C14" t="str">
        <f t="shared" si="1"/>
        <v>5</v>
      </c>
      <c r="D14" t="str">
        <f t="shared" si="2"/>
        <v>2019</v>
      </c>
      <c r="E14" s="51" t="s">
        <v>1382</v>
      </c>
      <c r="J14">
        <v>18.75</v>
      </c>
      <c r="K14">
        <v>0.05</v>
      </c>
      <c r="L14">
        <v>0</v>
      </c>
      <c r="M14">
        <v>455</v>
      </c>
      <c r="N14">
        <v>0</v>
      </c>
      <c r="O14">
        <v>0</v>
      </c>
      <c r="P14">
        <v>0</v>
      </c>
      <c r="Q14">
        <v>0</v>
      </c>
      <c r="R14">
        <v>0</v>
      </c>
    </row>
    <row r="15" spans="1:20" x14ac:dyDescent="0.2">
      <c r="A15" t="str">
        <f t="shared" si="0"/>
        <v>ICE.2019.6</v>
      </c>
      <c r="B15" t="s">
        <v>1403</v>
      </c>
      <c r="C15" t="str">
        <f t="shared" si="1"/>
        <v>6</v>
      </c>
      <c r="D15" t="str">
        <f t="shared" si="2"/>
        <v>2019</v>
      </c>
      <c r="E15" s="51" t="s">
        <v>1383</v>
      </c>
      <c r="J15">
        <v>23.5</v>
      </c>
      <c r="K15">
        <v>0.05</v>
      </c>
      <c r="L15">
        <v>0</v>
      </c>
      <c r="M15">
        <v>455</v>
      </c>
      <c r="N15">
        <v>0</v>
      </c>
      <c r="O15">
        <v>0</v>
      </c>
      <c r="P15">
        <v>0</v>
      </c>
      <c r="Q15">
        <v>0</v>
      </c>
      <c r="R15">
        <v>0</v>
      </c>
    </row>
    <row r="16" spans="1:20" x14ac:dyDescent="0.2">
      <c r="A16" t="str">
        <f t="shared" si="0"/>
        <v>ICE.2019.7</v>
      </c>
      <c r="B16" t="s">
        <v>1403</v>
      </c>
      <c r="C16" t="str">
        <f t="shared" si="1"/>
        <v>7</v>
      </c>
      <c r="D16" t="str">
        <f t="shared" si="2"/>
        <v>2019</v>
      </c>
      <c r="E16" s="51" t="s">
        <v>1384</v>
      </c>
      <c r="J16">
        <v>24.05</v>
      </c>
      <c r="K16">
        <v>0.25</v>
      </c>
      <c r="L16">
        <v>0</v>
      </c>
      <c r="M16">
        <v>355</v>
      </c>
      <c r="N16">
        <v>0</v>
      </c>
      <c r="O16">
        <v>0</v>
      </c>
      <c r="P16">
        <v>0</v>
      </c>
      <c r="Q16">
        <v>0</v>
      </c>
      <c r="R16">
        <v>0</v>
      </c>
    </row>
    <row r="17" spans="1:18" x14ac:dyDescent="0.2">
      <c r="A17" t="str">
        <f t="shared" si="0"/>
        <v>ICE.2019.8</v>
      </c>
      <c r="B17" t="s">
        <v>1403</v>
      </c>
      <c r="C17" t="str">
        <f t="shared" si="1"/>
        <v>8</v>
      </c>
      <c r="D17" t="str">
        <f t="shared" si="2"/>
        <v>2019</v>
      </c>
      <c r="E17" s="51" t="s">
        <v>1385</v>
      </c>
      <c r="J17">
        <v>24.75</v>
      </c>
      <c r="K17">
        <v>0.25</v>
      </c>
      <c r="L17">
        <v>0</v>
      </c>
      <c r="M17">
        <v>355</v>
      </c>
      <c r="N17">
        <v>0</v>
      </c>
      <c r="O17">
        <v>0</v>
      </c>
      <c r="P17">
        <v>0</v>
      </c>
      <c r="Q17">
        <v>0</v>
      </c>
      <c r="R17">
        <v>0</v>
      </c>
    </row>
    <row r="18" spans="1:18" x14ac:dyDescent="0.2">
      <c r="A18" t="str">
        <f t="shared" si="0"/>
        <v>ICE.2019.9</v>
      </c>
      <c r="B18" t="s">
        <v>1403</v>
      </c>
      <c r="C18" t="str">
        <f t="shared" si="1"/>
        <v>9</v>
      </c>
      <c r="D18" t="str">
        <f t="shared" si="2"/>
        <v>2019</v>
      </c>
      <c r="E18" s="51" t="s">
        <v>1386</v>
      </c>
      <c r="J18">
        <v>22.5</v>
      </c>
      <c r="K18">
        <v>0.2</v>
      </c>
      <c r="L18">
        <v>0</v>
      </c>
      <c r="M18">
        <v>355</v>
      </c>
      <c r="N18">
        <v>0</v>
      </c>
      <c r="O18">
        <v>0</v>
      </c>
      <c r="P18">
        <v>0</v>
      </c>
      <c r="Q18">
        <v>0</v>
      </c>
      <c r="R18">
        <v>0</v>
      </c>
    </row>
    <row r="19" spans="1:18" x14ac:dyDescent="0.2">
      <c r="A19" t="str">
        <f t="shared" si="0"/>
        <v>ICE.2019.10</v>
      </c>
      <c r="B19" t="s">
        <v>1403</v>
      </c>
      <c r="C19" t="str">
        <f t="shared" si="1"/>
        <v>10</v>
      </c>
      <c r="D19" t="str">
        <f t="shared" si="2"/>
        <v>2019</v>
      </c>
      <c r="E19" s="51" t="s">
        <v>1387</v>
      </c>
      <c r="J19">
        <v>22.35</v>
      </c>
      <c r="K19">
        <v>0.15</v>
      </c>
      <c r="L19">
        <v>0</v>
      </c>
      <c r="M19">
        <v>355</v>
      </c>
      <c r="N19">
        <v>0</v>
      </c>
      <c r="O19">
        <v>0</v>
      </c>
      <c r="P19">
        <v>0</v>
      </c>
      <c r="Q19">
        <v>0</v>
      </c>
      <c r="R19">
        <v>0</v>
      </c>
    </row>
    <row r="20" spans="1:18" x14ac:dyDescent="0.2">
      <c r="A20" t="str">
        <f t="shared" si="0"/>
        <v>ICE.2019.11</v>
      </c>
      <c r="B20" t="s">
        <v>1403</v>
      </c>
      <c r="C20" t="str">
        <f t="shared" si="1"/>
        <v>11</v>
      </c>
      <c r="D20" t="str">
        <f t="shared" si="2"/>
        <v>2019</v>
      </c>
      <c r="E20" s="51" t="s">
        <v>1388</v>
      </c>
      <c r="J20">
        <v>22.05</v>
      </c>
      <c r="K20">
        <v>0.15</v>
      </c>
      <c r="L20">
        <v>0</v>
      </c>
      <c r="M20">
        <v>355</v>
      </c>
      <c r="N20">
        <v>0</v>
      </c>
      <c r="O20">
        <v>0</v>
      </c>
      <c r="P20">
        <v>0</v>
      </c>
      <c r="Q20">
        <v>0</v>
      </c>
      <c r="R20">
        <v>0</v>
      </c>
    </row>
    <row r="21" spans="1:18" x14ac:dyDescent="0.2">
      <c r="A21" t="str">
        <f t="shared" si="0"/>
        <v>ICE.2019.12</v>
      </c>
      <c r="B21" t="s">
        <v>1403</v>
      </c>
      <c r="C21" t="str">
        <f t="shared" si="1"/>
        <v>12</v>
      </c>
      <c r="D21" t="str">
        <f t="shared" si="2"/>
        <v>2019</v>
      </c>
      <c r="E21" s="51" t="s">
        <v>1389</v>
      </c>
      <c r="J21">
        <v>23.2</v>
      </c>
      <c r="K21">
        <v>0.15</v>
      </c>
      <c r="L21">
        <v>0</v>
      </c>
      <c r="M21">
        <v>355</v>
      </c>
      <c r="N21">
        <v>0</v>
      </c>
      <c r="O21">
        <v>0</v>
      </c>
      <c r="P21">
        <v>0</v>
      </c>
      <c r="Q21">
        <v>0</v>
      </c>
      <c r="R21">
        <v>0</v>
      </c>
    </row>
    <row r="22" spans="1:18" x14ac:dyDescent="0.2">
      <c r="A22" t="str">
        <f t="shared" si="0"/>
        <v>ICE.2020.1</v>
      </c>
      <c r="B22" t="s">
        <v>1403</v>
      </c>
      <c r="C22" t="str">
        <f t="shared" si="1"/>
        <v>1</v>
      </c>
      <c r="D22" t="str">
        <f t="shared" si="2"/>
        <v>2020</v>
      </c>
      <c r="E22" s="51" t="s">
        <v>1390</v>
      </c>
      <c r="J22">
        <v>27.1</v>
      </c>
      <c r="K22">
        <v>-0.25</v>
      </c>
      <c r="L22">
        <v>0</v>
      </c>
      <c r="M22">
        <v>50</v>
      </c>
      <c r="N22">
        <v>0</v>
      </c>
      <c r="O22">
        <v>0</v>
      </c>
      <c r="P22">
        <v>0</v>
      </c>
      <c r="Q22">
        <v>0</v>
      </c>
      <c r="R22">
        <v>0</v>
      </c>
    </row>
    <row r="23" spans="1:18" x14ac:dyDescent="0.2">
      <c r="A23" t="str">
        <f t="shared" si="0"/>
        <v>ICE.2020.2</v>
      </c>
      <c r="B23" t="s">
        <v>1403</v>
      </c>
      <c r="C23" t="str">
        <f t="shared" si="1"/>
        <v>2</v>
      </c>
      <c r="D23" t="str">
        <f t="shared" si="2"/>
        <v>2020</v>
      </c>
      <c r="E23" s="51" t="s">
        <v>1391</v>
      </c>
      <c r="J23">
        <v>25.6</v>
      </c>
      <c r="K23">
        <v>-0.25</v>
      </c>
      <c r="L23">
        <v>0</v>
      </c>
      <c r="M23">
        <v>50</v>
      </c>
      <c r="N23">
        <v>0</v>
      </c>
      <c r="O23">
        <v>0</v>
      </c>
      <c r="P23">
        <v>0</v>
      </c>
      <c r="Q23">
        <v>0</v>
      </c>
      <c r="R23">
        <v>0</v>
      </c>
    </row>
    <row r="24" spans="1:18" x14ac:dyDescent="0.2">
      <c r="A24" t="str">
        <f t="shared" si="0"/>
        <v>ICE.2020.3</v>
      </c>
      <c r="B24" t="s">
        <v>1403</v>
      </c>
      <c r="C24" t="str">
        <f t="shared" si="1"/>
        <v>3</v>
      </c>
      <c r="D24" t="str">
        <f t="shared" si="2"/>
        <v>2020</v>
      </c>
      <c r="E24" s="51" t="s">
        <v>1392</v>
      </c>
      <c r="J24">
        <v>23.5</v>
      </c>
      <c r="K24">
        <v>-0.25</v>
      </c>
      <c r="L24">
        <v>0</v>
      </c>
      <c r="M24">
        <v>50</v>
      </c>
      <c r="N24">
        <v>0</v>
      </c>
      <c r="O24">
        <v>0</v>
      </c>
      <c r="P24">
        <v>0</v>
      </c>
      <c r="Q24">
        <v>0</v>
      </c>
      <c r="R24">
        <v>0</v>
      </c>
    </row>
    <row r="25" spans="1:18" x14ac:dyDescent="0.2">
      <c r="A25" t="str">
        <f t="shared" si="0"/>
        <v>ICE.2020.4</v>
      </c>
      <c r="B25" t="s">
        <v>1403</v>
      </c>
      <c r="C25" t="str">
        <f t="shared" si="1"/>
        <v>4</v>
      </c>
      <c r="D25" t="str">
        <f t="shared" si="2"/>
        <v>2020</v>
      </c>
      <c r="E25" s="51" t="s">
        <v>1393</v>
      </c>
      <c r="J25">
        <v>20.25</v>
      </c>
      <c r="K25">
        <v>-0.2</v>
      </c>
      <c r="L25">
        <v>0</v>
      </c>
      <c r="M25">
        <v>50</v>
      </c>
      <c r="N25">
        <v>0</v>
      </c>
      <c r="O25">
        <v>0</v>
      </c>
      <c r="P25">
        <v>0</v>
      </c>
      <c r="Q25">
        <v>0</v>
      </c>
      <c r="R25">
        <v>0</v>
      </c>
    </row>
    <row r="26" spans="1:18" x14ac:dyDescent="0.2">
      <c r="A26" t="str">
        <f t="shared" si="0"/>
        <v>ICE.2020.5</v>
      </c>
      <c r="B26" t="s">
        <v>1403</v>
      </c>
      <c r="C26" t="str">
        <f t="shared" si="1"/>
        <v>5</v>
      </c>
      <c r="D26" t="str">
        <f t="shared" si="2"/>
        <v>2020</v>
      </c>
      <c r="E26" s="51" t="s">
        <v>1394</v>
      </c>
      <c r="J26">
        <v>21.4</v>
      </c>
      <c r="K26">
        <v>-0.2</v>
      </c>
      <c r="L26">
        <v>0</v>
      </c>
      <c r="M26">
        <v>50</v>
      </c>
      <c r="N26">
        <v>0</v>
      </c>
      <c r="O26">
        <v>0</v>
      </c>
      <c r="P26">
        <v>0</v>
      </c>
      <c r="Q26">
        <v>0</v>
      </c>
      <c r="R26">
        <v>0</v>
      </c>
    </row>
    <row r="27" spans="1:18" x14ac:dyDescent="0.2">
      <c r="A27" t="str">
        <f t="shared" si="0"/>
        <v>ICE.2020.6</v>
      </c>
      <c r="B27" t="s">
        <v>1403</v>
      </c>
      <c r="C27" t="str">
        <f t="shared" si="1"/>
        <v>6</v>
      </c>
      <c r="D27" t="str">
        <f t="shared" si="2"/>
        <v>2020</v>
      </c>
      <c r="E27" s="51" t="s">
        <v>1395</v>
      </c>
      <c r="J27">
        <v>23.05</v>
      </c>
      <c r="K27">
        <v>-0.2</v>
      </c>
      <c r="L27">
        <v>0</v>
      </c>
      <c r="M27">
        <v>50</v>
      </c>
      <c r="N27">
        <v>0</v>
      </c>
      <c r="O27">
        <v>0</v>
      </c>
      <c r="P27">
        <v>0</v>
      </c>
      <c r="Q27">
        <v>0</v>
      </c>
      <c r="R27">
        <v>0</v>
      </c>
    </row>
    <row r="28" spans="1:18" x14ac:dyDescent="0.2">
      <c r="A28" t="str">
        <f t="shared" si="0"/>
        <v>ICE.2020.7</v>
      </c>
      <c r="B28" t="s">
        <v>1403</v>
      </c>
      <c r="C28" t="str">
        <f t="shared" si="1"/>
        <v>7</v>
      </c>
      <c r="D28" t="str">
        <f t="shared" si="2"/>
        <v>2020</v>
      </c>
      <c r="E28" s="51" t="s">
        <v>1396</v>
      </c>
      <c r="J28">
        <v>26.25</v>
      </c>
      <c r="K28">
        <v>-0.25</v>
      </c>
      <c r="L28">
        <v>0</v>
      </c>
      <c r="M28">
        <v>50</v>
      </c>
      <c r="N28">
        <v>0</v>
      </c>
      <c r="O28">
        <v>0</v>
      </c>
      <c r="P28">
        <v>0</v>
      </c>
      <c r="Q28">
        <v>0</v>
      </c>
      <c r="R28">
        <v>0</v>
      </c>
    </row>
    <row r="29" spans="1:18" x14ac:dyDescent="0.2">
      <c r="A29" t="str">
        <f t="shared" si="0"/>
        <v>ICE.2020.8</v>
      </c>
      <c r="B29" t="s">
        <v>1403</v>
      </c>
      <c r="C29" t="str">
        <f t="shared" si="1"/>
        <v>8</v>
      </c>
      <c r="D29" t="str">
        <f t="shared" si="2"/>
        <v>2020</v>
      </c>
      <c r="E29" s="51" t="s">
        <v>1397</v>
      </c>
      <c r="J29">
        <v>26.85</v>
      </c>
      <c r="K29">
        <v>-0.25</v>
      </c>
      <c r="L29">
        <v>0</v>
      </c>
      <c r="M29">
        <v>50</v>
      </c>
      <c r="N29">
        <v>0</v>
      </c>
      <c r="O29">
        <v>0</v>
      </c>
      <c r="P29">
        <v>0</v>
      </c>
      <c r="Q29">
        <v>0</v>
      </c>
      <c r="R29">
        <v>0</v>
      </c>
    </row>
    <row r="30" spans="1:18" x14ac:dyDescent="0.2">
      <c r="A30" t="str">
        <f t="shared" si="0"/>
        <v>ICE.2020.9</v>
      </c>
      <c r="B30" t="s">
        <v>1403</v>
      </c>
      <c r="C30" t="str">
        <f t="shared" si="1"/>
        <v>9</v>
      </c>
      <c r="D30" t="str">
        <f t="shared" si="2"/>
        <v>2020</v>
      </c>
      <c r="E30" s="51" t="s">
        <v>1398</v>
      </c>
      <c r="J30">
        <v>25.05</v>
      </c>
      <c r="K30">
        <v>-0.25</v>
      </c>
      <c r="L30">
        <v>0</v>
      </c>
      <c r="M30">
        <v>50</v>
      </c>
      <c r="N30">
        <v>0</v>
      </c>
      <c r="O30">
        <v>0</v>
      </c>
      <c r="P30">
        <v>0</v>
      </c>
      <c r="Q30">
        <v>0</v>
      </c>
      <c r="R30">
        <v>0</v>
      </c>
    </row>
    <row r="31" spans="1:18" x14ac:dyDescent="0.2">
      <c r="A31" t="str">
        <f t="shared" si="0"/>
        <v>ICE.2020.10</v>
      </c>
      <c r="B31" t="s">
        <v>1403</v>
      </c>
      <c r="C31" t="str">
        <f t="shared" si="1"/>
        <v>10</v>
      </c>
      <c r="D31" t="str">
        <f t="shared" si="2"/>
        <v>2020</v>
      </c>
      <c r="E31" s="51" t="s">
        <v>1399</v>
      </c>
      <c r="J31">
        <v>25.2</v>
      </c>
      <c r="K31">
        <v>-0.25</v>
      </c>
      <c r="L31">
        <v>0</v>
      </c>
      <c r="M31">
        <v>50</v>
      </c>
      <c r="N31">
        <v>0</v>
      </c>
      <c r="O31">
        <v>0</v>
      </c>
      <c r="P31">
        <v>0</v>
      </c>
      <c r="Q31">
        <v>0</v>
      </c>
      <c r="R31">
        <v>0</v>
      </c>
    </row>
    <row r="32" spans="1:18" x14ac:dyDescent="0.2">
      <c r="A32" t="str">
        <f t="shared" si="0"/>
        <v>ICE.2020.11</v>
      </c>
      <c r="B32" t="s">
        <v>1403</v>
      </c>
      <c r="C32" t="str">
        <f t="shared" si="1"/>
        <v>11</v>
      </c>
      <c r="D32" t="str">
        <f t="shared" si="2"/>
        <v>2020</v>
      </c>
      <c r="E32" s="51" t="s">
        <v>1400</v>
      </c>
      <c r="J32">
        <v>24.7</v>
      </c>
      <c r="K32">
        <v>-0.25</v>
      </c>
      <c r="L32">
        <v>0</v>
      </c>
      <c r="M32">
        <v>50</v>
      </c>
      <c r="N32">
        <v>0</v>
      </c>
      <c r="O32">
        <v>0</v>
      </c>
      <c r="P32">
        <v>0</v>
      </c>
      <c r="Q32">
        <v>0</v>
      </c>
      <c r="R32">
        <v>0</v>
      </c>
    </row>
    <row r="33" spans="1:18" x14ac:dyDescent="0.2">
      <c r="A33" t="str">
        <f t="shared" si="0"/>
        <v>ICE.2020.12</v>
      </c>
      <c r="B33" t="s">
        <v>1403</v>
      </c>
      <c r="C33" t="str">
        <f t="shared" si="1"/>
        <v>12</v>
      </c>
      <c r="D33" t="str">
        <f t="shared" si="2"/>
        <v>2020</v>
      </c>
      <c r="E33" s="51" t="s">
        <v>1401</v>
      </c>
      <c r="J33">
        <v>27.5</v>
      </c>
      <c r="K33">
        <v>-0.25</v>
      </c>
      <c r="L33">
        <v>0</v>
      </c>
      <c r="M33">
        <v>50</v>
      </c>
      <c r="N33">
        <v>0</v>
      </c>
      <c r="O33">
        <v>0</v>
      </c>
      <c r="P33">
        <v>0</v>
      </c>
      <c r="Q33">
        <v>0</v>
      </c>
      <c r="R33">
        <v>0</v>
      </c>
    </row>
    <row r="34" spans="1:18" x14ac:dyDescent="0.2">
      <c r="A34" t="str">
        <f t="shared" si="0"/>
        <v>ICE.2021.1</v>
      </c>
      <c r="B34" t="s">
        <v>1403</v>
      </c>
      <c r="C34" t="str">
        <f t="shared" si="1"/>
        <v>1</v>
      </c>
      <c r="D34" t="str">
        <f t="shared" si="2"/>
        <v>2021</v>
      </c>
      <c r="E34" s="51" t="s">
        <v>1405</v>
      </c>
      <c r="J34">
        <v>29.9</v>
      </c>
      <c r="K34">
        <v>-0.1</v>
      </c>
      <c r="L34">
        <v>0</v>
      </c>
      <c r="M34">
        <v>50</v>
      </c>
      <c r="N34">
        <v>0</v>
      </c>
      <c r="O34">
        <v>0</v>
      </c>
      <c r="P34">
        <v>0</v>
      </c>
      <c r="Q34">
        <v>0</v>
      </c>
      <c r="R34">
        <v>0</v>
      </c>
    </row>
    <row r="35" spans="1:18" x14ac:dyDescent="0.2">
      <c r="A35" t="str">
        <f t="shared" si="0"/>
        <v>ICE.2021.2</v>
      </c>
      <c r="B35" t="s">
        <v>1403</v>
      </c>
      <c r="C35" t="str">
        <f t="shared" si="1"/>
        <v>2</v>
      </c>
      <c r="D35" t="str">
        <f t="shared" si="2"/>
        <v>2021</v>
      </c>
      <c r="E35" s="51" t="s">
        <v>1406</v>
      </c>
      <c r="J35">
        <v>28.35</v>
      </c>
      <c r="K35">
        <v>-0.1</v>
      </c>
      <c r="L35">
        <v>0</v>
      </c>
      <c r="M35">
        <v>50</v>
      </c>
      <c r="N35">
        <v>0</v>
      </c>
      <c r="O35">
        <v>0</v>
      </c>
      <c r="P35">
        <v>0</v>
      </c>
      <c r="Q35">
        <v>0</v>
      </c>
      <c r="R35">
        <v>0</v>
      </c>
    </row>
    <row r="36" spans="1:18" x14ac:dyDescent="0.2">
      <c r="A36" t="str">
        <f t="shared" si="0"/>
        <v>ICE.2021.3</v>
      </c>
      <c r="B36" t="s">
        <v>1403</v>
      </c>
      <c r="C36" t="str">
        <f t="shared" si="1"/>
        <v>3</v>
      </c>
      <c r="D36" t="str">
        <f t="shared" si="2"/>
        <v>2021</v>
      </c>
      <c r="E36" s="51" t="s">
        <v>1407</v>
      </c>
      <c r="J36">
        <v>26.4</v>
      </c>
      <c r="K36">
        <v>-0.1</v>
      </c>
      <c r="L36">
        <v>0</v>
      </c>
      <c r="M36">
        <v>50</v>
      </c>
      <c r="N36">
        <v>0</v>
      </c>
      <c r="O36">
        <v>0</v>
      </c>
      <c r="P36">
        <v>0</v>
      </c>
      <c r="Q36">
        <v>0</v>
      </c>
      <c r="R36">
        <v>0</v>
      </c>
    </row>
    <row r="37" spans="1:18" x14ac:dyDescent="0.2">
      <c r="A37" t="str">
        <f t="shared" si="0"/>
        <v>ICE.2021.4</v>
      </c>
      <c r="B37" t="s">
        <v>1403</v>
      </c>
      <c r="C37" t="str">
        <f t="shared" si="1"/>
        <v>4</v>
      </c>
      <c r="D37" t="str">
        <f t="shared" si="2"/>
        <v>2021</v>
      </c>
      <c r="E37" s="51" t="s">
        <v>1408</v>
      </c>
      <c r="J37">
        <v>22.35</v>
      </c>
      <c r="K37">
        <v>-0.05</v>
      </c>
      <c r="L37">
        <v>0</v>
      </c>
      <c r="M37">
        <v>50</v>
      </c>
      <c r="N37">
        <v>0</v>
      </c>
      <c r="O37">
        <v>0</v>
      </c>
      <c r="P37">
        <v>0</v>
      </c>
      <c r="Q37">
        <v>0</v>
      </c>
      <c r="R37">
        <v>0</v>
      </c>
    </row>
    <row r="38" spans="1:18" x14ac:dyDescent="0.2">
      <c r="A38" t="str">
        <f t="shared" si="0"/>
        <v>ICE.2021.5</v>
      </c>
      <c r="B38" t="s">
        <v>1403</v>
      </c>
      <c r="C38" t="str">
        <f t="shared" si="1"/>
        <v>5</v>
      </c>
      <c r="D38" t="str">
        <f t="shared" si="2"/>
        <v>2021</v>
      </c>
      <c r="E38" s="51" t="s">
        <v>1409</v>
      </c>
      <c r="J38">
        <v>23.7</v>
      </c>
      <c r="K38">
        <v>-0.05</v>
      </c>
      <c r="L38">
        <v>0</v>
      </c>
      <c r="M38">
        <v>50</v>
      </c>
      <c r="N38">
        <v>0</v>
      </c>
      <c r="O38">
        <v>0</v>
      </c>
      <c r="P38">
        <v>0</v>
      </c>
      <c r="Q38">
        <v>0</v>
      </c>
      <c r="R38">
        <v>0</v>
      </c>
    </row>
    <row r="39" spans="1:18" x14ac:dyDescent="0.2">
      <c r="A39" t="str">
        <f t="shared" si="0"/>
        <v>ICE.2021.6</v>
      </c>
      <c r="B39" t="s">
        <v>1403</v>
      </c>
      <c r="C39" t="str">
        <f t="shared" si="1"/>
        <v>6</v>
      </c>
      <c r="D39" t="str">
        <f t="shared" si="2"/>
        <v>2021</v>
      </c>
      <c r="E39" s="51" t="s">
        <v>1410</v>
      </c>
      <c r="J39">
        <v>25.3</v>
      </c>
      <c r="K39">
        <v>-0.05</v>
      </c>
      <c r="L39">
        <v>0</v>
      </c>
      <c r="M39">
        <v>50</v>
      </c>
      <c r="N39">
        <v>0</v>
      </c>
      <c r="O39">
        <v>0</v>
      </c>
      <c r="P39">
        <v>0</v>
      </c>
      <c r="Q39">
        <v>0</v>
      </c>
      <c r="R39">
        <v>0</v>
      </c>
    </row>
    <row r="40" spans="1:18" x14ac:dyDescent="0.2">
      <c r="A40" t="str">
        <f t="shared" si="0"/>
        <v>ICE.2021.7</v>
      </c>
      <c r="B40" t="s">
        <v>1403</v>
      </c>
      <c r="C40" t="str">
        <f t="shared" si="1"/>
        <v>7</v>
      </c>
      <c r="D40" t="str">
        <f t="shared" si="2"/>
        <v>2021</v>
      </c>
      <c r="E40" s="51" t="s">
        <v>1411</v>
      </c>
      <c r="J40">
        <v>29.6</v>
      </c>
      <c r="K40">
        <v>-0.1</v>
      </c>
      <c r="L40">
        <v>0</v>
      </c>
      <c r="M40">
        <v>50</v>
      </c>
      <c r="N40">
        <v>0</v>
      </c>
      <c r="O40">
        <v>0</v>
      </c>
      <c r="P40">
        <v>0</v>
      </c>
      <c r="Q40">
        <v>0</v>
      </c>
      <c r="R40">
        <v>0</v>
      </c>
    </row>
    <row r="41" spans="1:18" x14ac:dyDescent="0.2">
      <c r="A41" t="str">
        <f t="shared" si="0"/>
        <v>ICE.2021.8</v>
      </c>
      <c r="B41" t="s">
        <v>1403</v>
      </c>
      <c r="C41" t="str">
        <f t="shared" si="1"/>
        <v>8</v>
      </c>
      <c r="D41" t="str">
        <f t="shared" si="2"/>
        <v>2021</v>
      </c>
      <c r="E41" s="51" t="s">
        <v>1412</v>
      </c>
      <c r="J41">
        <v>30.5</v>
      </c>
      <c r="K41">
        <v>-0.1</v>
      </c>
      <c r="L41">
        <v>0</v>
      </c>
      <c r="M41">
        <v>50</v>
      </c>
      <c r="N41">
        <v>0</v>
      </c>
      <c r="O41">
        <v>0</v>
      </c>
      <c r="P41">
        <v>0</v>
      </c>
      <c r="Q41">
        <v>0</v>
      </c>
      <c r="R41">
        <v>0</v>
      </c>
    </row>
    <row r="42" spans="1:18" x14ac:dyDescent="0.2">
      <c r="A42" t="str">
        <f t="shared" si="0"/>
        <v>ICE.2021.9</v>
      </c>
      <c r="B42" t="s">
        <v>1403</v>
      </c>
      <c r="C42" t="str">
        <f t="shared" si="1"/>
        <v>9</v>
      </c>
      <c r="D42" t="str">
        <f t="shared" si="2"/>
        <v>2021</v>
      </c>
      <c r="E42" s="51" t="s">
        <v>1413</v>
      </c>
      <c r="J42">
        <v>28.3</v>
      </c>
      <c r="K42">
        <v>-0.1</v>
      </c>
      <c r="L42">
        <v>0</v>
      </c>
      <c r="M42">
        <v>50</v>
      </c>
      <c r="N42">
        <v>0</v>
      </c>
      <c r="O42">
        <v>0</v>
      </c>
      <c r="P42">
        <v>0</v>
      </c>
      <c r="Q42">
        <v>0</v>
      </c>
      <c r="R42">
        <v>0</v>
      </c>
    </row>
    <row r="43" spans="1:18" x14ac:dyDescent="0.2">
      <c r="A43" t="str">
        <f t="shared" si="0"/>
        <v>ICE.2021.10</v>
      </c>
      <c r="B43" t="s">
        <v>1403</v>
      </c>
      <c r="C43" t="str">
        <f t="shared" si="1"/>
        <v>10</v>
      </c>
      <c r="D43" t="str">
        <f t="shared" si="2"/>
        <v>2021</v>
      </c>
      <c r="E43" s="51" t="s">
        <v>1414</v>
      </c>
      <c r="J43">
        <v>28.7</v>
      </c>
      <c r="K43">
        <v>-0.1</v>
      </c>
      <c r="L43">
        <v>0</v>
      </c>
      <c r="M43">
        <v>50</v>
      </c>
      <c r="N43">
        <v>0</v>
      </c>
      <c r="O43">
        <v>0</v>
      </c>
      <c r="P43">
        <v>0</v>
      </c>
      <c r="Q43">
        <v>0</v>
      </c>
      <c r="R43">
        <v>0</v>
      </c>
    </row>
    <row r="44" spans="1:18" x14ac:dyDescent="0.2">
      <c r="A44" t="str">
        <f t="shared" si="0"/>
        <v>ICE.2021.11</v>
      </c>
      <c r="B44" t="s">
        <v>1403</v>
      </c>
      <c r="C44" t="str">
        <f t="shared" si="1"/>
        <v>11</v>
      </c>
      <c r="D44" t="str">
        <f t="shared" si="2"/>
        <v>2021</v>
      </c>
      <c r="E44" s="51" t="s">
        <v>1415</v>
      </c>
      <c r="J44">
        <v>28.25</v>
      </c>
      <c r="K44">
        <v>-0.1</v>
      </c>
      <c r="L44">
        <v>0</v>
      </c>
      <c r="M44">
        <v>50</v>
      </c>
      <c r="N44">
        <v>0</v>
      </c>
      <c r="O44">
        <v>0</v>
      </c>
      <c r="P44">
        <v>0</v>
      </c>
      <c r="Q44">
        <v>0</v>
      </c>
      <c r="R44">
        <v>0</v>
      </c>
    </row>
    <row r="45" spans="1:18" x14ac:dyDescent="0.2">
      <c r="A45" t="str">
        <f t="shared" si="0"/>
        <v>ICE.2021.12</v>
      </c>
      <c r="B45" t="s">
        <v>1403</v>
      </c>
      <c r="C45" t="str">
        <f t="shared" si="1"/>
        <v>12</v>
      </c>
      <c r="D45" t="str">
        <f t="shared" si="2"/>
        <v>2021</v>
      </c>
      <c r="E45" s="51" t="s">
        <v>1416</v>
      </c>
      <c r="J45">
        <v>30.75</v>
      </c>
      <c r="K45">
        <v>-0.1</v>
      </c>
      <c r="L45">
        <v>0</v>
      </c>
      <c r="M45">
        <v>50</v>
      </c>
      <c r="N45">
        <v>0</v>
      </c>
      <c r="O45">
        <v>0</v>
      </c>
      <c r="P45">
        <v>0</v>
      </c>
      <c r="Q45">
        <v>0</v>
      </c>
      <c r="R45">
        <v>0</v>
      </c>
    </row>
    <row r="46" spans="1:18" x14ac:dyDescent="0.2">
      <c r="A46" t="str">
        <f t="shared" si="0"/>
        <v>ICE.2022.1</v>
      </c>
      <c r="B46" t="s">
        <v>1403</v>
      </c>
      <c r="C46" t="str">
        <f t="shared" si="1"/>
        <v>1</v>
      </c>
      <c r="D46" t="str">
        <f t="shared" si="2"/>
        <v>2022</v>
      </c>
      <c r="E46" s="51" t="s">
        <v>1485</v>
      </c>
      <c r="J46">
        <v>32.15</v>
      </c>
      <c r="K46">
        <v>-0.1</v>
      </c>
      <c r="L46">
        <v>0</v>
      </c>
      <c r="M46">
        <v>50</v>
      </c>
      <c r="N46">
        <v>0</v>
      </c>
      <c r="O46">
        <v>0</v>
      </c>
      <c r="P46">
        <v>0</v>
      </c>
      <c r="Q46">
        <v>0</v>
      </c>
      <c r="R46">
        <v>0</v>
      </c>
    </row>
    <row r="47" spans="1:18" x14ac:dyDescent="0.2">
      <c r="A47" t="str">
        <f t="shared" si="0"/>
        <v>ICE.2022.2</v>
      </c>
      <c r="B47" t="s">
        <v>1403</v>
      </c>
      <c r="C47" t="str">
        <f t="shared" si="1"/>
        <v>2</v>
      </c>
      <c r="D47" t="str">
        <f t="shared" si="2"/>
        <v>2022</v>
      </c>
      <c r="E47" s="51" t="s">
        <v>1486</v>
      </c>
      <c r="J47">
        <v>30.4</v>
      </c>
      <c r="K47">
        <v>-0.1</v>
      </c>
      <c r="L47">
        <v>0</v>
      </c>
      <c r="M47">
        <v>50</v>
      </c>
      <c r="N47">
        <v>0</v>
      </c>
      <c r="O47">
        <v>0</v>
      </c>
      <c r="P47">
        <v>0</v>
      </c>
      <c r="Q47">
        <v>0</v>
      </c>
      <c r="R47">
        <v>0</v>
      </c>
    </row>
    <row r="48" spans="1:18" x14ac:dyDescent="0.2">
      <c r="A48" t="str">
        <f t="shared" si="0"/>
        <v>ICE.2022.3</v>
      </c>
      <c r="B48" t="s">
        <v>1403</v>
      </c>
      <c r="C48" t="str">
        <f t="shared" si="1"/>
        <v>3</v>
      </c>
      <c r="D48" t="str">
        <f t="shared" si="2"/>
        <v>2022</v>
      </c>
      <c r="E48" s="51" t="s">
        <v>1487</v>
      </c>
      <c r="J48">
        <v>28</v>
      </c>
      <c r="K48">
        <v>-0.1</v>
      </c>
      <c r="L48">
        <v>0</v>
      </c>
      <c r="M48">
        <v>50</v>
      </c>
      <c r="N48">
        <v>0</v>
      </c>
      <c r="O48">
        <v>0</v>
      </c>
      <c r="P48">
        <v>0</v>
      </c>
      <c r="Q48">
        <v>0</v>
      </c>
      <c r="R48">
        <v>0</v>
      </c>
    </row>
    <row r="49" spans="1:18" x14ac:dyDescent="0.2">
      <c r="A49" t="str">
        <f t="shared" si="0"/>
        <v>ICE.2022.4</v>
      </c>
      <c r="B49" t="s">
        <v>1403</v>
      </c>
      <c r="C49" t="str">
        <f t="shared" si="1"/>
        <v>4</v>
      </c>
      <c r="D49" t="str">
        <f t="shared" si="2"/>
        <v>2022</v>
      </c>
      <c r="E49" s="51" t="s">
        <v>1488</v>
      </c>
      <c r="J49">
        <v>23.85</v>
      </c>
      <c r="K49">
        <v>-0.05</v>
      </c>
      <c r="L49">
        <v>0</v>
      </c>
      <c r="M49">
        <v>50</v>
      </c>
      <c r="N49">
        <v>0</v>
      </c>
      <c r="O49">
        <v>0</v>
      </c>
      <c r="P49">
        <v>0</v>
      </c>
      <c r="Q49">
        <v>0</v>
      </c>
      <c r="R49">
        <v>0</v>
      </c>
    </row>
    <row r="50" spans="1:18" x14ac:dyDescent="0.2">
      <c r="A50" t="str">
        <f t="shared" si="0"/>
        <v>ICE.2022.5</v>
      </c>
      <c r="B50" t="s">
        <v>1403</v>
      </c>
      <c r="C50" t="str">
        <f t="shared" si="1"/>
        <v>5</v>
      </c>
      <c r="D50" t="str">
        <f t="shared" si="2"/>
        <v>2022</v>
      </c>
      <c r="E50" s="51" t="s">
        <v>1489</v>
      </c>
      <c r="J50">
        <v>25.45</v>
      </c>
      <c r="K50">
        <v>-0.05</v>
      </c>
      <c r="L50">
        <v>0</v>
      </c>
      <c r="M50">
        <v>50</v>
      </c>
      <c r="N50">
        <v>0</v>
      </c>
      <c r="O50">
        <v>0</v>
      </c>
      <c r="P50">
        <v>0</v>
      </c>
      <c r="Q50">
        <v>0</v>
      </c>
      <c r="R50">
        <v>0</v>
      </c>
    </row>
    <row r="51" spans="1:18" x14ac:dyDescent="0.2">
      <c r="A51" t="str">
        <f t="shared" si="0"/>
        <v>ICE.2022.6</v>
      </c>
      <c r="B51" t="s">
        <v>1403</v>
      </c>
      <c r="C51" t="str">
        <f t="shared" si="1"/>
        <v>6</v>
      </c>
      <c r="D51" t="str">
        <f t="shared" si="2"/>
        <v>2022</v>
      </c>
      <c r="E51" s="51" t="s">
        <v>1490</v>
      </c>
      <c r="J51">
        <v>27.45</v>
      </c>
      <c r="K51">
        <v>-0.05</v>
      </c>
      <c r="L51">
        <v>0</v>
      </c>
      <c r="M51">
        <v>50</v>
      </c>
      <c r="N51">
        <v>0</v>
      </c>
      <c r="O51">
        <v>0</v>
      </c>
      <c r="P51">
        <v>0</v>
      </c>
      <c r="Q51">
        <v>0</v>
      </c>
      <c r="R51">
        <v>0</v>
      </c>
    </row>
    <row r="52" spans="1:18" x14ac:dyDescent="0.2">
      <c r="A52" t="str">
        <f t="shared" si="0"/>
        <v>ICE.2022.7</v>
      </c>
      <c r="B52" t="s">
        <v>1403</v>
      </c>
      <c r="C52" t="str">
        <f t="shared" si="1"/>
        <v>7</v>
      </c>
      <c r="D52" t="str">
        <f t="shared" si="2"/>
        <v>2022</v>
      </c>
      <c r="E52" s="51" t="s">
        <v>1491</v>
      </c>
      <c r="J52">
        <v>31.9</v>
      </c>
      <c r="K52">
        <v>-0.1</v>
      </c>
      <c r="L52">
        <v>0</v>
      </c>
      <c r="M52">
        <v>50</v>
      </c>
      <c r="N52">
        <v>0</v>
      </c>
      <c r="O52">
        <v>0</v>
      </c>
      <c r="P52">
        <v>0</v>
      </c>
      <c r="Q52">
        <v>0</v>
      </c>
      <c r="R52">
        <v>0</v>
      </c>
    </row>
    <row r="53" spans="1:18" x14ac:dyDescent="0.2">
      <c r="A53" t="str">
        <f t="shared" si="0"/>
        <v>ICE.2022.8</v>
      </c>
      <c r="B53" t="s">
        <v>1403</v>
      </c>
      <c r="C53" t="str">
        <f t="shared" si="1"/>
        <v>8</v>
      </c>
      <c r="D53" t="str">
        <f t="shared" si="2"/>
        <v>2022</v>
      </c>
      <c r="E53" s="51" t="s">
        <v>1492</v>
      </c>
      <c r="J53">
        <v>32.700000000000003</v>
      </c>
      <c r="K53">
        <v>-0.1</v>
      </c>
      <c r="L53">
        <v>0</v>
      </c>
      <c r="M53">
        <v>50</v>
      </c>
      <c r="N53">
        <v>0</v>
      </c>
      <c r="O53">
        <v>0</v>
      </c>
      <c r="P53">
        <v>0</v>
      </c>
      <c r="Q53">
        <v>0</v>
      </c>
      <c r="R53">
        <v>0</v>
      </c>
    </row>
    <row r="54" spans="1:18" x14ac:dyDescent="0.2">
      <c r="A54" t="str">
        <f t="shared" si="0"/>
        <v>ICE.2022.9</v>
      </c>
      <c r="B54" t="s">
        <v>1403</v>
      </c>
      <c r="C54" t="str">
        <f t="shared" si="1"/>
        <v>9</v>
      </c>
      <c r="D54" t="str">
        <f t="shared" si="2"/>
        <v>2022</v>
      </c>
      <c r="E54" s="51" t="s">
        <v>1493</v>
      </c>
      <c r="J54">
        <v>30.3</v>
      </c>
      <c r="K54">
        <v>-0.1</v>
      </c>
      <c r="L54">
        <v>0</v>
      </c>
      <c r="M54">
        <v>50</v>
      </c>
      <c r="N54">
        <v>0</v>
      </c>
      <c r="O54">
        <v>0</v>
      </c>
      <c r="P54">
        <v>0</v>
      </c>
      <c r="Q54">
        <v>0</v>
      </c>
      <c r="R54">
        <v>0</v>
      </c>
    </row>
    <row r="55" spans="1:18" x14ac:dyDescent="0.2">
      <c r="A55" t="str">
        <f t="shared" si="0"/>
        <v>ICE.2022.10</v>
      </c>
      <c r="B55" t="s">
        <v>1403</v>
      </c>
      <c r="C55" t="str">
        <f t="shared" si="1"/>
        <v>10</v>
      </c>
      <c r="D55" t="str">
        <f t="shared" si="2"/>
        <v>2022</v>
      </c>
      <c r="E55" s="51" t="s">
        <v>1494</v>
      </c>
      <c r="J55">
        <v>30.8</v>
      </c>
      <c r="K55">
        <v>-0.1</v>
      </c>
      <c r="L55">
        <v>0</v>
      </c>
      <c r="M55">
        <v>50</v>
      </c>
      <c r="N55">
        <v>0</v>
      </c>
      <c r="O55">
        <v>0</v>
      </c>
      <c r="P55">
        <v>0</v>
      </c>
      <c r="Q55">
        <v>0</v>
      </c>
      <c r="R55">
        <v>0</v>
      </c>
    </row>
    <row r="56" spans="1:18" x14ac:dyDescent="0.2">
      <c r="A56" t="str">
        <f t="shared" si="0"/>
        <v>ICE.2022.11</v>
      </c>
      <c r="B56" t="s">
        <v>1403</v>
      </c>
      <c r="C56" t="str">
        <f t="shared" si="1"/>
        <v>11</v>
      </c>
      <c r="D56" t="str">
        <f t="shared" si="2"/>
        <v>2022</v>
      </c>
      <c r="E56" s="51" t="s">
        <v>1495</v>
      </c>
      <c r="J56">
        <v>30.3</v>
      </c>
      <c r="K56">
        <v>-0.1</v>
      </c>
      <c r="L56">
        <v>0</v>
      </c>
      <c r="M56">
        <v>50</v>
      </c>
      <c r="N56">
        <v>0</v>
      </c>
      <c r="O56">
        <v>0</v>
      </c>
      <c r="P56">
        <v>0</v>
      </c>
      <c r="Q56">
        <v>0</v>
      </c>
      <c r="R56">
        <v>0</v>
      </c>
    </row>
    <row r="57" spans="1:18" x14ac:dyDescent="0.2">
      <c r="A57" t="str">
        <f t="shared" si="0"/>
        <v>ICE.2022.12</v>
      </c>
      <c r="B57" t="s">
        <v>1403</v>
      </c>
      <c r="C57" t="str">
        <f t="shared" si="1"/>
        <v>12</v>
      </c>
      <c r="D57" t="str">
        <f t="shared" si="2"/>
        <v>2022</v>
      </c>
      <c r="E57" s="51" t="s">
        <v>1496</v>
      </c>
      <c r="J57">
        <v>33</v>
      </c>
      <c r="K57">
        <v>-0.1</v>
      </c>
      <c r="L57">
        <v>0</v>
      </c>
      <c r="M57">
        <v>50</v>
      </c>
      <c r="N57">
        <v>0</v>
      </c>
      <c r="O57">
        <v>0</v>
      </c>
      <c r="P57">
        <v>0</v>
      </c>
      <c r="Q57">
        <v>0</v>
      </c>
      <c r="R57">
        <v>0</v>
      </c>
    </row>
    <row r="58" spans="1:18" x14ac:dyDescent="0.2">
      <c r="A58" t="str">
        <f t="shared" si="0"/>
        <v>ICE.2023.1</v>
      </c>
      <c r="B58" t="s">
        <v>1403</v>
      </c>
      <c r="C58" t="str">
        <f t="shared" si="1"/>
        <v>1</v>
      </c>
      <c r="D58" t="str">
        <f t="shared" si="2"/>
        <v>2023</v>
      </c>
      <c r="E58" s="51" t="s">
        <v>1511</v>
      </c>
      <c r="J58">
        <v>33.65</v>
      </c>
      <c r="K58">
        <v>-0.2</v>
      </c>
      <c r="L58">
        <v>0</v>
      </c>
      <c r="M58">
        <v>75</v>
      </c>
      <c r="N58">
        <v>0</v>
      </c>
      <c r="O58">
        <v>0</v>
      </c>
      <c r="P58">
        <v>0</v>
      </c>
      <c r="Q58">
        <v>0</v>
      </c>
      <c r="R58">
        <v>0</v>
      </c>
    </row>
    <row r="59" spans="1:18" x14ac:dyDescent="0.2">
      <c r="A59" t="str">
        <f t="shared" si="0"/>
        <v>ICE.2023.2</v>
      </c>
      <c r="B59" t="s">
        <v>1403</v>
      </c>
      <c r="C59" t="str">
        <f t="shared" si="1"/>
        <v>2</v>
      </c>
      <c r="D59" t="str">
        <f t="shared" si="2"/>
        <v>2023</v>
      </c>
      <c r="E59" s="51" t="s">
        <v>1512</v>
      </c>
      <c r="J59">
        <v>31.7</v>
      </c>
      <c r="K59">
        <v>-0.2</v>
      </c>
      <c r="L59">
        <v>0</v>
      </c>
      <c r="M59">
        <v>75</v>
      </c>
      <c r="N59">
        <v>0</v>
      </c>
      <c r="O59">
        <v>0</v>
      </c>
      <c r="P59">
        <v>0</v>
      </c>
      <c r="Q59">
        <v>0</v>
      </c>
      <c r="R59">
        <v>0</v>
      </c>
    </row>
    <row r="60" spans="1:18" x14ac:dyDescent="0.2">
      <c r="A60" t="str">
        <f t="shared" si="0"/>
        <v>ICE.2023.3</v>
      </c>
      <c r="B60" t="s">
        <v>1403</v>
      </c>
      <c r="C60" t="str">
        <f t="shared" si="1"/>
        <v>3</v>
      </c>
      <c r="D60" t="str">
        <f t="shared" si="2"/>
        <v>2023</v>
      </c>
      <c r="E60" s="51" t="s">
        <v>1513</v>
      </c>
      <c r="J60">
        <v>29.4</v>
      </c>
      <c r="K60">
        <v>-0.2</v>
      </c>
      <c r="L60">
        <v>0</v>
      </c>
      <c r="M60">
        <v>75</v>
      </c>
      <c r="N60">
        <v>0</v>
      </c>
      <c r="O60">
        <v>0</v>
      </c>
      <c r="P60">
        <v>0</v>
      </c>
      <c r="Q60">
        <v>0</v>
      </c>
      <c r="R60">
        <v>0</v>
      </c>
    </row>
    <row r="61" spans="1:18" x14ac:dyDescent="0.2">
      <c r="A61" t="str">
        <f t="shared" si="0"/>
        <v>ICE.2023.4</v>
      </c>
      <c r="B61" t="s">
        <v>1403</v>
      </c>
      <c r="C61" t="str">
        <f t="shared" si="1"/>
        <v>4</v>
      </c>
      <c r="D61" t="str">
        <f t="shared" si="2"/>
        <v>2023</v>
      </c>
      <c r="E61" s="51" t="s">
        <v>1514</v>
      </c>
      <c r="J61">
        <v>25.4</v>
      </c>
      <c r="K61">
        <v>-0.15</v>
      </c>
      <c r="L61">
        <v>0</v>
      </c>
      <c r="M61">
        <v>75</v>
      </c>
      <c r="N61">
        <v>0</v>
      </c>
      <c r="O61">
        <v>0</v>
      </c>
      <c r="P61">
        <v>0</v>
      </c>
      <c r="Q61">
        <v>0</v>
      </c>
      <c r="R61">
        <v>0</v>
      </c>
    </row>
    <row r="62" spans="1:18" x14ac:dyDescent="0.2">
      <c r="A62" t="str">
        <f t="shared" si="0"/>
        <v>ICE.2023.5</v>
      </c>
      <c r="B62" t="s">
        <v>1403</v>
      </c>
      <c r="C62" t="str">
        <f t="shared" si="1"/>
        <v>5</v>
      </c>
      <c r="D62" t="str">
        <f t="shared" si="2"/>
        <v>2023</v>
      </c>
      <c r="E62" s="51" t="s">
        <v>1515</v>
      </c>
      <c r="J62">
        <v>26.9</v>
      </c>
      <c r="K62">
        <v>-0.15</v>
      </c>
      <c r="L62">
        <v>0</v>
      </c>
      <c r="M62">
        <v>75</v>
      </c>
      <c r="N62">
        <v>0</v>
      </c>
      <c r="O62">
        <v>0</v>
      </c>
      <c r="P62">
        <v>0</v>
      </c>
      <c r="Q62">
        <v>0</v>
      </c>
      <c r="R62">
        <v>0</v>
      </c>
    </row>
    <row r="63" spans="1:18" x14ac:dyDescent="0.2">
      <c r="A63" t="str">
        <f t="shared" si="0"/>
        <v>ICE.2023.6</v>
      </c>
      <c r="B63" t="s">
        <v>1403</v>
      </c>
      <c r="C63" t="str">
        <f t="shared" si="1"/>
        <v>6</v>
      </c>
      <c r="D63" t="str">
        <f t="shared" si="2"/>
        <v>2023</v>
      </c>
      <c r="E63" s="51" t="s">
        <v>1516</v>
      </c>
      <c r="J63">
        <v>28.95</v>
      </c>
      <c r="K63">
        <v>-0.15</v>
      </c>
      <c r="L63">
        <v>0</v>
      </c>
      <c r="M63">
        <v>75</v>
      </c>
      <c r="N63">
        <v>0</v>
      </c>
      <c r="O63">
        <v>0</v>
      </c>
      <c r="P63">
        <v>0</v>
      </c>
      <c r="Q63">
        <v>0</v>
      </c>
      <c r="R63">
        <v>0</v>
      </c>
    </row>
    <row r="64" spans="1:18" x14ac:dyDescent="0.2">
      <c r="A64" t="str">
        <f t="shared" si="0"/>
        <v>ICE.2023.7</v>
      </c>
      <c r="B64" t="s">
        <v>1403</v>
      </c>
      <c r="C64" t="str">
        <f t="shared" si="1"/>
        <v>7</v>
      </c>
      <c r="D64" t="str">
        <f t="shared" si="2"/>
        <v>2023</v>
      </c>
      <c r="E64" s="51" t="s">
        <v>1517</v>
      </c>
      <c r="J64">
        <v>34</v>
      </c>
      <c r="K64">
        <v>-0.2</v>
      </c>
      <c r="L64">
        <v>0</v>
      </c>
      <c r="M64">
        <v>75</v>
      </c>
      <c r="N64">
        <v>0</v>
      </c>
      <c r="O64">
        <v>0</v>
      </c>
      <c r="P64">
        <v>0</v>
      </c>
      <c r="Q64">
        <v>0</v>
      </c>
      <c r="R64">
        <v>0</v>
      </c>
    </row>
    <row r="65" spans="1:18" x14ac:dyDescent="0.2">
      <c r="A65" t="str">
        <f t="shared" si="0"/>
        <v>ICE.2023.8</v>
      </c>
      <c r="B65" t="s">
        <v>1403</v>
      </c>
      <c r="C65" t="str">
        <f t="shared" si="1"/>
        <v>8</v>
      </c>
      <c r="D65" t="str">
        <f t="shared" si="2"/>
        <v>2023</v>
      </c>
      <c r="E65" s="51" t="s">
        <v>1518</v>
      </c>
      <c r="J65">
        <v>34.950000000000003</v>
      </c>
      <c r="K65">
        <v>-0.2</v>
      </c>
      <c r="L65">
        <v>0</v>
      </c>
      <c r="M65">
        <v>75</v>
      </c>
      <c r="N65">
        <v>0</v>
      </c>
      <c r="O65">
        <v>0</v>
      </c>
      <c r="P65">
        <v>0</v>
      </c>
      <c r="Q65">
        <v>0</v>
      </c>
      <c r="R65">
        <v>0</v>
      </c>
    </row>
    <row r="66" spans="1:18" x14ac:dyDescent="0.2">
      <c r="A66" t="str">
        <f t="shared" si="0"/>
        <v>ICE.2023.9</v>
      </c>
      <c r="B66" t="s">
        <v>1403</v>
      </c>
      <c r="C66" t="str">
        <f t="shared" si="1"/>
        <v>9</v>
      </c>
      <c r="D66" t="str">
        <f t="shared" si="2"/>
        <v>2023</v>
      </c>
      <c r="E66" s="51" t="s">
        <v>1519</v>
      </c>
      <c r="J66">
        <v>32.1</v>
      </c>
      <c r="K66">
        <v>-0.2</v>
      </c>
      <c r="L66">
        <v>0</v>
      </c>
      <c r="M66">
        <v>75</v>
      </c>
      <c r="N66">
        <v>0</v>
      </c>
      <c r="O66">
        <v>0</v>
      </c>
      <c r="P66">
        <v>0</v>
      </c>
      <c r="Q66">
        <v>0</v>
      </c>
      <c r="R66">
        <v>0</v>
      </c>
    </row>
    <row r="67" spans="1:18" x14ac:dyDescent="0.2">
      <c r="A67" t="str">
        <f t="shared" ref="A67:A117" si="3">B67&amp;"."&amp;D67&amp;"."&amp;C67</f>
        <v>ICE.2023.10</v>
      </c>
      <c r="B67" t="s">
        <v>1403</v>
      </c>
      <c r="C67" t="str">
        <f t="shared" ref="C67:C117" si="4">TEXT(DATEVALUE("1"&amp;E67),"M")</f>
        <v>10</v>
      </c>
      <c r="D67" t="str">
        <f t="shared" ref="D67:D117" si="5">TEXT(DATEVALUE("1"&amp;E67),"YYYY")</f>
        <v>2023</v>
      </c>
      <c r="E67" s="51" t="s">
        <v>1520</v>
      </c>
      <c r="J67">
        <v>32.6</v>
      </c>
      <c r="K67">
        <v>-0.2</v>
      </c>
      <c r="L67">
        <v>0</v>
      </c>
      <c r="M67">
        <v>75</v>
      </c>
      <c r="N67">
        <v>0</v>
      </c>
      <c r="O67">
        <v>0</v>
      </c>
      <c r="P67">
        <v>0</v>
      </c>
      <c r="Q67">
        <v>0</v>
      </c>
      <c r="R67">
        <v>0</v>
      </c>
    </row>
    <row r="68" spans="1:18" x14ac:dyDescent="0.2">
      <c r="A68" t="str">
        <f t="shared" si="3"/>
        <v>ICE.2023.11</v>
      </c>
      <c r="B68" t="s">
        <v>1403</v>
      </c>
      <c r="C68" t="str">
        <f t="shared" si="4"/>
        <v>11</v>
      </c>
      <c r="D68" t="str">
        <f t="shared" si="5"/>
        <v>2023</v>
      </c>
      <c r="E68" s="51" t="s">
        <v>1521</v>
      </c>
      <c r="J68">
        <v>32</v>
      </c>
      <c r="K68">
        <v>-0.2</v>
      </c>
      <c r="L68">
        <v>0</v>
      </c>
      <c r="M68">
        <v>75</v>
      </c>
      <c r="N68">
        <v>0</v>
      </c>
      <c r="O68">
        <v>0</v>
      </c>
      <c r="P68">
        <v>0</v>
      </c>
      <c r="Q68">
        <v>0</v>
      </c>
      <c r="R68">
        <v>0</v>
      </c>
    </row>
    <row r="69" spans="1:18" x14ac:dyDescent="0.2">
      <c r="A69" t="str">
        <f t="shared" si="3"/>
        <v>ICE.2023.12</v>
      </c>
      <c r="B69" t="s">
        <v>1403</v>
      </c>
      <c r="C69" t="str">
        <f t="shared" si="4"/>
        <v>12</v>
      </c>
      <c r="D69" t="str">
        <f t="shared" si="5"/>
        <v>2023</v>
      </c>
      <c r="E69" s="51" t="s">
        <v>1522</v>
      </c>
      <c r="J69">
        <v>34.799999999999997</v>
      </c>
      <c r="K69">
        <v>-0.2</v>
      </c>
      <c r="L69">
        <v>0</v>
      </c>
      <c r="M69">
        <v>75</v>
      </c>
      <c r="N69">
        <v>0</v>
      </c>
      <c r="O69">
        <v>0</v>
      </c>
      <c r="P69">
        <v>0</v>
      </c>
      <c r="Q69">
        <v>0</v>
      </c>
      <c r="R69">
        <v>0</v>
      </c>
    </row>
    <row r="70" spans="1:18" x14ac:dyDescent="0.2">
      <c r="A70" t="str">
        <f t="shared" si="3"/>
        <v>ICE.2024.1</v>
      </c>
      <c r="B70" t="s">
        <v>1403</v>
      </c>
      <c r="C70" t="str">
        <f t="shared" si="4"/>
        <v>1</v>
      </c>
      <c r="D70" t="str">
        <f t="shared" si="5"/>
        <v>2024</v>
      </c>
      <c r="E70" s="51" t="s">
        <v>1523</v>
      </c>
      <c r="J70">
        <v>34.700000000000003</v>
      </c>
      <c r="K70">
        <v>-0.2</v>
      </c>
      <c r="L70">
        <v>0</v>
      </c>
      <c r="M70">
        <v>50</v>
      </c>
      <c r="N70">
        <v>0</v>
      </c>
      <c r="O70">
        <v>0</v>
      </c>
      <c r="P70">
        <v>0</v>
      </c>
      <c r="Q70">
        <v>0</v>
      </c>
      <c r="R70">
        <v>0</v>
      </c>
    </row>
    <row r="71" spans="1:18" x14ac:dyDescent="0.2">
      <c r="A71" t="str">
        <f t="shared" si="3"/>
        <v>ICE.2024.2</v>
      </c>
      <c r="B71" t="s">
        <v>1403</v>
      </c>
      <c r="C71" t="str">
        <f t="shared" si="4"/>
        <v>2</v>
      </c>
      <c r="D71" t="str">
        <f t="shared" si="5"/>
        <v>2024</v>
      </c>
      <c r="E71" s="51" t="s">
        <v>1524</v>
      </c>
      <c r="J71">
        <v>32.700000000000003</v>
      </c>
      <c r="K71">
        <v>-0.2</v>
      </c>
      <c r="L71">
        <v>0</v>
      </c>
      <c r="M71">
        <v>50</v>
      </c>
      <c r="N71">
        <v>0</v>
      </c>
      <c r="O71">
        <v>0</v>
      </c>
      <c r="P71">
        <v>0</v>
      </c>
      <c r="Q71">
        <v>0</v>
      </c>
      <c r="R71">
        <v>0</v>
      </c>
    </row>
    <row r="72" spans="1:18" x14ac:dyDescent="0.2">
      <c r="A72" t="str">
        <f t="shared" si="3"/>
        <v>ICE.2024.3</v>
      </c>
      <c r="B72" t="s">
        <v>1403</v>
      </c>
      <c r="C72" t="str">
        <f t="shared" si="4"/>
        <v>3</v>
      </c>
      <c r="D72" t="str">
        <f t="shared" si="5"/>
        <v>2024</v>
      </c>
      <c r="E72" s="51" t="s">
        <v>1525</v>
      </c>
      <c r="J72">
        <v>30.55</v>
      </c>
      <c r="K72">
        <v>-0.15</v>
      </c>
      <c r="L72">
        <v>0</v>
      </c>
      <c r="M72">
        <v>50</v>
      </c>
      <c r="N72">
        <v>0</v>
      </c>
      <c r="O72">
        <v>0</v>
      </c>
      <c r="P72">
        <v>0</v>
      </c>
      <c r="Q72">
        <v>0</v>
      </c>
      <c r="R72">
        <v>0</v>
      </c>
    </row>
    <row r="73" spans="1:18" x14ac:dyDescent="0.2">
      <c r="A73" t="str">
        <f t="shared" si="3"/>
        <v>ICE.2024.4</v>
      </c>
      <c r="B73" t="s">
        <v>1403</v>
      </c>
      <c r="C73" t="str">
        <f t="shared" si="4"/>
        <v>4</v>
      </c>
      <c r="D73" t="str">
        <f t="shared" si="5"/>
        <v>2024</v>
      </c>
      <c r="E73" s="51" t="s">
        <v>1526</v>
      </c>
      <c r="J73">
        <v>26.1</v>
      </c>
      <c r="K73">
        <v>-0.15</v>
      </c>
      <c r="L73">
        <v>0</v>
      </c>
      <c r="M73">
        <v>50</v>
      </c>
      <c r="N73">
        <v>0</v>
      </c>
      <c r="O73">
        <v>0</v>
      </c>
      <c r="P73">
        <v>0</v>
      </c>
      <c r="Q73">
        <v>0</v>
      </c>
      <c r="R73">
        <v>0</v>
      </c>
    </row>
    <row r="74" spans="1:18" x14ac:dyDescent="0.2">
      <c r="A74" t="str">
        <f t="shared" si="3"/>
        <v>ICE.2024.5</v>
      </c>
      <c r="B74" t="s">
        <v>1403</v>
      </c>
      <c r="C74" t="str">
        <f t="shared" si="4"/>
        <v>5</v>
      </c>
      <c r="D74" t="str">
        <f t="shared" si="5"/>
        <v>2024</v>
      </c>
      <c r="E74" s="51" t="s">
        <v>1527</v>
      </c>
      <c r="J74">
        <v>27.8</v>
      </c>
      <c r="K74">
        <v>-0.15</v>
      </c>
      <c r="L74">
        <v>0</v>
      </c>
      <c r="M74">
        <v>50</v>
      </c>
      <c r="N74">
        <v>0</v>
      </c>
      <c r="O74">
        <v>0</v>
      </c>
      <c r="P74">
        <v>0</v>
      </c>
      <c r="Q74">
        <v>0</v>
      </c>
      <c r="R74">
        <v>0</v>
      </c>
    </row>
    <row r="75" spans="1:18" x14ac:dyDescent="0.2">
      <c r="A75" t="str">
        <f t="shared" si="3"/>
        <v>ICE.2024.6</v>
      </c>
      <c r="B75" t="s">
        <v>1403</v>
      </c>
      <c r="C75" t="str">
        <f t="shared" si="4"/>
        <v>6</v>
      </c>
      <c r="D75" t="str">
        <f t="shared" si="5"/>
        <v>2024</v>
      </c>
      <c r="E75" s="51" t="s">
        <v>1528</v>
      </c>
      <c r="J75">
        <v>29.45</v>
      </c>
      <c r="K75">
        <v>-0.15</v>
      </c>
      <c r="L75">
        <v>0</v>
      </c>
      <c r="M75">
        <v>50</v>
      </c>
      <c r="N75">
        <v>0</v>
      </c>
      <c r="O75">
        <v>0</v>
      </c>
      <c r="P75">
        <v>0</v>
      </c>
      <c r="Q75">
        <v>0</v>
      </c>
      <c r="R75">
        <v>0</v>
      </c>
    </row>
    <row r="76" spans="1:18" x14ac:dyDescent="0.2">
      <c r="A76" t="str">
        <f t="shared" si="3"/>
        <v>ICE.2024.7</v>
      </c>
      <c r="B76" t="s">
        <v>1403</v>
      </c>
      <c r="C76" t="str">
        <f t="shared" si="4"/>
        <v>7</v>
      </c>
      <c r="D76" t="str">
        <f t="shared" si="5"/>
        <v>2024</v>
      </c>
      <c r="E76" s="51" t="s">
        <v>1529</v>
      </c>
      <c r="J76">
        <v>35.4</v>
      </c>
      <c r="K76">
        <v>-0.2</v>
      </c>
      <c r="L76">
        <v>0</v>
      </c>
      <c r="M76">
        <v>50</v>
      </c>
      <c r="N76">
        <v>0</v>
      </c>
      <c r="O76">
        <v>0</v>
      </c>
      <c r="P76">
        <v>0</v>
      </c>
      <c r="Q76">
        <v>0</v>
      </c>
      <c r="R76">
        <v>0</v>
      </c>
    </row>
    <row r="77" spans="1:18" x14ac:dyDescent="0.2">
      <c r="A77" t="str">
        <f t="shared" si="3"/>
        <v>ICE.2024.8</v>
      </c>
      <c r="B77" t="s">
        <v>1403</v>
      </c>
      <c r="C77" t="str">
        <f t="shared" si="4"/>
        <v>8</v>
      </c>
      <c r="D77" t="str">
        <f t="shared" si="5"/>
        <v>2024</v>
      </c>
      <c r="E77" s="51" t="s">
        <v>1530</v>
      </c>
      <c r="J77">
        <v>36.35</v>
      </c>
      <c r="K77">
        <v>-0.2</v>
      </c>
      <c r="L77">
        <v>0</v>
      </c>
      <c r="M77">
        <v>50</v>
      </c>
      <c r="N77">
        <v>0</v>
      </c>
      <c r="O77">
        <v>0</v>
      </c>
      <c r="P77">
        <v>0</v>
      </c>
      <c r="Q77">
        <v>0</v>
      </c>
      <c r="R77">
        <v>0</v>
      </c>
    </row>
    <row r="78" spans="1:18" x14ac:dyDescent="0.2">
      <c r="A78" t="str">
        <f t="shared" si="3"/>
        <v>ICE.2024.9</v>
      </c>
      <c r="B78" t="s">
        <v>1403</v>
      </c>
      <c r="C78" t="str">
        <f t="shared" si="4"/>
        <v>9</v>
      </c>
      <c r="D78" t="str">
        <f t="shared" si="5"/>
        <v>2024</v>
      </c>
      <c r="E78" s="51" t="s">
        <v>1531</v>
      </c>
      <c r="J78">
        <v>33.6</v>
      </c>
      <c r="K78">
        <v>-0.2</v>
      </c>
      <c r="L78">
        <v>0</v>
      </c>
      <c r="M78">
        <v>50</v>
      </c>
      <c r="N78">
        <v>0</v>
      </c>
      <c r="O78">
        <v>0</v>
      </c>
      <c r="P78">
        <v>0</v>
      </c>
      <c r="Q78">
        <v>0</v>
      </c>
      <c r="R78">
        <v>0</v>
      </c>
    </row>
    <row r="79" spans="1:18" x14ac:dyDescent="0.2">
      <c r="A79" t="str">
        <f t="shared" si="3"/>
        <v>ICE.2024.10</v>
      </c>
      <c r="B79" t="s">
        <v>1403</v>
      </c>
      <c r="C79" t="str">
        <f t="shared" si="4"/>
        <v>10</v>
      </c>
      <c r="D79" t="str">
        <f t="shared" si="5"/>
        <v>2024</v>
      </c>
      <c r="E79" s="51" t="s">
        <v>1532</v>
      </c>
      <c r="J79">
        <v>33.9</v>
      </c>
      <c r="K79">
        <v>-0.2</v>
      </c>
      <c r="L79">
        <v>0</v>
      </c>
      <c r="M79">
        <v>50</v>
      </c>
      <c r="N79">
        <v>0</v>
      </c>
      <c r="O79">
        <v>0</v>
      </c>
      <c r="P79">
        <v>0</v>
      </c>
      <c r="Q79">
        <v>0</v>
      </c>
      <c r="R79">
        <v>0</v>
      </c>
    </row>
    <row r="80" spans="1:18" x14ac:dyDescent="0.2">
      <c r="A80" t="str">
        <f t="shared" si="3"/>
        <v>ICE.2024.11</v>
      </c>
      <c r="B80" t="s">
        <v>1403</v>
      </c>
      <c r="C80" t="str">
        <f t="shared" si="4"/>
        <v>11</v>
      </c>
      <c r="D80" t="str">
        <f t="shared" si="5"/>
        <v>2024</v>
      </c>
      <c r="E80" s="51" t="s">
        <v>1533</v>
      </c>
      <c r="J80">
        <v>33.15</v>
      </c>
      <c r="K80">
        <v>-0.2</v>
      </c>
      <c r="L80">
        <v>0</v>
      </c>
      <c r="M80">
        <v>50</v>
      </c>
      <c r="N80">
        <v>0</v>
      </c>
      <c r="O80">
        <v>0</v>
      </c>
      <c r="P80">
        <v>0</v>
      </c>
      <c r="Q80">
        <v>0</v>
      </c>
      <c r="R80">
        <v>0</v>
      </c>
    </row>
    <row r="81" spans="1:18" x14ac:dyDescent="0.2">
      <c r="A81" t="str">
        <f t="shared" si="3"/>
        <v>ICE.2024.12</v>
      </c>
      <c r="B81" t="s">
        <v>1403</v>
      </c>
      <c r="C81" t="str">
        <f t="shared" si="4"/>
        <v>12</v>
      </c>
      <c r="D81" t="str">
        <f t="shared" si="5"/>
        <v>2024</v>
      </c>
      <c r="E81" s="51" t="s">
        <v>1534</v>
      </c>
      <c r="J81">
        <v>36.200000000000003</v>
      </c>
      <c r="K81">
        <v>-0.2</v>
      </c>
      <c r="L81">
        <v>0</v>
      </c>
      <c r="M81">
        <v>50</v>
      </c>
      <c r="N81">
        <v>0</v>
      </c>
      <c r="O81">
        <v>0</v>
      </c>
      <c r="P81">
        <v>0</v>
      </c>
      <c r="Q81">
        <v>0</v>
      </c>
      <c r="R81">
        <v>0</v>
      </c>
    </row>
    <row r="82" spans="1:18" x14ac:dyDescent="0.2">
      <c r="A82" t="str">
        <f t="shared" si="3"/>
        <v>ICE.2025.1</v>
      </c>
      <c r="B82" t="s">
        <v>1403</v>
      </c>
      <c r="C82" t="str">
        <f t="shared" si="4"/>
        <v>1</v>
      </c>
      <c r="D82" t="str">
        <f t="shared" si="5"/>
        <v>2025</v>
      </c>
      <c r="E82" s="51" t="s">
        <v>1538</v>
      </c>
      <c r="J82">
        <v>35.85</v>
      </c>
      <c r="K82">
        <v>-0.2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</row>
    <row r="83" spans="1:18" x14ac:dyDescent="0.2">
      <c r="A83" t="str">
        <f t="shared" si="3"/>
        <v>ICE.2025.2</v>
      </c>
      <c r="B83" t="s">
        <v>1403</v>
      </c>
      <c r="C83" t="str">
        <f t="shared" si="4"/>
        <v>2</v>
      </c>
      <c r="D83" t="str">
        <f t="shared" si="5"/>
        <v>2025</v>
      </c>
      <c r="E83" s="51" t="s">
        <v>1539</v>
      </c>
      <c r="J83">
        <v>33.85</v>
      </c>
      <c r="K83">
        <v>-0.2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</row>
    <row r="84" spans="1:18" x14ac:dyDescent="0.2">
      <c r="A84" t="str">
        <f t="shared" si="3"/>
        <v>ICE.2025.3</v>
      </c>
      <c r="B84" t="s">
        <v>1403</v>
      </c>
      <c r="C84" t="str">
        <f t="shared" si="4"/>
        <v>3</v>
      </c>
      <c r="D84" t="str">
        <f t="shared" si="5"/>
        <v>2025</v>
      </c>
      <c r="E84" s="51" t="s">
        <v>1540</v>
      </c>
      <c r="J84">
        <v>31.55</v>
      </c>
      <c r="K84">
        <v>-0.15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</row>
    <row r="85" spans="1:18" x14ac:dyDescent="0.2">
      <c r="A85" t="str">
        <f t="shared" si="3"/>
        <v>ICE.2025.4</v>
      </c>
      <c r="B85" t="s">
        <v>1403</v>
      </c>
      <c r="C85" t="str">
        <f t="shared" si="4"/>
        <v>4</v>
      </c>
      <c r="D85" t="str">
        <f t="shared" si="5"/>
        <v>2025</v>
      </c>
      <c r="E85" s="51" t="s">
        <v>1541</v>
      </c>
      <c r="J85">
        <v>27.1</v>
      </c>
      <c r="K85">
        <v>-0.15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</row>
    <row r="86" spans="1:18" x14ac:dyDescent="0.2">
      <c r="A86" t="str">
        <f t="shared" si="3"/>
        <v>ICE.2025.5</v>
      </c>
      <c r="B86" t="s">
        <v>1403</v>
      </c>
      <c r="C86" t="str">
        <f t="shared" si="4"/>
        <v>5</v>
      </c>
      <c r="D86" t="str">
        <f t="shared" si="5"/>
        <v>2025</v>
      </c>
      <c r="E86" s="51" t="s">
        <v>1542</v>
      </c>
      <c r="J86">
        <v>28.7</v>
      </c>
      <c r="K86">
        <v>-0.15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</row>
    <row r="87" spans="1:18" x14ac:dyDescent="0.2">
      <c r="A87" t="str">
        <f t="shared" si="3"/>
        <v>ICE.2025.6</v>
      </c>
      <c r="B87" t="s">
        <v>1403</v>
      </c>
      <c r="C87" t="str">
        <f t="shared" si="4"/>
        <v>6</v>
      </c>
      <c r="D87" t="str">
        <f t="shared" si="5"/>
        <v>2025</v>
      </c>
      <c r="E87" s="51" t="s">
        <v>1543</v>
      </c>
      <c r="J87">
        <v>30.65</v>
      </c>
      <c r="K87">
        <v>-0.15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</row>
    <row r="88" spans="1:18" x14ac:dyDescent="0.2">
      <c r="A88" t="str">
        <f t="shared" si="3"/>
        <v>ICE.2025.7</v>
      </c>
      <c r="B88" t="s">
        <v>1403</v>
      </c>
      <c r="C88" t="str">
        <f t="shared" si="4"/>
        <v>7</v>
      </c>
      <c r="D88" t="str">
        <f t="shared" si="5"/>
        <v>2025</v>
      </c>
      <c r="E88" s="51" t="s">
        <v>1544</v>
      </c>
      <c r="J88">
        <v>36.75</v>
      </c>
      <c r="K88">
        <v>-0.2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</row>
    <row r="89" spans="1:18" x14ac:dyDescent="0.2">
      <c r="A89" t="str">
        <f t="shared" si="3"/>
        <v>ICE.2025.8</v>
      </c>
      <c r="B89" t="s">
        <v>1403</v>
      </c>
      <c r="C89" t="str">
        <f t="shared" si="4"/>
        <v>8</v>
      </c>
      <c r="D89" t="str">
        <f t="shared" si="5"/>
        <v>2025</v>
      </c>
      <c r="E89" s="51" t="s">
        <v>1545</v>
      </c>
      <c r="J89">
        <v>37.549999999999997</v>
      </c>
      <c r="K89">
        <v>-0.2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</row>
    <row r="90" spans="1:18" x14ac:dyDescent="0.2">
      <c r="A90" t="str">
        <f t="shared" si="3"/>
        <v>ICE.2025.9</v>
      </c>
      <c r="B90" t="s">
        <v>1403</v>
      </c>
      <c r="C90" t="str">
        <f t="shared" si="4"/>
        <v>9</v>
      </c>
      <c r="D90" t="str">
        <f t="shared" si="5"/>
        <v>2025</v>
      </c>
      <c r="E90" s="51" t="s">
        <v>1546</v>
      </c>
      <c r="J90">
        <v>34.6</v>
      </c>
      <c r="K90">
        <v>-0.2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</row>
    <row r="91" spans="1:18" x14ac:dyDescent="0.2">
      <c r="A91" t="str">
        <f t="shared" si="3"/>
        <v>ICE.2025.10</v>
      </c>
      <c r="B91" t="s">
        <v>1403</v>
      </c>
      <c r="C91" t="str">
        <f t="shared" si="4"/>
        <v>10</v>
      </c>
      <c r="D91" t="str">
        <f t="shared" si="5"/>
        <v>2025</v>
      </c>
      <c r="E91" s="51" t="s">
        <v>1547</v>
      </c>
      <c r="J91">
        <v>35</v>
      </c>
      <c r="K91">
        <v>-0.2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</row>
    <row r="92" spans="1:18" x14ac:dyDescent="0.2">
      <c r="A92" t="str">
        <f t="shared" si="3"/>
        <v>ICE.2025.11</v>
      </c>
      <c r="B92" t="s">
        <v>1403</v>
      </c>
      <c r="C92" t="str">
        <f t="shared" si="4"/>
        <v>11</v>
      </c>
      <c r="D92" t="str">
        <f t="shared" si="5"/>
        <v>2025</v>
      </c>
      <c r="E92" s="51" t="s">
        <v>1548</v>
      </c>
      <c r="J92">
        <v>34.450000000000003</v>
      </c>
      <c r="K92">
        <v>-0.2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</row>
    <row r="93" spans="1:18" x14ac:dyDescent="0.2">
      <c r="A93" t="str">
        <f t="shared" si="3"/>
        <v>ICE.2025.12</v>
      </c>
      <c r="B93" t="s">
        <v>1403</v>
      </c>
      <c r="C93" t="str">
        <f t="shared" si="4"/>
        <v>12</v>
      </c>
      <c r="D93" t="str">
        <f t="shared" si="5"/>
        <v>2025</v>
      </c>
      <c r="E93" s="51" t="s">
        <v>1549</v>
      </c>
      <c r="J93">
        <v>37.450000000000003</v>
      </c>
      <c r="K93">
        <v>-0.2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</row>
    <row r="94" spans="1:18" x14ac:dyDescent="0.2">
      <c r="A94" t="str">
        <f t="shared" si="3"/>
        <v>ICE.2026.1</v>
      </c>
      <c r="B94" t="s">
        <v>1403</v>
      </c>
      <c r="C94" t="str">
        <f t="shared" si="4"/>
        <v>1</v>
      </c>
      <c r="D94" t="str">
        <f t="shared" si="5"/>
        <v>2026</v>
      </c>
      <c r="E94" s="51" t="s">
        <v>1550</v>
      </c>
      <c r="J94">
        <v>37.1</v>
      </c>
      <c r="K94">
        <v>-0.2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</row>
    <row r="95" spans="1:18" x14ac:dyDescent="0.2">
      <c r="A95" t="str">
        <f t="shared" si="3"/>
        <v>ICE.2026.2</v>
      </c>
      <c r="B95" t="s">
        <v>1403</v>
      </c>
      <c r="C95" t="str">
        <f t="shared" si="4"/>
        <v>2</v>
      </c>
      <c r="D95" t="str">
        <f t="shared" si="5"/>
        <v>2026</v>
      </c>
      <c r="E95" s="51" t="s">
        <v>1551</v>
      </c>
      <c r="J95">
        <v>34.950000000000003</v>
      </c>
      <c r="K95">
        <v>-0.2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</row>
    <row r="96" spans="1:18" x14ac:dyDescent="0.2">
      <c r="A96" t="str">
        <f t="shared" si="3"/>
        <v>ICE.2026.3</v>
      </c>
      <c r="B96" t="s">
        <v>1403</v>
      </c>
      <c r="C96" t="str">
        <f t="shared" si="4"/>
        <v>3</v>
      </c>
      <c r="D96" t="str">
        <f t="shared" si="5"/>
        <v>2026</v>
      </c>
      <c r="E96" s="51" t="s">
        <v>1552</v>
      </c>
      <c r="J96">
        <v>32.549999999999997</v>
      </c>
      <c r="K96">
        <v>-0.15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</row>
    <row r="97" spans="1:18" x14ac:dyDescent="0.2">
      <c r="A97" t="str">
        <f t="shared" si="3"/>
        <v>ICE.2026.4</v>
      </c>
      <c r="B97" t="s">
        <v>1403</v>
      </c>
      <c r="C97" t="str">
        <f t="shared" si="4"/>
        <v>4</v>
      </c>
      <c r="D97" t="str">
        <f t="shared" si="5"/>
        <v>2026</v>
      </c>
      <c r="E97" s="51" t="s">
        <v>1553</v>
      </c>
      <c r="J97">
        <v>28</v>
      </c>
      <c r="K97">
        <v>-0.15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</row>
    <row r="98" spans="1:18" x14ac:dyDescent="0.2">
      <c r="A98" t="str">
        <f t="shared" si="3"/>
        <v>ICE.2026.5</v>
      </c>
      <c r="B98" t="s">
        <v>1403</v>
      </c>
      <c r="C98" t="str">
        <f t="shared" si="4"/>
        <v>5</v>
      </c>
      <c r="D98" t="str">
        <f t="shared" si="5"/>
        <v>2026</v>
      </c>
      <c r="E98" s="51" t="s">
        <v>1554</v>
      </c>
      <c r="J98">
        <v>29.8</v>
      </c>
      <c r="K98">
        <v>-0.15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</row>
    <row r="99" spans="1:18" x14ac:dyDescent="0.2">
      <c r="A99" t="str">
        <f t="shared" si="3"/>
        <v>ICE.2026.6</v>
      </c>
      <c r="B99" t="s">
        <v>1403</v>
      </c>
      <c r="C99" t="str">
        <f t="shared" si="4"/>
        <v>6</v>
      </c>
      <c r="D99" t="str">
        <f t="shared" si="5"/>
        <v>2026</v>
      </c>
      <c r="E99" s="51" t="s">
        <v>1555</v>
      </c>
      <c r="J99">
        <v>31.7</v>
      </c>
      <c r="K99">
        <v>-0.15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</row>
    <row r="100" spans="1:18" x14ac:dyDescent="0.2">
      <c r="A100" t="str">
        <f t="shared" si="3"/>
        <v>ICE.2026.7</v>
      </c>
      <c r="B100" t="s">
        <v>1403</v>
      </c>
      <c r="C100" t="str">
        <f t="shared" si="4"/>
        <v>7</v>
      </c>
      <c r="D100" t="str">
        <f t="shared" si="5"/>
        <v>2026</v>
      </c>
      <c r="E100" s="51" t="s">
        <v>1556</v>
      </c>
      <c r="J100">
        <v>38.049999999999997</v>
      </c>
      <c r="K100">
        <v>-0.2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</row>
    <row r="101" spans="1:18" x14ac:dyDescent="0.2">
      <c r="A101" t="str">
        <f t="shared" si="3"/>
        <v>ICE.2026.8</v>
      </c>
      <c r="B101" t="s">
        <v>1403</v>
      </c>
      <c r="C101" t="str">
        <f t="shared" si="4"/>
        <v>8</v>
      </c>
      <c r="D101" t="str">
        <f t="shared" si="5"/>
        <v>2026</v>
      </c>
      <c r="E101" s="51" t="s">
        <v>1557</v>
      </c>
      <c r="J101">
        <v>38.799999999999997</v>
      </c>
      <c r="K101">
        <v>-0.2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</row>
    <row r="102" spans="1:18" x14ac:dyDescent="0.2">
      <c r="A102" t="str">
        <f t="shared" si="3"/>
        <v>ICE.2026.9</v>
      </c>
      <c r="B102" t="s">
        <v>1403</v>
      </c>
      <c r="C102" t="str">
        <f t="shared" si="4"/>
        <v>9</v>
      </c>
      <c r="D102" t="str">
        <f t="shared" si="5"/>
        <v>2026</v>
      </c>
      <c r="E102" s="51" t="s">
        <v>1558</v>
      </c>
      <c r="J102">
        <v>35.950000000000003</v>
      </c>
      <c r="K102">
        <v>-0.2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</row>
    <row r="103" spans="1:18" x14ac:dyDescent="0.2">
      <c r="A103" t="str">
        <f t="shared" si="3"/>
        <v>ICE.2026.10</v>
      </c>
      <c r="B103" t="s">
        <v>1403</v>
      </c>
      <c r="C103" t="str">
        <f t="shared" si="4"/>
        <v>10</v>
      </c>
      <c r="D103" t="str">
        <f t="shared" si="5"/>
        <v>2026</v>
      </c>
      <c r="E103" s="51" t="s">
        <v>1559</v>
      </c>
      <c r="J103">
        <v>36.200000000000003</v>
      </c>
      <c r="K103">
        <v>-0.2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</row>
    <row r="104" spans="1:18" x14ac:dyDescent="0.2">
      <c r="A104" t="str">
        <f t="shared" si="3"/>
        <v>ICE.2026.11</v>
      </c>
      <c r="B104" t="s">
        <v>1403</v>
      </c>
      <c r="C104" t="str">
        <f t="shared" si="4"/>
        <v>11</v>
      </c>
      <c r="D104" t="str">
        <f t="shared" si="5"/>
        <v>2026</v>
      </c>
      <c r="E104" s="51" t="s">
        <v>1560</v>
      </c>
      <c r="J104">
        <v>35.5</v>
      </c>
      <c r="K104">
        <v>-0.2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</row>
    <row r="105" spans="1:18" x14ac:dyDescent="0.2">
      <c r="A105" t="str">
        <f t="shared" si="3"/>
        <v>ICE.2026.12</v>
      </c>
      <c r="B105" t="s">
        <v>1403</v>
      </c>
      <c r="C105" t="str">
        <f t="shared" si="4"/>
        <v>12</v>
      </c>
      <c r="D105" t="str">
        <f t="shared" si="5"/>
        <v>2026</v>
      </c>
      <c r="E105" s="51" t="s">
        <v>1561</v>
      </c>
      <c r="J105">
        <v>38.75</v>
      </c>
      <c r="K105">
        <v>-0.2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</row>
    <row r="106" spans="1:18" x14ac:dyDescent="0.2">
      <c r="A106" t="str">
        <f t="shared" si="3"/>
        <v>ICE.2027.1</v>
      </c>
      <c r="B106" t="s">
        <v>1403</v>
      </c>
      <c r="C106" t="str">
        <f t="shared" si="4"/>
        <v>1</v>
      </c>
      <c r="D106" t="str">
        <f t="shared" si="5"/>
        <v>2027</v>
      </c>
      <c r="E106" s="51" t="s">
        <v>1562</v>
      </c>
      <c r="J106">
        <v>38.200000000000003</v>
      </c>
      <c r="K106">
        <v>-0.2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</row>
    <row r="107" spans="1:18" x14ac:dyDescent="0.2">
      <c r="A107" t="str">
        <f t="shared" si="3"/>
        <v>ICE.2027.2</v>
      </c>
      <c r="B107" t="s">
        <v>1403</v>
      </c>
      <c r="C107" t="str">
        <f t="shared" si="4"/>
        <v>2</v>
      </c>
      <c r="D107" t="str">
        <f t="shared" si="5"/>
        <v>2027</v>
      </c>
      <c r="E107" s="51" t="s">
        <v>1563</v>
      </c>
      <c r="J107">
        <v>36.15</v>
      </c>
      <c r="K107">
        <v>-0.2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</row>
    <row r="108" spans="1:18" x14ac:dyDescent="0.2">
      <c r="A108" t="str">
        <f t="shared" si="3"/>
        <v>ICE.2027.3</v>
      </c>
      <c r="B108" t="s">
        <v>1403</v>
      </c>
      <c r="C108" t="str">
        <f t="shared" si="4"/>
        <v>3</v>
      </c>
      <c r="D108" t="str">
        <f t="shared" si="5"/>
        <v>2027</v>
      </c>
      <c r="E108" s="51" t="s">
        <v>1564</v>
      </c>
      <c r="J108">
        <v>33.549999999999997</v>
      </c>
      <c r="K108">
        <v>-0.15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</row>
    <row r="109" spans="1:18" x14ac:dyDescent="0.2">
      <c r="A109" t="str">
        <f t="shared" si="3"/>
        <v>ICE.2027.4</v>
      </c>
      <c r="B109" t="s">
        <v>1403</v>
      </c>
      <c r="C109" t="str">
        <f t="shared" si="4"/>
        <v>4</v>
      </c>
      <c r="D109" t="str">
        <f t="shared" si="5"/>
        <v>2027</v>
      </c>
      <c r="E109" s="51" t="s">
        <v>1565</v>
      </c>
      <c r="J109">
        <v>28.7</v>
      </c>
      <c r="K109">
        <v>-0.15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</row>
    <row r="110" spans="1:18" x14ac:dyDescent="0.2">
      <c r="A110" t="str">
        <f t="shared" si="3"/>
        <v>ICE.2027.5</v>
      </c>
      <c r="B110" t="s">
        <v>1403</v>
      </c>
      <c r="C110" t="str">
        <f t="shared" si="4"/>
        <v>5</v>
      </c>
      <c r="D110" t="str">
        <f t="shared" si="5"/>
        <v>2027</v>
      </c>
      <c r="E110" s="51" t="s">
        <v>1566</v>
      </c>
      <c r="J110">
        <v>30.6</v>
      </c>
      <c r="K110">
        <v>-0.15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</row>
    <row r="111" spans="1:18" x14ac:dyDescent="0.2">
      <c r="A111" t="str">
        <f t="shared" si="3"/>
        <v>ICE.2027.6</v>
      </c>
      <c r="B111" t="s">
        <v>1403</v>
      </c>
      <c r="C111" t="str">
        <f t="shared" si="4"/>
        <v>6</v>
      </c>
      <c r="D111" t="str">
        <f t="shared" si="5"/>
        <v>2027</v>
      </c>
      <c r="E111" s="51" t="s">
        <v>1567</v>
      </c>
      <c r="J111">
        <v>32.75</v>
      </c>
      <c r="K111">
        <v>-0.15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</row>
    <row r="112" spans="1:18" x14ac:dyDescent="0.2">
      <c r="A112" t="str">
        <f t="shared" si="3"/>
        <v>ICE.2027.7</v>
      </c>
      <c r="B112" t="s">
        <v>1403</v>
      </c>
      <c r="C112" t="str">
        <f t="shared" si="4"/>
        <v>7</v>
      </c>
      <c r="D112" t="str">
        <f t="shared" si="5"/>
        <v>2027</v>
      </c>
      <c r="E112" s="51" t="s">
        <v>1568</v>
      </c>
      <c r="J112">
        <v>39.15</v>
      </c>
      <c r="K112">
        <v>-0.2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</row>
    <row r="113" spans="1:18" x14ac:dyDescent="0.2">
      <c r="A113" t="str">
        <f t="shared" si="3"/>
        <v>ICE.2027.8</v>
      </c>
      <c r="B113" t="s">
        <v>1403</v>
      </c>
      <c r="C113" t="str">
        <f t="shared" si="4"/>
        <v>8</v>
      </c>
      <c r="D113" t="str">
        <f t="shared" si="5"/>
        <v>2027</v>
      </c>
      <c r="E113" s="51" t="s">
        <v>1569</v>
      </c>
      <c r="J113">
        <v>39.799999999999997</v>
      </c>
      <c r="K113">
        <v>-0.2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</row>
    <row r="114" spans="1:18" x14ac:dyDescent="0.2">
      <c r="A114" t="str">
        <f t="shared" si="3"/>
        <v>ICE.2027.9</v>
      </c>
      <c r="B114" t="s">
        <v>1403</v>
      </c>
      <c r="C114" t="str">
        <f t="shared" si="4"/>
        <v>9</v>
      </c>
      <c r="D114" t="str">
        <f t="shared" si="5"/>
        <v>2027</v>
      </c>
      <c r="E114" s="51" t="s">
        <v>1570</v>
      </c>
      <c r="J114">
        <v>36.9</v>
      </c>
      <c r="K114">
        <v>-0.2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</row>
    <row r="115" spans="1:18" x14ac:dyDescent="0.2">
      <c r="A115" t="str">
        <f t="shared" si="3"/>
        <v>ICE.2027.10</v>
      </c>
      <c r="B115" t="s">
        <v>1403</v>
      </c>
      <c r="C115" t="str">
        <f t="shared" si="4"/>
        <v>10</v>
      </c>
      <c r="D115" t="str">
        <f t="shared" si="5"/>
        <v>2027</v>
      </c>
      <c r="E115" s="51" t="s">
        <v>1571</v>
      </c>
      <c r="J115">
        <v>37.35</v>
      </c>
      <c r="K115">
        <v>-0.2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</row>
    <row r="116" spans="1:18" x14ac:dyDescent="0.2">
      <c r="A116" t="str">
        <f t="shared" si="3"/>
        <v>ICE.2027.11</v>
      </c>
      <c r="B116" t="s">
        <v>1403</v>
      </c>
      <c r="C116" t="str">
        <f t="shared" si="4"/>
        <v>11</v>
      </c>
      <c r="D116" t="str">
        <f t="shared" si="5"/>
        <v>2027</v>
      </c>
      <c r="E116" s="51" t="s">
        <v>1572</v>
      </c>
      <c r="J116">
        <v>36.65</v>
      </c>
      <c r="K116">
        <v>-0.2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</row>
    <row r="117" spans="1:18" x14ac:dyDescent="0.2">
      <c r="A117" t="str">
        <f t="shared" si="3"/>
        <v>ICE.2027.12</v>
      </c>
      <c r="B117" t="s">
        <v>1403</v>
      </c>
      <c r="C117" t="str">
        <f t="shared" si="4"/>
        <v>12</v>
      </c>
      <c r="D117" t="str">
        <f t="shared" si="5"/>
        <v>2027</v>
      </c>
      <c r="E117" s="51" t="s">
        <v>1573</v>
      </c>
      <c r="J117">
        <v>39.9</v>
      </c>
      <c r="K117">
        <v>-0.2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P15Peak"/>
  <dimension ref="A1:T105"/>
  <sheetViews>
    <sheetView workbookViewId="0"/>
  </sheetViews>
  <sheetFormatPr defaultRowHeight="12.75" x14ac:dyDescent="0.2"/>
  <cols>
    <col min="1" max="1" width="11.140625" bestFit="1" customWidth="1"/>
    <col min="2" max="2" width="8.5703125" bestFit="1" customWidth="1"/>
    <col min="3" max="3" width="5.7109375" bestFit="1" customWidth="1"/>
    <col min="4" max="4" width="5.140625" bestFit="1" customWidth="1"/>
    <col min="5" max="5" width="7.7109375" bestFit="1" customWidth="1"/>
    <col min="6" max="6" width="5.85546875" bestFit="1" customWidth="1"/>
    <col min="7" max="7" width="5.140625" bestFit="1" customWidth="1"/>
    <col min="8" max="8" width="4.85546875" bestFit="1" customWidth="1"/>
    <col min="9" max="9" width="6" bestFit="1" customWidth="1"/>
    <col min="10" max="10" width="10.85546875" bestFit="1" customWidth="1"/>
    <col min="11" max="12" width="8" bestFit="1" customWidth="1"/>
    <col min="13" max="13" width="8.7109375" bestFit="1" customWidth="1"/>
    <col min="14" max="14" width="10.5703125" bestFit="1" customWidth="1"/>
    <col min="15" max="16" width="4.5703125" bestFit="1" customWidth="1"/>
    <col min="17" max="17" width="9.5703125" bestFit="1" customWidth="1"/>
    <col min="18" max="18" width="11.140625" bestFit="1" customWidth="1"/>
  </cols>
  <sheetData>
    <row r="1" spans="1:20" s="1" customFormat="1" x14ac:dyDescent="0.2">
      <c r="A1" s="1" t="s">
        <v>1404</v>
      </c>
      <c r="B1" s="1" t="s">
        <v>1402</v>
      </c>
      <c r="C1" s="1" t="s">
        <v>974</v>
      </c>
      <c r="D1" s="1" t="s">
        <v>980</v>
      </c>
      <c r="E1" s="50" t="s">
        <v>1364</v>
      </c>
      <c r="F1" s="45" t="s">
        <v>1365</v>
      </c>
      <c r="G1" s="1" t="s">
        <v>1366</v>
      </c>
      <c r="H1" s="1" t="s">
        <v>1367</v>
      </c>
      <c r="I1" s="1" t="s">
        <v>1368</v>
      </c>
      <c r="J1" s="1" t="s">
        <v>978</v>
      </c>
      <c r="K1" s="1" t="s">
        <v>1369</v>
      </c>
      <c r="L1" s="1" t="s">
        <v>975</v>
      </c>
      <c r="M1" s="1" t="s">
        <v>979</v>
      </c>
      <c r="N1" s="1" t="s">
        <v>969</v>
      </c>
      <c r="O1" s="1" t="s">
        <v>1444</v>
      </c>
      <c r="P1" s="1" t="s">
        <v>1445</v>
      </c>
      <c r="Q1" s="1" t="s">
        <v>976</v>
      </c>
      <c r="R1" s="1" t="s">
        <v>1510</v>
      </c>
      <c r="T1" s="45">
        <v>43236</v>
      </c>
    </row>
    <row r="2" spans="1:20" x14ac:dyDescent="0.2">
      <c r="A2" t="str">
        <f>B2&amp;"."&amp;D2&amp;"."&amp;C2</f>
        <v>ICE.2018.5</v>
      </c>
      <c r="B2" t="s">
        <v>1403</v>
      </c>
      <c r="C2" t="str">
        <f>TEXT(DATEVALUE("1"&amp;E2),"M")</f>
        <v>5</v>
      </c>
      <c r="D2" t="str">
        <f>TEXT(DATEVALUE("1"&amp;E2),"YYYY")</f>
        <v>2018</v>
      </c>
      <c r="E2" s="51" t="s">
        <v>1370</v>
      </c>
      <c r="J2">
        <v>23.55</v>
      </c>
      <c r="K2">
        <v>-0.15</v>
      </c>
      <c r="L2">
        <v>0</v>
      </c>
      <c r="M2">
        <v>2475</v>
      </c>
      <c r="N2">
        <v>0</v>
      </c>
      <c r="O2">
        <v>0</v>
      </c>
      <c r="P2">
        <v>0</v>
      </c>
      <c r="Q2">
        <v>0</v>
      </c>
      <c r="R2">
        <v>0</v>
      </c>
    </row>
    <row r="3" spans="1:20" x14ac:dyDescent="0.2">
      <c r="A3" t="str">
        <f t="shared" ref="A3:A66" si="0">B3&amp;"."&amp;D3&amp;"."&amp;C3</f>
        <v>ICE.2018.6</v>
      </c>
      <c r="B3" t="s">
        <v>1403</v>
      </c>
      <c r="C3" t="str">
        <f t="shared" ref="C3:C66" si="1">TEXT(DATEVALUE("1"&amp;E3),"M")</f>
        <v>6</v>
      </c>
      <c r="D3" t="str">
        <f t="shared" ref="D3:D66" si="2">TEXT(DATEVALUE("1"&amp;E3),"YYYY")</f>
        <v>2018</v>
      </c>
      <c r="E3" s="51" t="s">
        <v>1371</v>
      </c>
      <c r="J3">
        <v>32.35</v>
      </c>
      <c r="K3">
        <v>-0.9</v>
      </c>
      <c r="L3">
        <v>0</v>
      </c>
      <c r="M3">
        <v>2275</v>
      </c>
      <c r="N3">
        <v>0</v>
      </c>
      <c r="O3">
        <v>0</v>
      </c>
      <c r="P3">
        <v>0</v>
      </c>
      <c r="Q3">
        <v>0</v>
      </c>
      <c r="R3">
        <v>0</v>
      </c>
    </row>
    <row r="4" spans="1:20" x14ac:dyDescent="0.2">
      <c r="A4" t="str">
        <f t="shared" si="0"/>
        <v>ICE.2018.7</v>
      </c>
      <c r="B4" t="s">
        <v>1403</v>
      </c>
      <c r="C4" t="str">
        <f t="shared" si="1"/>
        <v>7</v>
      </c>
      <c r="D4" t="str">
        <f t="shared" si="2"/>
        <v>2018</v>
      </c>
      <c r="E4" s="51" t="s">
        <v>1372</v>
      </c>
      <c r="J4">
        <v>46.8</v>
      </c>
      <c r="K4">
        <v>-0.35</v>
      </c>
      <c r="L4">
        <v>0</v>
      </c>
      <c r="M4">
        <v>2990</v>
      </c>
      <c r="N4">
        <v>0</v>
      </c>
      <c r="O4">
        <v>0</v>
      </c>
      <c r="P4">
        <v>0</v>
      </c>
      <c r="Q4">
        <v>0</v>
      </c>
      <c r="R4">
        <v>0</v>
      </c>
    </row>
    <row r="5" spans="1:20" x14ac:dyDescent="0.2">
      <c r="A5" t="str">
        <f t="shared" si="0"/>
        <v>ICE.2018.8</v>
      </c>
      <c r="B5" t="s">
        <v>1403</v>
      </c>
      <c r="C5" t="str">
        <f t="shared" si="1"/>
        <v>8</v>
      </c>
      <c r="D5" t="str">
        <f t="shared" si="2"/>
        <v>2018</v>
      </c>
      <c r="E5" s="51" t="s">
        <v>1373</v>
      </c>
      <c r="J5">
        <v>53.55</v>
      </c>
      <c r="K5">
        <v>-0.4</v>
      </c>
      <c r="L5">
        <v>0</v>
      </c>
      <c r="M5">
        <v>3065</v>
      </c>
      <c r="N5">
        <v>0</v>
      </c>
      <c r="O5">
        <v>0</v>
      </c>
      <c r="P5">
        <v>0</v>
      </c>
      <c r="Q5">
        <v>0</v>
      </c>
      <c r="R5">
        <v>0</v>
      </c>
    </row>
    <row r="6" spans="1:20" x14ac:dyDescent="0.2">
      <c r="A6" t="str">
        <f t="shared" si="0"/>
        <v>ICE.2018.9</v>
      </c>
      <c r="B6" t="s">
        <v>1403</v>
      </c>
      <c r="C6" t="str">
        <f t="shared" si="1"/>
        <v>9</v>
      </c>
      <c r="D6" t="str">
        <f t="shared" si="2"/>
        <v>2018</v>
      </c>
      <c r="E6" s="51" t="s">
        <v>1374</v>
      </c>
      <c r="J6">
        <v>47.35</v>
      </c>
      <c r="K6">
        <v>0</v>
      </c>
      <c r="L6">
        <v>0</v>
      </c>
      <c r="M6">
        <v>3040</v>
      </c>
      <c r="N6">
        <v>0</v>
      </c>
      <c r="O6">
        <v>0</v>
      </c>
      <c r="P6">
        <v>0</v>
      </c>
      <c r="Q6">
        <v>0</v>
      </c>
      <c r="R6">
        <v>0</v>
      </c>
    </row>
    <row r="7" spans="1:20" x14ac:dyDescent="0.2">
      <c r="A7" t="str">
        <f t="shared" si="0"/>
        <v>ICE.2018.10</v>
      </c>
      <c r="B7" t="s">
        <v>1403</v>
      </c>
      <c r="C7" t="str">
        <f t="shared" si="1"/>
        <v>10</v>
      </c>
      <c r="D7" t="str">
        <f t="shared" si="2"/>
        <v>2018</v>
      </c>
      <c r="E7" s="51" t="s">
        <v>1375</v>
      </c>
      <c r="J7">
        <v>41.6</v>
      </c>
      <c r="K7">
        <v>-0.25</v>
      </c>
      <c r="L7">
        <v>0</v>
      </c>
      <c r="M7">
        <v>2890</v>
      </c>
      <c r="N7">
        <v>0</v>
      </c>
      <c r="O7">
        <v>0</v>
      </c>
      <c r="P7">
        <v>0</v>
      </c>
      <c r="Q7">
        <v>0</v>
      </c>
      <c r="R7">
        <v>0</v>
      </c>
    </row>
    <row r="8" spans="1:20" x14ac:dyDescent="0.2">
      <c r="A8" t="str">
        <f t="shared" si="0"/>
        <v>ICE.2018.11</v>
      </c>
      <c r="B8" t="s">
        <v>1403</v>
      </c>
      <c r="C8" t="str">
        <f t="shared" si="1"/>
        <v>11</v>
      </c>
      <c r="D8" t="str">
        <f t="shared" si="2"/>
        <v>2018</v>
      </c>
      <c r="E8" s="51" t="s">
        <v>1376</v>
      </c>
      <c r="J8">
        <v>37.35</v>
      </c>
      <c r="K8">
        <v>0</v>
      </c>
      <c r="L8">
        <v>0</v>
      </c>
      <c r="M8">
        <v>2840</v>
      </c>
      <c r="N8">
        <v>0</v>
      </c>
      <c r="O8">
        <v>0</v>
      </c>
      <c r="P8">
        <v>0</v>
      </c>
      <c r="Q8">
        <v>0</v>
      </c>
      <c r="R8">
        <v>0</v>
      </c>
    </row>
    <row r="9" spans="1:20" x14ac:dyDescent="0.2">
      <c r="A9" t="str">
        <f t="shared" si="0"/>
        <v>ICE.2018.12</v>
      </c>
      <c r="B9" t="s">
        <v>1403</v>
      </c>
      <c r="C9" t="str">
        <f t="shared" si="1"/>
        <v>12</v>
      </c>
      <c r="D9" t="str">
        <f t="shared" si="2"/>
        <v>2018</v>
      </c>
      <c r="E9" s="51" t="s">
        <v>1377</v>
      </c>
      <c r="J9">
        <v>44.65</v>
      </c>
      <c r="K9">
        <v>0</v>
      </c>
      <c r="L9">
        <v>0</v>
      </c>
      <c r="M9">
        <v>2990</v>
      </c>
      <c r="N9">
        <v>0</v>
      </c>
      <c r="O9">
        <v>0</v>
      </c>
      <c r="P9">
        <v>0</v>
      </c>
      <c r="Q9">
        <v>0</v>
      </c>
      <c r="R9">
        <v>0</v>
      </c>
    </row>
    <row r="10" spans="1:20" x14ac:dyDescent="0.2">
      <c r="A10" t="str">
        <f t="shared" si="0"/>
        <v>ICE.2019.1</v>
      </c>
      <c r="B10" t="s">
        <v>1403</v>
      </c>
      <c r="C10" t="str">
        <f t="shared" si="1"/>
        <v>1</v>
      </c>
      <c r="D10" t="str">
        <f t="shared" si="2"/>
        <v>2019</v>
      </c>
      <c r="E10" s="51" t="s">
        <v>1378</v>
      </c>
      <c r="J10">
        <v>40.35</v>
      </c>
      <c r="K10">
        <v>0.3</v>
      </c>
      <c r="L10">
        <v>150</v>
      </c>
      <c r="M10">
        <v>1870</v>
      </c>
      <c r="N10">
        <v>60</v>
      </c>
      <c r="O10">
        <v>0</v>
      </c>
      <c r="P10">
        <v>0</v>
      </c>
      <c r="Q10">
        <v>150</v>
      </c>
      <c r="R10">
        <v>0</v>
      </c>
    </row>
    <row r="11" spans="1:20" x14ac:dyDescent="0.2">
      <c r="A11" t="str">
        <f t="shared" si="0"/>
        <v>ICE.2019.2</v>
      </c>
      <c r="B11" t="s">
        <v>1403</v>
      </c>
      <c r="C11" t="str">
        <f t="shared" si="1"/>
        <v>2</v>
      </c>
      <c r="D11" t="str">
        <f t="shared" si="2"/>
        <v>2019</v>
      </c>
      <c r="E11" s="51" t="s">
        <v>1379</v>
      </c>
      <c r="J11">
        <v>37.950000000000003</v>
      </c>
      <c r="K11">
        <v>0.25</v>
      </c>
      <c r="L11">
        <v>150</v>
      </c>
      <c r="M11">
        <v>1870</v>
      </c>
      <c r="N11">
        <v>60</v>
      </c>
      <c r="O11">
        <v>0</v>
      </c>
      <c r="P11">
        <v>0</v>
      </c>
      <c r="Q11">
        <v>150</v>
      </c>
      <c r="R11">
        <v>0</v>
      </c>
    </row>
    <row r="12" spans="1:20" x14ac:dyDescent="0.2">
      <c r="A12" t="str">
        <f t="shared" si="0"/>
        <v>ICE.2019.3</v>
      </c>
      <c r="B12" t="s">
        <v>1403</v>
      </c>
      <c r="C12" t="str">
        <f t="shared" si="1"/>
        <v>3</v>
      </c>
      <c r="D12" t="str">
        <f t="shared" si="2"/>
        <v>2019</v>
      </c>
      <c r="E12" s="51" t="s">
        <v>1380</v>
      </c>
      <c r="J12">
        <v>32.799999999999997</v>
      </c>
      <c r="K12">
        <v>0.25</v>
      </c>
      <c r="L12">
        <v>150</v>
      </c>
      <c r="M12">
        <v>1870</v>
      </c>
      <c r="N12">
        <v>60</v>
      </c>
      <c r="O12">
        <v>0</v>
      </c>
      <c r="P12">
        <v>0</v>
      </c>
      <c r="Q12">
        <v>150</v>
      </c>
      <c r="R12">
        <v>0</v>
      </c>
    </row>
    <row r="13" spans="1:20" x14ac:dyDescent="0.2">
      <c r="A13" t="str">
        <f t="shared" si="0"/>
        <v>ICE.2019.4</v>
      </c>
      <c r="B13" t="s">
        <v>1403</v>
      </c>
      <c r="C13" t="str">
        <f t="shared" si="1"/>
        <v>4</v>
      </c>
      <c r="D13" t="str">
        <f t="shared" si="2"/>
        <v>2019</v>
      </c>
      <c r="E13" s="51" t="s">
        <v>1381</v>
      </c>
      <c r="J13">
        <v>24.9</v>
      </c>
      <c r="K13">
        <v>0.05</v>
      </c>
      <c r="L13">
        <v>0</v>
      </c>
      <c r="M13">
        <v>1460</v>
      </c>
      <c r="N13">
        <v>0</v>
      </c>
      <c r="O13">
        <v>0</v>
      </c>
      <c r="P13">
        <v>0</v>
      </c>
      <c r="Q13">
        <v>0</v>
      </c>
      <c r="R13">
        <v>0</v>
      </c>
    </row>
    <row r="14" spans="1:20" x14ac:dyDescent="0.2">
      <c r="A14" t="str">
        <f t="shared" si="0"/>
        <v>ICE.2019.5</v>
      </c>
      <c r="B14" t="s">
        <v>1403</v>
      </c>
      <c r="C14" t="str">
        <f t="shared" si="1"/>
        <v>5</v>
      </c>
      <c r="D14" t="str">
        <f t="shared" si="2"/>
        <v>2019</v>
      </c>
      <c r="E14" s="51" t="s">
        <v>1382</v>
      </c>
      <c r="J14">
        <v>26.35</v>
      </c>
      <c r="K14">
        <v>0.05</v>
      </c>
      <c r="L14">
        <v>0</v>
      </c>
      <c r="M14">
        <v>1460</v>
      </c>
      <c r="N14">
        <v>0</v>
      </c>
      <c r="O14">
        <v>0</v>
      </c>
      <c r="P14">
        <v>0</v>
      </c>
      <c r="Q14">
        <v>0</v>
      </c>
      <c r="R14">
        <v>0</v>
      </c>
    </row>
    <row r="15" spans="1:20" x14ac:dyDescent="0.2">
      <c r="A15" t="str">
        <f t="shared" si="0"/>
        <v>ICE.2019.6</v>
      </c>
      <c r="B15" t="s">
        <v>1403</v>
      </c>
      <c r="C15" t="str">
        <f t="shared" si="1"/>
        <v>6</v>
      </c>
      <c r="D15" t="str">
        <f t="shared" si="2"/>
        <v>2019</v>
      </c>
      <c r="E15" s="51" t="s">
        <v>1383</v>
      </c>
      <c r="J15">
        <v>31.75</v>
      </c>
      <c r="K15">
        <v>0.05</v>
      </c>
      <c r="L15">
        <v>0</v>
      </c>
      <c r="M15">
        <v>1460</v>
      </c>
      <c r="N15">
        <v>0</v>
      </c>
      <c r="O15">
        <v>0</v>
      </c>
      <c r="P15">
        <v>0</v>
      </c>
      <c r="Q15">
        <v>0</v>
      </c>
      <c r="R15">
        <v>0</v>
      </c>
    </row>
    <row r="16" spans="1:20" x14ac:dyDescent="0.2">
      <c r="A16" t="str">
        <f t="shared" si="0"/>
        <v>ICE.2019.7</v>
      </c>
      <c r="B16" t="s">
        <v>1403</v>
      </c>
      <c r="C16" t="str">
        <f t="shared" si="1"/>
        <v>7</v>
      </c>
      <c r="D16" t="str">
        <f t="shared" si="2"/>
        <v>2019</v>
      </c>
      <c r="E16" s="51" t="s">
        <v>1384</v>
      </c>
      <c r="J16">
        <v>41.5</v>
      </c>
      <c r="K16">
        <v>0.3</v>
      </c>
      <c r="L16">
        <v>0</v>
      </c>
      <c r="M16">
        <v>1660</v>
      </c>
      <c r="N16">
        <v>0</v>
      </c>
      <c r="O16">
        <v>0</v>
      </c>
      <c r="P16">
        <v>0</v>
      </c>
      <c r="Q16">
        <v>0</v>
      </c>
      <c r="R16">
        <v>0</v>
      </c>
    </row>
    <row r="17" spans="1:18" x14ac:dyDescent="0.2">
      <c r="A17" t="str">
        <f t="shared" si="0"/>
        <v>ICE.2019.8</v>
      </c>
      <c r="B17" t="s">
        <v>1403</v>
      </c>
      <c r="C17" t="str">
        <f t="shared" si="1"/>
        <v>8</v>
      </c>
      <c r="D17" t="str">
        <f t="shared" si="2"/>
        <v>2019</v>
      </c>
      <c r="E17" s="51" t="s">
        <v>1385</v>
      </c>
      <c r="J17">
        <v>44.45</v>
      </c>
      <c r="K17">
        <v>0.35</v>
      </c>
      <c r="L17">
        <v>0</v>
      </c>
      <c r="M17">
        <v>1660</v>
      </c>
      <c r="N17">
        <v>0</v>
      </c>
      <c r="O17">
        <v>0</v>
      </c>
      <c r="P17">
        <v>0</v>
      </c>
      <c r="Q17">
        <v>0</v>
      </c>
      <c r="R17">
        <v>0</v>
      </c>
    </row>
    <row r="18" spans="1:18" x14ac:dyDescent="0.2">
      <c r="A18" t="str">
        <f t="shared" si="0"/>
        <v>ICE.2019.9</v>
      </c>
      <c r="B18" t="s">
        <v>1403</v>
      </c>
      <c r="C18" t="str">
        <f t="shared" si="1"/>
        <v>9</v>
      </c>
      <c r="D18" t="str">
        <f t="shared" si="2"/>
        <v>2019</v>
      </c>
      <c r="E18" s="51" t="s">
        <v>1386</v>
      </c>
      <c r="J18">
        <v>41.85</v>
      </c>
      <c r="K18">
        <v>0.3</v>
      </c>
      <c r="L18">
        <v>0</v>
      </c>
      <c r="M18">
        <v>1660</v>
      </c>
      <c r="N18">
        <v>0</v>
      </c>
      <c r="O18">
        <v>0</v>
      </c>
      <c r="P18">
        <v>0</v>
      </c>
      <c r="Q18">
        <v>0</v>
      </c>
      <c r="R18">
        <v>0</v>
      </c>
    </row>
    <row r="19" spans="1:18" x14ac:dyDescent="0.2">
      <c r="A19" t="str">
        <f t="shared" si="0"/>
        <v>ICE.2019.10</v>
      </c>
      <c r="B19" t="s">
        <v>1403</v>
      </c>
      <c r="C19" t="str">
        <f t="shared" si="1"/>
        <v>10</v>
      </c>
      <c r="D19" t="str">
        <f t="shared" si="2"/>
        <v>2019</v>
      </c>
      <c r="E19" s="51" t="s">
        <v>1387</v>
      </c>
      <c r="J19">
        <v>35.9</v>
      </c>
      <c r="K19">
        <v>0.2</v>
      </c>
      <c r="L19">
        <v>0</v>
      </c>
      <c r="M19">
        <v>1560</v>
      </c>
      <c r="N19">
        <v>0</v>
      </c>
      <c r="O19">
        <v>0</v>
      </c>
      <c r="P19">
        <v>0</v>
      </c>
      <c r="Q19">
        <v>0</v>
      </c>
      <c r="R19">
        <v>0</v>
      </c>
    </row>
    <row r="20" spans="1:18" x14ac:dyDescent="0.2">
      <c r="A20" t="str">
        <f t="shared" si="0"/>
        <v>ICE.2019.11</v>
      </c>
      <c r="B20" t="s">
        <v>1403</v>
      </c>
      <c r="C20" t="str">
        <f t="shared" si="1"/>
        <v>11</v>
      </c>
      <c r="D20" t="str">
        <f t="shared" si="2"/>
        <v>2019</v>
      </c>
      <c r="E20" s="51" t="s">
        <v>1388</v>
      </c>
      <c r="J20">
        <v>35.4</v>
      </c>
      <c r="K20">
        <v>0.2</v>
      </c>
      <c r="L20">
        <v>0</v>
      </c>
      <c r="M20">
        <v>1560</v>
      </c>
      <c r="N20">
        <v>0</v>
      </c>
      <c r="O20">
        <v>0</v>
      </c>
      <c r="P20">
        <v>0</v>
      </c>
      <c r="Q20">
        <v>0</v>
      </c>
      <c r="R20">
        <v>0</v>
      </c>
    </row>
    <row r="21" spans="1:18" x14ac:dyDescent="0.2">
      <c r="A21" t="str">
        <f t="shared" si="0"/>
        <v>ICE.2019.12</v>
      </c>
      <c r="B21" t="s">
        <v>1403</v>
      </c>
      <c r="C21" t="str">
        <f t="shared" si="1"/>
        <v>12</v>
      </c>
      <c r="D21" t="str">
        <f t="shared" si="2"/>
        <v>2019</v>
      </c>
      <c r="E21" s="51" t="s">
        <v>1389</v>
      </c>
      <c r="J21">
        <v>37.15</v>
      </c>
      <c r="K21">
        <v>0.2</v>
      </c>
      <c r="L21">
        <v>0</v>
      </c>
      <c r="M21">
        <v>1560</v>
      </c>
      <c r="N21">
        <v>0</v>
      </c>
      <c r="O21">
        <v>0</v>
      </c>
      <c r="P21">
        <v>0</v>
      </c>
      <c r="Q21">
        <v>0</v>
      </c>
      <c r="R21">
        <v>0</v>
      </c>
    </row>
    <row r="22" spans="1:18" x14ac:dyDescent="0.2">
      <c r="A22" t="str">
        <f t="shared" si="0"/>
        <v>ICE.2020.1</v>
      </c>
      <c r="B22" t="s">
        <v>1403</v>
      </c>
      <c r="C22" t="str">
        <f t="shared" si="1"/>
        <v>1</v>
      </c>
      <c r="D22" t="str">
        <f t="shared" si="2"/>
        <v>2020</v>
      </c>
      <c r="E22" s="51" t="s">
        <v>1390</v>
      </c>
      <c r="J22">
        <v>40.9</v>
      </c>
      <c r="K22">
        <v>0.35</v>
      </c>
      <c r="L22">
        <v>50</v>
      </c>
      <c r="M22">
        <v>825</v>
      </c>
      <c r="N22">
        <v>50</v>
      </c>
      <c r="O22">
        <v>0</v>
      </c>
      <c r="P22">
        <v>0</v>
      </c>
      <c r="Q22">
        <v>50</v>
      </c>
      <c r="R22">
        <v>0</v>
      </c>
    </row>
    <row r="23" spans="1:18" x14ac:dyDescent="0.2">
      <c r="A23" t="str">
        <f t="shared" si="0"/>
        <v>ICE.2020.2</v>
      </c>
      <c r="B23" t="s">
        <v>1403</v>
      </c>
      <c r="C23" t="str">
        <f t="shared" si="1"/>
        <v>2</v>
      </c>
      <c r="D23" t="str">
        <f t="shared" si="2"/>
        <v>2020</v>
      </c>
      <c r="E23" s="51" t="s">
        <v>1391</v>
      </c>
      <c r="J23">
        <v>39.1</v>
      </c>
      <c r="K23">
        <v>0.3</v>
      </c>
      <c r="L23">
        <v>50</v>
      </c>
      <c r="M23">
        <v>825</v>
      </c>
      <c r="N23">
        <v>50</v>
      </c>
      <c r="O23">
        <v>0</v>
      </c>
      <c r="P23">
        <v>0</v>
      </c>
      <c r="Q23">
        <v>50</v>
      </c>
      <c r="R23">
        <v>0</v>
      </c>
    </row>
    <row r="24" spans="1:18" x14ac:dyDescent="0.2">
      <c r="A24" t="str">
        <f t="shared" si="0"/>
        <v>ICE.2020.3</v>
      </c>
      <c r="B24" t="s">
        <v>1403</v>
      </c>
      <c r="C24" t="str">
        <f t="shared" si="1"/>
        <v>3</v>
      </c>
      <c r="D24" t="str">
        <f t="shared" si="2"/>
        <v>2020</v>
      </c>
      <c r="E24" s="51" t="s">
        <v>1392</v>
      </c>
      <c r="J24">
        <v>34.9</v>
      </c>
      <c r="K24">
        <v>0.3</v>
      </c>
      <c r="L24">
        <v>50</v>
      </c>
      <c r="M24">
        <v>825</v>
      </c>
      <c r="N24">
        <v>50</v>
      </c>
      <c r="O24">
        <v>0</v>
      </c>
      <c r="P24">
        <v>0</v>
      </c>
      <c r="Q24">
        <v>50</v>
      </c>
      <c r="R24">
        <v>0</v>
      </c>
    </row>
    <row r="25" spans="1:18" x14ac:dyDescent="0.2">
      <c r="A25" t="str">
        <f t="shared" si="0"/>
        <v>ICE.2020.4</v>
      </c>
      <c r="B25" t="s">
        <v>1403</v>
      </c>
      <c r="C25" t="str">
        <f t="shared" si="1"/>
        <v>4</v>
      </c>
      <c r="D25" t="str">
        <f t="shared" si="2"/>
        <v>2020</v>
      </c>
      <c r="E25" s="51" t="s">
        <v>1393</v>
      </c>
      <c r="J25">
        <v>30.65</v>
      </c>
      <c r="K25">
        <v>0.25</v>
      </c>
      <c r="L25">
        <v>50</v>
      </c>
      <c r="M25">
        <v>800</v>
      </c>
      <c r="N25">
        <v>50</v>
      </c>
      <c r="O25">
        <v>0</v>
      </c>
      <c r="P25">
        <v>0</v>
      </c>
      <c r="Q25">
        <v>50</v>
      </c>
      <c r="R25">
        <v>0</v>
      </c>
    </row>
    <row r="26" spans="1:18" x14ac:dyDescent="0.2">
      <c r="A26" t="str">
        <f t="shared" si="0"/>
        <v>ICE.2020.5</v>
      </c>
      <c r="B26" t="s">
        <v>1403</v>
      </c>
      <c r="C26" t="str">
        <f t="shared" si="1"/>
        <v>5</v>
      </c>
      <c r="D26" t="str">
        <f t="shared" si="2"/>
        <v>2020</v>
      </c>
      <c r="E26" s="51" t="s">
        <v>1394</v>
      </c>
      <c r="J26">
        <v>30.7</v>
      </c>
      <c r="K26">
        <v>0.25</v>
      </c>
      <c r="L26">
        <v>50</v>
      </c>
      <c r="M26">
        <v>800</v>
      </c>
      <c r="N26">
        <v>50</v>
      </c>
      <c r="O26">
        <v>0</v>
      </c>
      <c r="P26">
        <v>0</v>
      </c>
      <c r="Q26">
        <v>50</v>
      </c>
      <c r="R26">
        <v>0</v>
      </c>
    </row>
    <row r="27" spans="1:18" x14ac:dyDescent="0.2">
      <c r="A27" t="str">
        <f t="shared" si="0"/>
        <v>ICE.2020.6</v>
      </c>
      <c r="B27" t="s">
        <v>1403</v>
      </c>
      <c r="C27" t="str">
        <f t="shared" si="1"/>
        <v>6</v>
      </c>
      <c r="D27" t="str">
        <f t="shared" si="2"/>
        <v>2020</v>
      </c>
      <c r="E27" s="51" t="s">
        <v>1395</v>
      </c>
      <c r="J27">
        <v>32.950000000000003</v>
      </c>
      <c r="K27">
        <v>0.25</v>
      </c>
      <c r="L27">
        <v>50</v>
      </c>
      <c r="M27">
        <v>800</v>
      </c>
      <c r="N27">
        <v>50</v>
      </c>
      <c r="O27">
        <v>0</v>
      </c>
      <c r="P27">
        <v>0</v>
      </c>
      <c r="Q27">
        <v>50</v>
      </c>
      <c r="R27">
        <v>0</v>
      </c>
    </row>
    <row r="28" spans="1:18" x14ac:dyDescent="0.2">
      <c r="A28" t="str">
        <f t="shared" si="0"/>
        <v>ICE.2020.7</v>
      </c>
      <c r="B28" t="s">
        <v>1403</v>
      </c>
      <c r="C28" t="str">
        <f t="shared" si="1"/>
        <v>7</v>
      </c>
      <c r="D28" t="str">
        <f t="shared" si="2"/>
        <v>2020</v>
      </c>
      <c r="E28" s="51" t="s">
        <v>1396</v>
      </c>
      <c r="J28">
        <v>40.950000000000003</v>
      </c>
      <c r="K28">
        <v>0.35</v>
      </c>
      <c r="L28">
        <v>50</v>
      </c>
      <c r="M28">
        <v>800</v>
      </c>
      <c r="N28">
        <v>50</v>
      </c>
      <c r="O28">
        <v>0</v>
      </c>
      <c r="P28">
        <v>0</v>
      </c>
      <c r="Q28">
        <v>50</v>
      </c>
      <c r="R28">
        <v>0</v>
      </c>
    </row>
    <row r="29" spans="1:18" x14ac:dyDescent="0.2">
      <c r="A29" t="str">
        <f t="shared" si="0"/>
        <v>ICE.2020.8</v>
      </c>
      <c r="B29" t="s">
        <v>1403</v>
      </c>
      <c r="C29" t="str">
        <f t="shared" si="1"/>
        <v>8</v>
      </c>
      <c r="D29" t="str">
        <f t="shared" si="2"/>
        <v>2020</v>
      </c>
      <c r="E29" s="51" t="s">
        <v>1397</v>
      </c>
      <c r="J29">
        <v>43.65</v>
      </c>
      <c r="K29">
        <v>0.35</v>
      </c>
      <c r="L29">
        <v>50</v>
      </c>
      <c r="M29">
        <v>800</v>
      </c>
      <c r="N29">
        <v>50</v>
      </c>
      <c r="O29">
        <v>0</v>
      </c>
      <c r="P29">
        <v>0</v>
      </c>
      <c r="Q29">
        <v>50</v>
      </c>
      <c r="R29">
        <v>0</v>
      </c>
    </row>
    <row r="30" spans="1:18" x14ac:dyDescent="0.2">
      <c r="A30" t="str">
        <f t="shared" si="0"/>
        <v>ICE.2020.9</v>
      </c>
      <c r="B30" t="s">
        <v>1403</v>
      </c>
      <c r="C30" t="str">
        <f t="shared" si="1"/>
        <v>9</v>
      </c>
      <c r="D30" t="str">
        <f t="shared" si="2"/>
        <v>2020</v>
      </c>
      <c r="E30" s="51" t="s">
        <v>1398</v>
      </c>
      <c r="J30">
        <v>41.35</v>
      </c>
      <c r="K30">
        <v>0.35</v>
      </c>
      <c r="L30">
        <v>50</v>
      </c>
      <c r="M30">
        <v>800</v>
      </c>
      <c r="N30">
        <v>50</v>
      </c>
      <c r="O30">
        <v>0</v>
      </c>
      <c r="P30">
        <v>0</v>
      </c>
      <c r="Q30">
        <v>50</v>
      </c>
      <c r="R30">
        <v>0</v>
      </c>
    </row>
    <row r="31" spans="1:18" x14ac:dyDescent="0.2">
      <c r="A31" t="str">
        <f t="shared" si="0"/>
        <v>ICE.2020.10</v>
      </c>
      <c r="B31" t="s">
        <v>1403</v>
      </c>
      <c r="C31" t="str">
        <f t="shared" si="1"/>
        <v>10</v>
      </c>
      <c r="D31" t="str">
        <f t="shared" si="2"/>
        <v>2020</v>
      </c>
      <c r="E31" s="51" t="s">
        <v>1399</v>
      </c>
      <c r="J31">
        <v>40.299999999999997</v>
      </c>
      <c r="K31">
        <v>0.35</v>
      </c>
      <c r="L31">
        <v>50</v>
      </c>
      <c r="M31">
        <v>800</v>
      </c>
      <c r="N31">
        <v>50</v>
      </c>
      <c r="O31">
        <v>0</v>
      </c>
      <c r="P31">
        <v>0</v>
      </c>
      <c r="Q31">
        <v>50</v>
      </c>
      <c r="R31">
        <v>0</v>
      </c>
    </row>
    <row r="32" spans="1:18" x14ac:dyDescent="0.2">
      <c r="A32" t="str">
        <f t="shared" si="0"/>
        <v>ICE.2020.11</v>
      </c>
      <c r="B32" t="s">
        <v>1403</v>
      </c>
      <c r="C32" t="str">
        <f t="shared" si="1"/>
        <v>11</v>
      </c>
      <c r="D32" t="str">
        <f t="shared" si="2"/>
        <v>2020</v>
      </c>
      <c r="E32" s="51" t="s">
        <v>1400</v>
      </c>
      <c r="J32">
        <v>40.75</v>
      </c>
      <c r="K32">
        <v>0.35</v>
      </c>
      <c r="L32">
        <v>50</v>
      </c>
      <c r="M32">
        <v>800</v>
      </c>
      <c r="N32">
        <v>50</v>
      </c>
      <c r="O32">
        <v>0</v>
      </c>
      <c r="P32">
        <v>0</v>
      </c>
      <c r="Q32">
        <v>50</v>
      </c>
      <c r="R32">
        <v>0</v>
      </c>
    </row>
    <row r="33" spans="1:18" x14ac:dyDescent="0.2">
      <c r="A33" t="str">
        <f t="shared" si="0"/>
        <v>ICE.2020.12</v>
      </c>
      <c r="B33" t="s">
        <v>1403</v>
      </c>
      <c r="C33" t="str">
        <f t="shared" si="1"/>
        <v>12</v>
      </c>
      <c r="D33" t="str">
        <f t="shared" si="2"/>
        <v>2020</v>
      </c>
      <c r="E33" s="51" t="s">
        <v>1401</v>
      </c>
      <c r="J33">
        <v>43.45</v>
      </c>
      <c r="K33">
        <v>0.35</v>
      </c>
      <c r="L33">
        <v>50</v>
      </c>
      <c r="M33">
        <v>800</v>
      </c>
      <c r="N33">
        <v>50</v>
      </c>
      <c r="O33">
        <v>0</v>
      </c>
      <c r="P33">
        <v>0</v>
      </c>
      <c r="Q33">
        <v>50</v>
      </c>
      <c r="R33">
        <v>0</v>
      </c>
    </row>
    <row r="34" spans="1:18" x14ac:dyDescent="0.2">
      <c r="A34" t="str">
        <f t="shared" si="0"/>
        <v>ICE.2021.1</v>
      </c>
      <c r="B34" t="s">
        <v>1403</v>
      </c>
      <c r="C34" t="str">
        <f t="shared" si="1"/>
        <v>1</v>
      </c>
      <c r="D34" t="str">
        <f t="shared" si="2"/>
        <v>2021</v>
      </c>
      <c r="E34" s="51" t="s">
        <v>1405</v>
      </c>
      <c r="J34">
        <v>46.8</v>
      </c>
      <c r="K34">
        <v>0.2</v>
      </c>
      <c r="L34">
        <v>0</v>
      </c>
      <c r="M34">
        <v>75</v>
      </c>
      <c r="N34">
        <v>0</v>
      </c>
      <c r="O34">
        <v>0</v>
      </c>
      <c r="P34">
        <v>0</v>
      </c>
      <c r="Q34">
        <v>0</v>
      </c>
      <c r="R34">
        <v>0</v>
      </c>
    </row>
    <row r="35" spans="1:18" x14ac:dyDescent="0.2">
      <c r="A35" t="str">
        <f t="shared" si="0"/>
        <v>ICE.2021.2</v>
      </c>
      <c r="B35" t="s">
        <v>1403</v>
      </c>
      <c r="C35" t="str">
        <f t="shared" si="1"/>
        <v>2</v>
      </c>
      <c r="D35" t="str">
        <f t="shared" si="2"/>
        <v>2021</v>
      </c>
      <c r="E35" s="51" t="s">
        <v>1406</v>
      </c>
      <c r="J35">
        <v>44.95</v>
      </c>
      <c r="K35">
        <v>0.15</v>
      </c>
      <c r="L35">
        <v>0</v>
      </c>
      <c r="M35">
        <v>75</v>
      </c>
      <c r="N35">
        <v>0</v>
      </c>
      <c r="O35">
        <v>0</v>
      </c>
      <c r="P35">
        <v>0</v>
      </c>
      <c r="Q35">
        <v>0</v>
      </c>
      <c r="R35">
        <v>0</v>
      </c>
    </row>
    <row r="36" spans="1:18" x14ac:dyDescent="0.2">
      <c r="A36" t="str">
        <f t="shared" si="0"/>
        <v>ICE.2021.3</v>
      </c>
      <c r="B36" t="s">
        <v>1403</v>
      </c>
      <c r="C36" t="str">
        <f t="shared" si="1"/>
        <v>3</v>
      </c>
      <c r="D36" t="str">
        <f t="shared" si="2"/>
        <v>2021</v>
      </c>
      <c r="E36" s="51" t="s">
        <v>1407</v>
      </c>
      <c r="J36">
        <v>40.200000000000003</v>
      </c>
      <c r="K36">
        <v>0.15</v>
      </c>
      <c r="L36">
        <v>0</v>
      </c>
      <c r="M36">
        <v>75</v>
      </c>
      <c r="N36">
        <v>0</v>
      </c>
      <c r="O36">
        <v>0</v>
      </c>
      <c r="P36">
        <v>0</v>
      </c>
      <c r="Q36">
        <v>0</v>
      </c>
      <c r="R36">
        <v>0</v>
      </c>
    </row>
    <row r="37" spans="1:18" x14ac:dyDescent="0.2">
      <c r="A37" t="str">
        <f t="shared" si="0"/>
        <v>ICE.2021.4</v>
      </c>
      <c r="B37" t="s">
        <v>1403</v>
      </c>
      <c r="C37" t="str">
        <f t="shared" si="1"/>
        <v>4</v>
      </c>
      <c r="D37" t="str">
        <f t="shared" si="2"/>
        <v>2021</v>
      </c>
      <c r="E37" s="51" t="s">
        <v>1408</v>
      </c>
      <c r="J37">
        <v>33.25</v>
      </c>
      <c r="K37">
        <v>0.15</v>
      </c>
      <c r="L37">
        <v>0</v>
      </c>
      <c r="M37">
        <v>75</v>
      </c>
      <c r="N37">
        <v>0</v>
      </c>
      <c r="O37">
        <v>0</v>
      </c>
      <c r="P37">
        <v>0</v>
      </c>
      <c r="Q37">
        <v>0</v>
      </c>
      <c r="R37">
        <v>0</v>
      </c>
    </row>
    <row r="38" spans="1:18" x14ac:dyDescent="0.2">
      <c r="A38" t="str">
        <f t="shared" si="0"/>
        <v>ICE.2021.5</v>
      </c>
      <c r="B38" t="s">
        <v>1403</v>
      </c>
      <c r="C38" t="str">
        <f t="shared" si="1"/>
        <v>5</v>
      </c>
      <c r="D38" t="str">
        <f t="shared" si="2"/>
        <v>2021</v>
      </c>
      <c r="E38" s="51" t="s">
        <v>1409</v>
      </c>
      <c r="J38">
        <v>33.450000000000003</v>
      </c>
      <c r="K38">
        <v>0.15</v>
      </c>
      <c r="L38">
        <v>0</v>
      </c>
      <c r="M38">
        <v>75</v>
      </c>
      <c r="N38">
        <v>0</v>
      </c>
      <c r="O38">
        <v>0</v>
      </c>
      <c r="P38">
        <v>0</v>
      </c>
      <c r="Q38">
        <v>0</v>
      </c>
      <c r="R38">
        <v>0</v>
      </c>
    </row>
    <row r="39" spans="1:18" x14ac:dyDescent="0.2">
      <c r="A39" t="str">
        <f t="shared" si="0"/>
        <v>ICE.2021.6</v>
      </c>
      <c r="B39" t="s">
        <v>1403</v>
      </c>
      <c r="C39" t="str">
        <f t="shared" si="1"/>
        <v>6</v>
      </c>
      <c r="D39" t="str">
        <f t="shared" si="2"/>
        <v>2021</v>
      </c>
      <c r="E39" s="51" t="s">
        <v>1410</v>
      </c>
      <c r="J39">
        <v>35.65</v>
      </c>
      <c r="K39">
        <v>0.15</v>
      </c>
      <c r="L39">
        <v>0</v>
      </c>
      <c r="M39">
        <v>75</v>
      </c>
      <c r="N39">
        <v>0</v>
      </c>
      <c r="O39">
        <v>0</v>
      </c>
      <c r="P39">
        <v>0</v>
      </c>
      <c r="Q39">
        <v>0</v>
      </c>
      <c r="R39">
        <v>0</v>
      </c>
    </row>
    <row r="40" spans="1:18" x14ac:dyDescent="0.2">
      <c r="A40" t="str">
        <f t="shared" si="0"/>
        <v>ICE.2021.7</v>
      </c>
      <c r="B40" t="s">
        <v>1403</v>
      </c>
      <c r="C40" t="str">
        <f t="shared" si="1"/>
        <v>7</v>
      </c>
      <c r="D40" t="str">
        <f t="shared" si="2"/>
        <v>2021</v>
      </c>
      <c r="E40" s="51" t="s">
        <v>1411</v>
      </c>
      <c r="J40">
        <v>42.45</v>
      </c>
      <c r="K40">
        <v>0.15</v>
      </c>
      <c r="L40">
        <v>0</v>
      </c>
      <c r="M40">
        <v>75</v>
      </c>
      <c r="N40">
        <v>0</v>
      </c>
      <c r="O40">
        <v>0</v>
      </c>
      <c r="P40">
        <v>0</v>
      </c>
      <c r="Q40">
        <v>0</v>
      </c>
      <c r="R40">
        <v>0</v>
      </c>
    </row>
    <row r="41" spans="1:18" x14ac:dyDescent="0.2">
      <c r="A41" t="str">
        <f t="shared" si="0"/>
        <v>ICE.2021.8</v>
      </c>
      <c r="B41" t="s">
        <v>1403</v>
      </c>
      <c r="C41" t="str">
        <f t="shared" si="1"/>
        <v>8</v>
      </c>
      <c r="D41" t="str">
        <f t="shared" si="2"/>
        <v>2021</v>
      </c>
      <c r="E41" s="51" t="s">
        <v>1412</v>
      </c>
      <c r="J41">
        <v>44.9</v>
      </c>
      <c r="K41">
        <v>0.15</v>
      </c>
      <c r="L41">
        <v>0</v>
      </c>
      <c r="M41">
        <v>75</v>
      </c>
      <c r="N41">
        <v>0</v>
      </c>
      <c r="O41">
        <v>0</v>
      </c>
      <c r="P41">
        <v>0</v>
      </c>
      <c r="Q41">
        <v>0</v>
      </c>
      <c r="R41">
        <v>0</v>
      </c>
    </row>
    <row r="42" spans="1:18" x14ac:dyDescent="0.2">
      <c r="A42" t="str">
        <f t="shared" si="0"/>
        <v>ICE.2021.9</v>
      </c>
      <c r="B42" t="s">
        <v>1403</v>
      </c>
      <c r="C42" t="str">
        <f t="shared" si="1"/>
        <v>9</v>
      </c>
      <c r="D42" t="str">
        <f t="shared" si="2"/>
        <v>2021</v>
      </c>
      <c r="E42" s="51" t="s">
        <v>1413</v>
      </c>
      <c r="J42">
        <v>42.9</v>
      </c>
      <c r="K42">
        <v>0.15</v>
      </c>
      <c r="L42">
        <v>0</v>
      </c>
      <c r="M42">
        <v>75</v>
      </c>
      <c r="N42">
        <v>0</v>
      </c>
      <c r="O42">
        <v>0</v>
      </c>
      <c r="P42">
        <v>0</v>
      </c>
      <c r="Q42">
        <v>0</v>
      </c>
      <c r="R42">
        <v>0</v>
      </c>
    </row>
    <row r="43" spans="1:18" x14ac:dyDescent="0.2">
      <c r="A43" t="str">
        <f t="shared" si="0"/>
        <v>ICE.2021.10</v>
      </c>
      <c r="B43" t="s">
        <v>1403</v>
      </c>
      <c r="C43" t="str">
        <f t="shared" si="1"/>
        <v>10</v>
      </c>
      <c r="D43" t="str">
        <f t="shared" si="2"/>
        <v>2021</v>
      </c>
      <c r="E43" s="51" t="s">
        <v>1414</v>
      </c>
      <c r="J43">
        <v>44.1</v>
      </c>
      <c r="K43">
        <v>0.15</v>
      </c>
      <c r="L43">
        <v>0</v>
      </c>
      <c r="M43">
        <v>75</v>
      </c>
      <c r="N43">
        <v>0</v>
      </c>
      <c r="O43">
        <v>0</v>
      </c>
      <c r="P43">
        <v>0</v>
      </c>
      <c r="Q43">
        <v>0</v>
      </c>
      <c r="R43">
        <v>0</v>
      </c>
    </row>
    <row r="44" spans="1:18" x14ac:dyDescent="0.2">
      <c r="A44" t="str">
        <f t="shared" si="0"/>
        <v>ICE.2021.11</v>
      </c>
      <c r="B44" t="s">
        <v>1403</v>
      </c>
      <c r="C44" t="str">
        <f t="shared" si="1"/>
        <v>11</v>
      </c>
      <c r="D44" t="str">
        <f t="shared" si="2"/>
        <v>2021</v>
      </c>
      <c r="E44" s="51" t="s">
        <v>1415</v>
      </c>
      <c r="J44">
        <v>44.45</v>
      </c>
      <c r="K44">
        <v>0.15</v>
      </c>
      <c r="L44">
        <v>0</v>
      </c>
      <c r="M44">
        <v>75</v>
      </c>
      <c r="N44">
        <v>0</v>
      </c>
      <c r="O44">
        <v>0</v>
      </c>
      <c r="P44">
        <v>0</v>
      </c>
      <c r="Q44">
        <v>0</v>
      </c>
      <c r="R44">
        <v>0</v>
      </c>
    </row>
    <row r="45" spans="1:18" x14ac:dyDescent="0.2">
      <c r="A45" t="str">
        <f t="shared" si="0"/>
        <v>ICE.2021.12</v>
      </c>
      <c r="B45" t="s">
        <v>1403</v>
      </c>
      <c r="C45" t="str">
        <f t="shared" si="1"/>
        <v>12</v>
      </c>
      <c r="D45" t="str">
        <f t="shared" si="2"/>
        <v>2021</v>
      </c>
      <c r="E45" s="51" t="s">
        <v>1416</v>
      </c>
      <c r="J45">
        <v>47.65</v>
      </c>
      <c r="K45">
        <v>0.2</v>
      </c>
      <c r="L45">
        <v>0</v>
      </c>
      <c r="M45">
        <v>75</v>
      </c>
      <c r="N45">
        <v>0</v>
      </c>
      <c r="O45">
        <v>0</v>
      </c>
      <c r="P45">
        <v>0</v>
      </c>
      <c r="Q45">
        <v>0</v>
      </c>
      <c r="R45">
        <v>0</v>
      </c>
    </row>
    <row r="46" spans="1:18" x14ac:dyDescent="0.2">
      <c r="A46" t="str">
        <f t="shared" si="0"/>
        <v>ICE.2022.1</v>
      </c>
      <c r="B46" t="s">
        <v>1403</v>
      </c>
      <c r="C46" t="str">
        <f t="shared" si="1"/>
        <v>1</v>
      </c>
      <c r="D46" t="str">
        <f t="shared" si="2"/>
        <v>2022</v>
      </c>
      <c r="E46" s="51" t="s">
        <v>1485</v>
      </c>
      <c r="J46">
        <v>48.9</v>
      </c>
      <c r="K46">
        <v>0.15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</row>
    <row r="47" spans="1:18" x14ac:dyDescent="0.2">
      <c r="A47" t="str">
        <f t="shared" si="0"/>
        <v>ICE.2022.2</v>
      </c>
      <c r="B47" t="s">
        <v>1403</v>
      </c>
      <c r="C47" t="str">
        <f t="shared" si="1"/>
        <v>2</v>
      </c>
      <c r="D47" t="str">
        <f t="shared" si="2"/>
        <v>2022</v>
      </c>
      <c r="E47" s="51" t="s">
        <v>1486</v>
      </c>
      <c r="J47">
        <v>46.8</v>
      </c>
      <c r="K47">
        <v>0.15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</row>
    <row r="48" spans="1:18" x14ac:dyDescent="0.2">
      <c r="A48" t="str">
        <f t="shared" si="0"/>
        <v>ICE.2022.3</v>
      </c>
      <c r="B48" t="s">
        <v>1403</v>
      </c>
      <c r="C48" t="str">
        <f t="shared" si="1"/>
        <v>3</v>
      </c>
      <c r="D48" t="str">
        <f t="shared" si="2"/>
        <v>2022</v>
      </c>
      <c r="E48" s="51" t="s">
        <v>1487</v>
      </c>
      <c r="J48">
        <v>41.75</v>
      </c>
      <c r="K48">
        <v>0.15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</row>
    <row r="49" spans="1:18" x14ac:dyDescent="0.2">
      <c r="A49" t="str">
        <f t="shared" si="0"/>
        <v>ICE.2022.4</v>
      </c>
      <c r="B49" t="s">
        <v>1403</v>
      </c>
      <c r="C49" t="str">
        <f t="shared" si="1"/>
        <v>4</v>
      </c>
      <c r="D49" t="str">
        <f t="shared" si="2"/>
        <v>2022</v>
      </c>
      <c r="E49" s="51" t="s">
        <v>1488</v>
      </c>
      <c r="J49">
        <v>34.950000000000003</v>
      </c>
      <c r="K49">
        <v>0.1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</row>
    <row r="50" spans="1:18" x14ac:dyDescent="0.2">
      <c r="A50" t="str">
        <f t="shared" si="0"/>
        <v>ICE.2022.5</v>
      </c>
      <c r="B50" t="s">
        <v>1403</v>
      </c>
      <c r="C50" t="str">
        <f t="shared" si="1"/>
        <v>5</v>
      </c>
      <c r="D50" t="str">
        <f t="shared" si="2"/>
        <v>2022</v>
      </c>
      <c r="E50" s="51" t="s">
        <v>1489</v>
      </c>
      <c r="J50">
        <v>35.1</v>
      </c>
      <c r="K50">
        <v>0.1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</row>
    <row r="51" spans="1:18" x14ac:dyDescent="0.2">
      <c r="A51" t="str">
        <f t="shared" si="0"/>
        <v>ICE.2022.6</v>
      </c>
      <c r="B51" t="s">
        <v>1403</v>
      </c>
      <c r="C51" t="str">
        <f t="shared" si="1"/>
        <v>6</v>
      </c>
      <c r="D51" t="str">
        <f t="shared" si="2"/>
        <v>2022</v>
      </c>
      <c r="E51" s="51" t="s">
        <v>1490</v>
      </c>
      <c r="J51">
        <v>37.700000000000003</v>
      </c>
      <c r="K51">
        <v>0.1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</row>
    <row r="52" spans="1:18" x14ac:dyDescent="0.2">
      <c r="A52" t="str">
        <f t="shared" si="0"/>
        <v>ICE.2022.7</v>
      </c>
      <c r="B52" t="s">
        <v>1403</v>
      </c>
      <c r="C52" t="str">
        <f t="shared" si="1"/>
        <v>7</v>
      </c>
      <c r="D52" t="str">
        <f t="shared" si="2"/>
        <v>2022</v>
      </c>
      <c r="E52" s="51" t="s">
        <v>1491</v>
      </c>
      <c r="J52">
        <v>44.45</v>
      </c>
      <c r="K52">
        <v>0.15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</row>
    <row r="53" spans="1:18" x14ac:dyDescent="0.2">
      <c r="A53" t="str">
        <f t="shared" si="0"/>
        <v>ICE.2022.8</v>
      </c>
      <c r="B53" t="s">
        <v>1403</v>
      </c>
      <c r="C53" t="str">
        <f t="shared" si="1"/>
        <v>8</v>
      </c>
      <c r="D53" t="str">
        <f t="shared" si="2"/>
        <v>2022</v>
      </c>
      <c r="E53" s="51" t="s">
        <v>1492</v>
      </c>
      <c r="J53">
        <v>47</v>
      </c>
      <c r="K53">
        <v>0.15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</row>
    <row r="54" spans="1:18" x14ac:dyDescent="0.2">
      <c r="A54" t="str">
        <f t="shared" si="0"/>
        <v>ICE.2022.9</v>
      </c>
      <c r="B54" t="s">
        <v>1403</v>
      </c>
      <c r="C54" t="str">
        <f t="shared" si="1"/>
        <v>9</v>
      </c>
      <c r="D54" t="str">
        <f t="shared" si="2"/>
        <v>2022</v>
      </c>
      <c r="E54" s="51" t="s">
        <v>1493</v>
      </c>
      <c r="J54">
        <v>44.95</v>
      </c>
      <c r="K54">
        <v>0.15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</row>
    <row r="55" spans="1:18" x14ac:dyDescent="0.2">
      <c r="A55" t="str">
        <f t="shared" si="0"/>
        <v>ICE.2022.10</v>
      </c>
      <c r="B55" t="s">
        <v>1403</v>
      </c>
      <c r="C55" t="str">
        <f t="shared" si="1"/>
        <v>10</v>
      </c>
      <c r="D55" t="str">
        <f t="shared" si="2"/>
        <v>2022</v>
      </c>
      <c r="E55" s="51" t="s">
        <v>1494</v>
      </c>
      <c r="J55">
        <v>46.2</v>
      </c>
      <c r="K55">
        <v>0.15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</row>
    <row r="56" spans="1:18" x14ac:dyDescent="0.2">
      <c r="A56" t="str">
        <f t="shared" si="0"/>
        <v>ICE.2022.11</v>
      </c>
      <c r="B56" t="s">
        <v>1403</v>
      </c>
      <c r="C56" t="str">
        <f t="shared" si="1"/>
        <v>11</v>
      </c>
      <c r="D56" t="str">
        <f t="shared" si="2"/>
        <v>2022</v>
      </c>
      <c r="E56" s="51" t="s">
        <v>1495</v>
      </c>
      <c r="J56">
        <v>46.7</v>
      </c>
      <c r="K56">
        <v>0.15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</row>
    <row r="57" spans="1:18" x14ac:dyDescent="0.2">
      <c r="A57" t="str">
        <f t="shared" si="0"/>
        <v>ICE.2022.12</v>
      </c>
      <c r="B57" t="s">
        <v>1403</v>
      </c>
      <c r="C57" t="str">
        <f t="shared" si="1"/>
        <v>12</v>
      </c>
      <c r="D57" t="str">
        <f t="shared" si="2"/>
        <v>2022</v>
      </c>
      <c r="E57" s="51" t="s">
        <v>1496</v>
      </c>
      <c r="J57">
        <v>49.7</v>
      </c>
      <c r="K57">
        <v>0.15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</row>
    <row r="58" spans="1:18" x14ac:dyDescent="0.2">
      <c r="A58" t="str">
        <f t="shared" si="0"/>
        <v>ICE.2023.1</v>
      </c>
      <c r="B58" t="s">
        <v>1403</v>
      </c>
      <c r="C58" t="str">
        <f t="shared" si="1"/>
        <v>1</v>
      </c>
      <c r="D58" t="str">
        <f t="shared" si="2"/>
        <v>2023</v>
      </c>
      <c r="E58" s="51" t="s">
        <v>1511</v>
      </c>
      <c r="J58">
        <v>50.45</v>
      </c>
      <c r="K58">
        <v>0.15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</row>
    <row r="59" spans="1:18" x14ac:dyDescent="0.2">
      <c r="A59" t="str">
        <f t="shared" si="0"/>
        <v>ICE.2023.2</v>
      </c>
      <c r="B59" t="s">
        <v>1403</v>
      </c>
      <c r="C59" t="str">
        <f t="shared" si="1"/>
        <v>2</v>
      </c>
      <c r="D59" t="str">
        <f t="shared" si="2"/>
        <v>2023</v>
      </c>
      <c r="E59" s="51" t="s">
        <v>1512</v>
      </c>
      <c r="J59">
        <v>48.4</v>
      </c>
      <c r="K59">
        <v>0.15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</row>
    <row r="60" spans="1:18" x14ac:dyDescent="0.2">
      <c r="A60" t="str">
        <f t="shared" si="0"/>
        <v>ICE.2023.3</v>
      </c>
      <c r="B60" t="s">
        <v>1403</v>
      </c>
      <c r="C60" t="str">
        <f t="shared" si="1"/>
        <v>3</v>
      </c>
      <c r="D60" t="str">
        <f t="shared" si="2"/>
        <v>2023</v>
      </c>
      <c r="E60" s="51" t="s">
        <v>1513</v>
      </c>
      <c r="J60">
        <v>43.2</v>
      </c>
      <c r="K60">
        <v>0.15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</row>
    <row r="61" spans="1:18" x14ac:dyDescent="0.2">
      <c r="A61" t="str">
        <f t="shared" si="0"/>
        <v>ICE.2023.4</v>
      </c>
      <c r="B61" t="s">
        <v>1403</v>
      </c>
      <c r="C61" t="str">
        <f t="shared" si="1"/>
        <v>4</v>
      </c>
      <c r="D61" t="str">
        <f t="shared" si="2"/>
        <v>2023</v>
      </c>
      <c r="E61" s="51" t="s">
        <v>1514</v>
      </c>
      <c r="J61">
        <v>35.950000000000003</v>
      </c>
      <c r="K61">
        <v>0.1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</row>
    <row r="62" spans="1:18" x14ac:dyDescent="0.2">
      <c r="A62" t="str">
        <f t="shared" si="0"/>
        <v>ICE.2023.5</v>
      </c>
      <c r="B62" t="s">
        <v>1403</v>
      </c>
      <c r="C62" t="str">
        <f t="shared" si="1"/>
        <v>5</v>
      </c>
      <c r="D62" t="str">
        <f t="shared" si="2"/>
        <v>2023</v>
      </c>
      <c r="E62" s="51" t="s">
        <v>1515</v>
      </c>
      <c r="J62">
        <v>36.049999999999997</v>
      </c>
      <c r="K62">
        <v>0.1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</row>
    <row r="63" spans="1:18" x14ac:dyDescent="0.2">
      <c r="A63" t="str">
        <f t="shared" si="0"/>
        <v>ICE.2023.6</v>
      </c>
      <c r="B63" t="s">
        <v>1403</v>
      </c>
      <c r="C63" t="str">
        <f t="shared" si="1"/>
        <v>6</v>
      </c>
      <c r="D63" t="str">
        <f t="shared" si="2"/>
        <v>2023</v>
      </c>
      <c r="E63" s="51" t="s">
        <v>1516</v>
      </c>
      <c r="J63">
        <v>38.9</v>
      </c>
      <c r="K63">
        <v>0.15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</row>
    <row r="64" spans="1:18" x14ac:dyDescent="0.2">
      <c r="A64" t="str">
        <f t="shared" si="0"/>
        <v>ICE.2023.7</v>
      </c>
      <c r="B64" t="s">
        <v>1403</v>
      </c>
      <c r="C64" t="str">
        <f t="shared" si="1"/>
        <v>7</v>
      </c>
      <c r="D64" t="str">
        <f t="shared" si="2"/>
        <v>2023</v>
      </c>
      <c r="E64" s="51" t="s">
        <v>1517</v>
      </c>
      <c r="J64">
        <v>46.1</v>
      </c>
      <c r="K64">
        <v>0.15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</row>
    <row r="65" spans="1:18" x14ac:dyDescent="0.2">
      <c r="A65" t="str">
        <f t="shared" si="0"/>
        <v>ICE.2023.8</v>
      </c>
      <c r="B65" t="s">
        <v>1403</v>
      </c>
      <c r="C65" t="str">
        <f t="shared" si="1"/>
        <v>8</v>
      </c>
      <c r="D65" t="str">
        <f t="shared" si="2"/>
        <v>2023</v>
      </c>
      <c r="E65" s="51" t="s">
        <v>1518</v>
      </c>
      <c r="J65">
        <v>48.75</v>
      </c>
      <c r="K65">
        <v>0.15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</row>
    <row r="66" spans="1:18" x14ac:dyDescent="0.2">
      <c r="A66" t="str">
        <f t="shared" si="0"/>
        <v>ICE.2023.9</v>
      </c>
      <c r="B66" t="s">
        <v>1403</v>
      </c>
      <c r="C66" t="str">
        <f t="shared" si="1"/>
        <v>9</v>
      </c>
      <c r="D66" t="str">
        <f t="shared" si="2"/>
        <v>2023</v>
      </c>
      <c r="E66" s="51" t="s">
        <v>1519</v>
      </c>
      <c r="J66">
        <v>46.55</v>
      </c>
      <c r="K66">
        <v>0.15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</row>
    <row r="67" spans="1:18" x14ac:dyDescent="0.2">
      <c r="A67" t="str">
        <f t="shared" ref="A67:A105" si="3">B67&amp;"."&amp;D67&amp;"."&amp;C67</f>
        <v>ICE.2023.10</v>
      </c>
      <c r="B67" t="s">
        <v>1403</v>
      </c>
      <c r="C67" t="str">
        <f t="shared" ref="C67:C105" si="4">TEXT(DATEVALUE("1"&amp;E67),"M")</f>
        <v>10</v>
      </c>
      <c r="D67" t="str">
        <f t="shared" ref="D67:D105" si="5">TEXT(DATEVALUE("1"&amp;E67),"YYYY")</f>
        <v>2023</v>
      </c>
      <c r="E67" s="51" t="s">
        <v>1520</v>
      </c>
      <c r="J67">
        <v>47.8</v>
      </c>
      <c r="K67">
        <v>0.15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</row>
    <row r="68" spans="1:18" x14ac:dyDescent="0.2">
      <c r="A68" t="str">
        <f t="shared" si="3"/>
        <v>ICE.2023.11</v>
      </c>
      <c r="B68" t="s">
        <v>1403</v>
      </c>
      <c r="C68" t="str">
        <f t="shared" si="4"/>
        <v>11</v>
      </c>
      <c r="D68" t="str">
        <f t="shared" si="5"/>
        <v>2023</v>
      </c>
      <c r="E68" s="51" t="s">
        <v>1521</v>
      </c>
      <c r="J68">
        <v>48.3</v>
      </c>
      <c r="K68">
        <v>0.15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</row>
    <row r="69" spans="1:18" x14ac:dyDescent="0.2">
      <c r="A69" t="str">
        <f t="shared" si="3"/>
        <v>ICE.2023.12</v>
      </c>
      <c r="B69" t="s">
        <v>1403</v>
      </c>
      <c r="C69" t="str">
        <f t="shared" si="4"/>
        <v>12</v>
      </c>
      <c r="D69" t="str">
        <f t="shared" si="5"/>
        <v>2023</v>
      </c>
      <c r="E69" s="51" t="s">
        <v>1522</v>
      </c>
      <c r="J69">
        <v>51.8</v>
      </c>
      <c r="K69">
        <v>0.15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</row>
    <row r="70" spans="1:18" x14ac:dyDescent="0.2">
      <c r="A70" t="str">
        <f t="shared" si="3"/>
        <v>ICE.2024.1</v>
      </c>
      <c r="B70" t="s">
        <v>1403</v>
      </c>
      <c r="C70" t="str">
        <f t="shared" si="4"/>
        <v>1</v>
      </c>
      <c r="D70" t="str">
        <f t="shared" si="5"/>
        <v>2024</v>
      </c>
      <c r="E70" s="51" t="s">
        <v>1523</v>
      </c>
      <c r="J70">
        <v>51.8</v>
      </c>
      <c r="K70">
        <v>0.15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</row>
    <row r="71" spans="1:18" x14ac:dyDescent="0.2">
      <c r="A71" t="str">
        <f t="shared" si="3"/>
        <v>ICE.2024.2</v>
      </c>
      <c r="B71" t="s">
        <v>1403</v>
      </c>
      <c r="C71" t="str">
        <f t="shared" si="4"/>
        <v>2</v>
      </c>
      <c r="D71" t="str">
        <f t="shared" si="5"/>
        <v>2024</v>
      </c>
      <c r="E71" s="51" t="s">
        <v>1524</v>
      </c>
      <c r="J71">
        <v>49.65</v>
      </c>
      <c r="K71">
        <v>0.15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</row>
    <row r="72" spans="1:18" x14ac:dyDescent="0.2">
      <c r="A72" t="str">
        <f t="shared" si="3"/>
        <v>ICE.2024.3</v>
      </c>
      <c r="B72" t="s">
        <v>1403</v>
      </c>
      <c r="C72" t="str">
        <f t="shared" si="4"/>
        <v>3</v>
      </c>
      <c r="D72" t="str">
        <f t="shared" si="5"/>
        <v>2024</v>
      </c>
      <c r="E72" s="51" t="s">
        <v>1525</v>
      </c>
      <c r="J72">
        <v>44.35</v>
      </c>
      <c r="K72">
        <v>0.15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</row>
    <row r="73" spans="1:18" x14ac:dyDescent="0.2">
      <c r="A73" t="str">
        <f t="shared" si="3"/>
        <v>ICE.2024.4</v>
      </c>
      <c r="B73" t="s">
        <v>1403</v>
      </c>
      <c r="C73" t="str">
        <f t="shared" si="4"/>
        <v>4</v>
      </c>
      <c r="D73" t="str">
        <f t="shared" si="5"/>
        <v>2024</v>
      </c>
      <c r="E73" s="51" t="s">
        <v>1526</v>
      </c>
      <c r="J73">
        <v>37.1</v>
      </c>
      <c r="K73">
        <v>0.1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</row>
    <row r="74" spans="1:18" x14ac:dyDescent="0.2">
      <c r="A74" t="str">
        <f t="shared" si="3"/>
        <v>ICE.2024.5</v>
      </c>
      <c r="B74" t="s">
        <v>1403</v>
      </c>
      <c r="C74" t="str">
        <f t="shared" si="4"/>
        <v>5</v>
      </c>
      <c r="D74" t="str">
        <f t="shared" si="5"/>
        <v>2024</v>
      </c>
      <c r="E74" s="51" t="s">
        <v>1527</v>
      </c>
      <c r="J74">
        <v>37.15</v>
      </c>
      <c r="K74">
        <v>0.1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</row>
    <row r="75" spans="1:18" x14ac:dyDescent="0.2">
      <c r="A75" t="str">
        <f t="shared" si="3"/>
        <v>ICE.2024.6</v>
      </c>
      <c r="B75" t="s">
        <v>1403</v>
      </c>
      <c r="C75" t="str">
        <f t="shared" si="4"/>
        <v>6</v>
      </c>
      <c r="D75" t="str">
        <f t="shared" si="5"/>
        <v>2024</v>
      </c>
      <c r="E75" s="51" t="s">
        <v>1528</v>
      </c>
      <c r="J75">
        <v>39.75</v>
      </c>
      <c r="K75">
        <v>0.1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</row>
    <row r="76" spans="1:18" x14ac:dyDescent="0.2">
      <c r="A76" t="str">
        <f t="shared" si="3"/>
        <v>ICE.2024.7</v>
      </c>
      <c r="B76" t="s">
        <v>1403</v>
      </c>
      <c r="C76" t="str">
        <f t="shared" si="4"/>
        <v>7</v>
      </c>
      <c r="D76" t="str">
        <f t="shared" si="5"/>
        <v>2024</v>
      </c>
      <c r="E76" s="51" t="s">
        <v>1529</v>
      </c>
      <c r="J76">
        <v>47.15</v>
      </c>
      <c r="K76">
        <v>0.15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</row>
    <row r="77" spans="1:18" x14ac:dyDescent="0.2">
      <c r="A77" t="str">
        <f t="shared" si="3"/>
        <v>ICE.2024.8</v>
      </c>
      <c r="B77" t="s">
        <v>1403</v>
      </c>
      <c r="C77" t="str">
        <f t="shared" si="4"/>
        <v>8</v>
      </c>
      <c r="D77" t="str">
        <f t="shared" si="5"/>
        <v>2024</v>
      </c>
      <c r="E77" s="51" t="s">
        <v>1530</v>
      </c>
      <c r="J77">
        <v>49.9</v>
      </c>
      <c r="K77">
        <v>0.15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</row>
    <row r="78" spans="1:18" x14ac:dyDescent="0.2">
      <c r="A78" t="str">
        <f t="shared" si="3"/>
        <v>ICE.2024.9</v>
      </c>
      <c r="B78" t="s">
        <v>1403</v>
      </c>
      <c r="C78" t="str">
        <f t="shared" si="4"/>
        <v>9</v>
      </c>
      <c r="D78" t="str">
        <f t="shared" si="5"/>
        <v>2024</v>
      </c>
      <c r="E78" s="51" t="s">
        <v>1531</v>
      </c>
      <c r="J78">
        <v>47.65</v>
      </c>
      <c r="K78">
        <v>0.15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</row>
    <row r="79" spans="1:18" x14ac:dyDescent="0.2">
      <c r="A79" t="str">
        <f t="shared" si="3"/>
        <v>ICE.2024.10</v>
      </c>
      <c r="B79" t="s">
        <v>1403</v>
      </c>
      <c r="C79" t="str">
        <f t="shared" si="4"/>
        <v>10</v>
      </c>
      <c r="D79" t="str">
        <f t="shared" si="5"/>
        <v>2024</v>
      </c>
      <c r="E79" s="51" t="s">
        <v>1532</v>
      </c>
      <c r="J79">
        <v>49.05</v>
      </c>
      <c r="K79">
        <v>0.15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</row>
    <row r="80" spans="1:18" x14ac:dyDescent="0.2">
      <c r="A80" t="str">
        <f t="shared" si="3"/>
        <v>ICE.2024.11</v>
      </c>
      <c r="B80" t="s">
        <v>1403</v>
      </c>
      <c r="C80" t="str">
        <f t="shared" si="4"/>
        <v>11</v>
      </c>
      <c r="D80" t="str">
        <f t="shared" si="5"/>
        <v>2024</v>
      </c>
      <c r="E80" s="51" t="s">
        <v>1533</v>
      </c>
      <c r="J80">
        <v>49.6</v>
      </c>
      <c r="K80">
        <v>0.15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</row>
    <row r="81" spans="1:18" x14ac:dyDescent="0.2">
      <c r="A81" t="str">
        <f t="shared" si="3"/>
        <v>ICE.2024.12</v>
      </c>
      <c r="B81" t="s">
        <v>1403</v>
      </c>
      <c r="C81" t="str">
        <f t="shared" si="4"/>
        <v>12</v>
      </c>
      <c r="D81" t="str">
        <f t="shared" si="5"/>
        <v>2024</v>
      </c>
      <c r="E81" s="51" t="s">
        <v>1534</v>
      </c>
      <c r="J81">
        <v>52.95</v>
      </c>
      <c r="K81">
        <v>0.15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</row>
    <row r="82" spans="1:18" x14ac:dyDescent="0.2">
      <c r="A82" t="str">
        <f t="shared" si="3"/>
        <v>ICE.2025.1</v>
      </c>
      <c r="B82" t="s">
        <v>1403</v>
      </c>
      <c r="C82" t="str">
        <f t="shared" si="4"/>
        <v>1</v>
      </c>
      <c r="D82" t="str">
        <f t="shared" si="5"/>
        <v>2025</v>
      </c>
      <c r="E82" s="51" t="s">
        <v>1538</v>
      </c>
      <c r="J82">
        <v>53</v>
      </c>
      <c r="K82">
        <v>0.15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</row>
    <row r="83" spans="1:18" x14ac:dyDescent="0.2">
      <c r="A83" t="str">
        <f t="shared" si="3"/>
        <v>ICE.2025.2</v>
      </c>
      <c r="B83" t="s">
        <v>1403</v>
      </c>
      <c r="C83" t="str">
        <f t="shared" si="4"/>
        <v>2</v>
      </c>
      <c r="D83" t="str">
        <f t="shared" si="5"/>
        <v>2025</v>
      </c>
      <c r="E83" s="51" t="s">
        <v>1539</v>
      </c>
      <c r="J83">
        <v>50.75</v>
      </c>
      <c r="K83">
        <v>0.15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</row>
    <row r="84" spans="1:18" x14ac:dyDescent="0.2">
      <c r="A84" t="str">
        <f t="shared" si="3"/>
        <v>ICE.2025.3</v>
      </c>
      <c r="B84" t="s">
        <v>1403</v>
      </c>
      <c r="C84" t="str">
        <f t="shared" si="4"/>
        <v>3</v>
      </c>
      <c r="D84" t="str">
        <f t="shared" si="5"/>
        <v>2025</v>
      </c>
      <c r="E84" s="51" t="s">
        <v>1540</v>
      </c>
      <c r="J84">
        <v>45.35</v>
      </c>
      <c r="K84">
        <v>0.15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</row>
    <row r="85" spans="1:18" x14ac:dyDescent="0.2">
      <c r="A85" t="str">
        <f t="shared" si="3"/>
        <v>ICE.2025.4</v>
      </c>
      <c r="B85" t="s">
        <v>1403</v>
      </c>
      <c r="C85" t="str">
        <f t="shared" si="4"/>
        <v>4</v>
      </c>
      <c r="D85" t="str">
        <f t="shared" si="5"/>
        <v>2025</v>
      </c>
      <c r="E85" s="51" t="s">
        <v>1541</v>
      </c>
      <c r="J85">
        <v>37.85</v>
      </c>
      <c r="K85">
        <v>0.1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</row>
    <row r="86" spans="1:18" x14ac:dyDescent="0.2">
      <c r="A86" t="str">
        <f t="shared" si="3"/>
        <v>ICE.2025.5</v>
      </c>
      <c r="B86" t="s">
        <v>1403</v>
      </c>
      <c r="C86" t="str">
        <f t="shared" si="4"/>
        <v>5</v>
      </c>
      <c r="D86" t="str">
        <f t="shared" si="5"/>
        <v>2025</v>
      </c>
      <c r="E86" s="51" t="s">
        <v>1542</v>
      </c>
      <c r="J86">
        <v>38</v>
      </c>
      <c r="K86">
        <v>0.1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</row>
    <row r="87" spans="1:18" x14ac:dyDescent="0.2">
      <c r="A87" t="str">
        <f t="shared" si="3"/>
        <v>ICE.2025.6</v>
      </c>
      <c r="B87" t="s">
        <v>1403</v>
      </c>
      <c r="C87" t="str">
        <f t="shared" si="4"/>
        <v>6</v>
      </c>
      <c r="D87" t="str">
        <f t="shared" si="5"/>
        <v>2025</v>
      </c>
      <c r="E87" s="51" t="s">
        <v>1543</v>
      </c>
      <c r="J87">
        <v>40.700000000000003</v>
      </c>
      <c r="K87">
        <v>0.1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</row>
    <row r="88" spans="1:18" x14ac:dyDescent="0.2">
      <c r="A88" t="str">
        <f t="shared" si="3"/>
        <v>ICE.2025.7</v>
      </c>
      <c r="B88" t="s">
        <v>1403</v>
      </c>
      <c r="C88" t="str">
        <f t="shared" si="4"/>
        <v>7</v>
      </c>
      <c r="D88" t="str">
        <f t="shared" si="5"/>
        <v>2025</v>
      </c>
      <c r="E88" s="51" t="s">
        <v>1544</v>
      </c>
      <c r="J88">
        <v>48.35</v>
      </c>
      <c r="K88">
        <v>0.15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</row>
    <row r="89" spans="1:18" x14ac:dyDescent="0.2">
      <c r="A89" t="str">
        <f t="shared" si="3"/>
        <v>ICE.2025.8</v>
      </c>
      <c r="B89" t="s">
        <v>1403</v>
      </c>
      <c r="C89" t="str">
        <f t="shared" si="4"/>
        <v>8</v>
      </c>
      <c r="D89" t="str">
        <f t="shared" si="5"/>
        <v>2025</v>
      </c>
      <c r="E89" s="51" t="s">
        <v>1545</v>
      </c>
      <c r="J89">
        <v>51.05</v>
      </c>
      <c r="K89">
        <v>0.15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</row>
    <row r="90" spans="1:18" x14ac:dyDescent="0.2">
      <c r="A90" t="str">
        <f t="shared" si="3"/>
        <v>ICE.2025.9</v>
      </c>
      <c r="B90" t="s">
        <v>1403</v>
      </c>
      <c r="C90" t="str">
        <f t="shared" si="4"/>
        <v>9</v>
      </c>
      <c r="D90" t="str">
        <f t="shared" si="5"/>
        <v>2025</v>
      </c>
      <c r="E90" s="51" t="s">
        <v>1546</v>
      </c>
      <c r="J90">
        <v>48.8</v>
      </c>
      <c r="K90">
        <v>0.15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</row>
    <row r="91" spans="1:18" x14ac:dyDescent="0.2">
      <c r="A91" t="str">
        <f t="shared" si="3"/>
        <v>ICE.2025.10</v>
      </c>
      <c r="B91" t="s">
        <v>1403</v>
      </c>
      <c r="C91" t="str">
        <f t="shared" si="4"/>
        <v>10</v>
      </c>
      <c r="D91" t="str">
        <f t="shared" si="5"/>
        <v>2025</v>
      </c>
      <c r="E91" s="51" t="s">
        <v>1547</v>
      </c>
      <c r="J91">
        <v>50.15</v>
      </c>
      <c r="K91">
        <v>0.15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</row>
    <row r="92" spans="1:18" x14ac:dyDescent="0.2">
      <c r="A92" t="str">
        <f t="shared" si="3"/>
        <v>ICE.2025.11</v>
      </c>
      <c r="B92" t="s">
        <v>1403</v>
      </c>
      <c r="C92" t="str">
        <f t="shared" si="4"/>
        <v>11</v>
      </c>
      <c r="D92" t="str">
        <f t="shared" si="5"/>
        <v>2025</v>
      </c>
      <c r="E92" s="51" t="s">
        <v>1548</v>
      </c>
      <c r="J92">
        <v>50.75</v>
      </c>
      <c r="K92">
        <v>0.15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</row>
    <row r="93" spans="1:18" x14ac:dyDescent="0.2">
      <c r="A93" t="str">
        <f t="shared" si="3"/>
        <v>ICE.2025.12</v>
      </c>
      <c r="B93" t="s">
        <v>1403</v>
      </c>
      <c r="C93" t="str">
        <f t="shared" si="4"/>
        <v>12</v>
      </c>
      <c r="D93" t="str">
        <f t="shared" si="5"/>
        <v>2025</v>
      </c>
      <c r="E93" s="51" t="s">
        <v>1549</v>
      </c>
      <c r="J93">
        <v>54.3</v>
      </c>
      <c r="K93">
        <v>0.15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</row>
    <row r="94" spans="1:18" x14ac:dyDescent="0.2">
      <c r="A94" t="str">
        <f t="shared" si="3"/>
        <v>ICE.2026.1</v>
      </c>
      <c r="B94" t="s">
        <v>1403</v>
      </c>
      <c r="C94" t="str">
        <f t="shared" si="4"/>
        <v>1</v>
      </c>
      <c r="D94" t="str">
        <f t="shared" si="5"/>
        <v>2026</v>
      </c>
      <c r="E94" s="51" t="s">
        <v>1550</v>
      </c>
      <c r="J94">
        <v>54.15</v>
      </c>
      <c r="K94">
        <v>0.15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</row>
    <row r="95" spans="1:18" x14ac:dyDescent="0.2">
      <c r="A95" t="str">
        <f t="shared" si="3"/>
        <v>ICE.2026.2</v>
      </c>
      <c r="B95" t="s">
        <v>1403</v>
      </c>
      <c r="C95" t="str">
        <f t="shared" si="4"/>
        <v>2</v>
      </c>
      <c r="D95" t="str">
        <f t="shared" si="5"/>
        <v>2026</v>
      </c>
      <c r="E95" s="51" t="s">
        <v>1551</v>
      </c>
      <c r="J95">
        <v>51.8</v>
      </c>
      <c r="K95">
        <v>0.15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</row>
    <row r="96" spans="1:18" x14ac:dyDescent="0.2">
      <c r="A96" t="str">
        <f t="shared" si="3"/>
        <v>ICE.2026.3</v>
      </c>
      <c r="B96" t="s">
        <v>1403</v>
      </c>
      <c r="C96" t="str">
        <f t="shared" si="4"/>
        <v>3</v>
      </c>
      <c r="D96" t="str">
        <f t="shared" si="5"/>
        <v>2026</v>
      </c>
      <c r="E96" s="51" t="s">
        <v>1552</v>
      </c>
      <c r="J96">
        <v>46.25</v>
      </c>
      <c r="K96">
        <v>0.15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</row>
    <row r="97" spans="1:18" x14ac:dyDescent="0.2">
      <c r="A97" t="str">
        <f t="shared" si="3"/>
        <v>ICE.2026.4</v>
      </c>
      <c r="B97" t="s">
        <v>1403</v>
      </c>
      <c r="C97" t="str">
        <f t="shared" si="4"/>
        <v>4</v>
      </c>
      <c r="D97" t="str">
        <f t="shared" si="5"/>
        <v>2026</v>
      </c>
      <c r="E97" s="51" t="s">
        <v>1553</v>
      </c>
      <c r="J97">
        <v>38.65</v>
      </c>
      <c r="K97">
        <v>0.1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</row>
    <row r="98" spans="1:18" x14ac:dyDescent="0.2">
      <c r="A98" t="str">
        <f t="shared" si="3"/>
        <v>ICE.2026.5</v>
      </c>
      <c r="B98" t="s">
        <v>1403</v>
      </c>
      <c r="C98" t="str">
        <f t="shared" si="4"/>
        <v>5</v>
      </c>
      <c r="D98" t="str">
        <f t="shared" si="5"/>
        <v>2026</v>
      </c>
      <c r="E98" s="51" t="s">
        <v>1554</v>
      </c>
      <c r="J98">
        <v>38.799999999999997</v>
      </c>
      <c r="K98">
        <v>0.1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</row>
    <row r="99" spans="1:18" x14ac:dyDescent="0.2">
      <c r="A99" t="str">
        <f t="shared" si="3"/>
        <v>ICE.2026.6</v>
      </c>
      <c r="B99" t="s">
        <v>1403</v>
      </c>
      <c r="C99" t="str">
        <f t="shared" si="4"/>
        <v>6</v>
      </c>
      <c r="D99" t="str">
        <f t="shared" si="5"/>
        <v>2026</v>
      </c>
      <c r="E99" s="51" t="s">
        <v>1555</v>
      </c>
      <c r="J99">
        <v>41.6</v>
      </c>
      <c r="K99">
        <v>0.1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</row>
    <row r="100" spans="1:18" x14ac:dyDescent="0.2">
      <c r="A100" t="str">
        <f t="shared" si="3"/>
        <v>ICE.2026.7</v>
      </c>
      <c r="B100" t="s">
        <v>1403</v>
      </c>
      <c r="C100" t="str">
        <f t="shared" si="4"/>
        <v>7</v>
      </c>
      <c r="D100" t="str">
        <f t="shared" si="5"/>
        <v>2026</v>
      </c>
      <c r="E100" s="51" t="s">
        <v>1556</v>
      </c>
      <c r="J100">
        <v>49.45</v>
      </c>
      <c r="K100">
        <v>0.15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</row>
    <row r="101" spans="1:18" x14ac:dyDescent="0.2">
      <c r="A101" t="str">
        <f t="shared" si="3"/>
        <v>ICE.2026.8</v>
      </c>
      <c r="B101" t="s">
        <v>1403</v>
      </c>
      <c r="C101" t="str">
        <f t="shared" si="4"/>
        <v>8</v>
      </c>
      <c r="D101" t="str">
        <f t="shared" si="5"/>
        <v>2026</v>
      </c>
      <c r="E101" s="51" t="s">
        <v>1557</v>
      </c>
      <c r="J101">
        <v>52.3</v>
      </c>
      <c r="K101">
        <v>0.15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</row>
    <row r="102" spans="1:18" x14ac:dyDescent="0.2">
      <c r="A102" t="str">
        <f t="shared" si="3"/>
        <v>ICE.2026.9</v>
      </c>
      <c r="B102" t="s">
        <v>1403</v>
      </c>
      <c r="C102" t="str">
        <f t="shared" si="4"/>
        <v>9</v>
      </c>
      <c r="D102" t="str">
        <f t="shared" si="5"/>
        <v>2026</v>
      </c>
      <c r="E102" s="51" t="s">
        <v>1558</v>
      </c>
      <c r="J102">
        <v>50</v>
      </c>
      <c r="K102">
        <v>0.15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</row>
    <row r="103" spans="1:18" x14ac:dyDescent="0.2">
      <c r="A103" t="str">
        <f t="shared" si="3"/>
        <v>ICE.2026.10</v>
      </c>
      <c r="B103" t="s">
        <v>1403</v>
      </c>
      <c r="C103" t="str">
        <f t="shared" si="4"/>
        <v>10</v>
      </c>
      <c r="D103" t="str">
        <f t="shared" si="5"/>
        <v>2026</v>
      </c>
      <c r="E103" s="51" t="s">
        <v>1559</v>
      </c>
      <c r="J103">
        <v>51.25</v>
      </c>
      <c r="K103">
        <v>0.15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</row>
    <row r="104" spans="1:18" x14ac:dyDescent="0.2">
      <c r="A104" t="str">
        <f t="shared" si="3"/>
        <v>ICE.2026.11</v>
      </c>
      <c r="B104" t="s">
        <v>1403</v>
      </c>
      <c r="C104" t="str">
        <f t="shared" si="4"/>
        <v>11</v>
      </c>
      <c r="D104" t="str">
        <f t="shared" si="5"/>
        <v>2026</v>
      </c>
      <c r="E104" s="51" t="s">
        <v>1560</v>
      </c>
      <c r="J104">
        <v>51.8</v>
      </c>
      <c r="K104">
        <v>0.15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</row>
    <row r="105" spans="1:18" x14ac:dyDescent="0.2">
      <c r="A105" t="str">
        <f t="shared" si="3"/>
        <v>ICE.2026.12</v>
      </c>
      <c r="B105" t="s">
        <v>1403</v>
      </c>
      <c r="C105" t="str">
        <f t="shared" si="4"/>
        <v>12</v>
      </c>
      <c r="D105" t="str">
        <f t="shared" si="5"/>
        <v>2026</v>
      </c>
      <c r="E105" s="51" t="s">
        <v>1561</v>
      </c>
      <c r="J105">
        <v>55.45</v>
      </c>
      <c r="K105">
        <v>0.15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P15OffPeak"/>
  <dimension ref="A1:T105"/>
  <sheetViews>
    <sheetView workbookViewId="0">
      <selection activeCell="R1" sqref="R1"/>
    </sheetView>
  </sheetViews>
  <sheetFormatPr defaultRowHeight="12.75" x14ac:dyDescent="0.2"/>
  <cols>
    <col min="1" max="1" width="11.140625" bestFit="1" customWidth="1"/>
    <col min="2" max="2" width="8.5703125" bestFit="1" customWidth="1"/>
    <col min="3" max="3" width="5.7109375" bestFit="1" customWidth="1"/>
    <col min="4" max="4" width="5.140625" bestFit="1" customWidth="1"/>
    <col min="5" max="5" width="7.7109375" bestFit="1" customWidth="1"/>
    <col min="6" max="6" width="5.85546875" bestFit="1" customWidth="1"/>
    <col min="7" max="7" width="5.140625" bestFit="1" customWidth="1"/>
    <col min="8" max="8" width="4.85546875" bestFit="1" customWidth="1"/>
    <col min="9" max="9" width="6" bestFit="1" customWidth="1"/>
    <col min="10" max="10" width="10.85546875" bestFit="1" customWidth="1"/>
    <col min="11" max="12" width="8" bestFit="1" customWidth="1"/>
    <col min="13" max="13" width="8.7109375" bestFit="1" customWidth="1"/>
    <col min="14" max="14" width="10.5703125" bestFit="1" customWidth="1"/>
    <col min="15" max="16" width="4.5703125" bestFit="1" customWidth="1"/>
    <col min="17" max="17" width="9.5703125" bestFit="1" customWidth="1"/>
    <col min="18" max="18" width="11.140625" bestFit="1" customWidth="1"/>
  </cols>
  <sheetData>
    <row r="1" spans="1:20" s="1" customFormat="1" x14ac:dyDescent="0.2">
      <c r="A1" s="1" t="s">
        <v>1404</v>
      </c>
      <c r="B1" s="1" t="s">
        <v>1402</v>
      </c>
      <c r="C1" s="1" t="s">
        <v>974</v>
      </c>
      <c r="D1" s="1" t="s">
        <v>980</v>
      </c>
      <c r="E1" s="50" t="s">
        <v>1364</v>
      </c>
      <c r="F1" s="45" t="s">
        <v>1365</v>
      </c>
      <c r="G1" s="1" t="s">
        <v>1366</v>
      </c>
      <c r="H1" s="1" t="s">
        <v>1367</v>
      </c>
      <c r="I1" s="1" t="s">
        <v>1368</v>
      </c>
      <c r="J1" s="1" t="s">
        <v>978</v>
      </c>
      <c r="K1" s="1" t="s">
        <v>1369</v>
      </c>
      <c r="L1" s="1" t="s">
        <v>975</v>
      </c>
      <c r="M1" s="1" t="s">
        <v>979</v>
      </c>
      <c r="N1" s="1" t="s">
        <v>969</v>
      </c>
      <c r="O1" s="1" t="s">
        <v>1444</v>
      </c>
      <c r="P1" s="1" t="s">
        <v>1445</v>
      </c>
      <c r="Q1" s="1" t="s">
        <v>976</v>
      </c>
      <c r="R1" s="1" t="s">
        <v>1510</v>
      </c>
      <c r="T1" s="45">
        <v>43236</v>
      </c>
    </row>
    <row r="2" spans="1:20" x14ac:dyDescent="0.2">
      <c r="A2" t="str">
        <f>B2&amp;"."&amp;D2&amp;"."&amp;C2</f>
        <v>ICE.2018.5</v>
      </c>
      <c r="B2" t="s">
        <v>1403</v>
      </c>
      <c r="C2" t="str">
        <f>TEXT(DATEVALUE("1"&amp;E2),"M")</f>
        <v>5</v>
      </c>
      <c r="D2" t="str">
        <f>TEXT(DATEVALUE("1"&amp;E2),"YYYY")</f>
        <v>2018</v>
      </c>
      <c r="E2" s="51" t="s">
        <v>1370</v>
      </c>
      <c r="J2">
        <v>17.649999999999999</v>
      </c>
      <c r="K2">
        <v>0.13</v>
      </c>
      <c r="L2">
        <v>0</v>
      </c>
      <c r="M2">
        <v>1350</v>
      </c>
      <c r="N2">
        <v>0</v>
      </c>
      <c r="O2">
        <v>0</v>
      </c>
      <c r="P2">
        <v>0</v>
      </c>
      <c r="Q2">
        <v>0</v>
      </c>
      <c r="R2">
        <v>0</v>
      </c>
    </row>
    <row r="3" spans="1:20" x14ac:dyDescent="0.2">
      <c r="A3" t="str">
        <f t="shared" ref="A3:A66" si="0">B3&amp;"."&amp;D3&amp;"."&amp;C3</f>
        <v>ICE.2018.6</v>
      </c>
      <c r="B3" t="s">
        <v>1403</v>
      </c>
      <c r="C3" t="str">
        <f t="shared" ref="C3:C66" si="1">TEXT(DATEVALUE("1"&amp;E3),"M")</f>
        <v>6</v>
      </c>
      <c r="D3" t="str">
        <f t="shared" ref="D3:D66" si="2">TEXT(DATEVALUE("1"&amp;E3),"YYYY")</f>
        <v>2018</v>
      </c>
      <c r="E3" s="51" t="s">
        <v>1371</v>
      </c>
      <c r="J3">
        <v>23.3</v>
      </c>
      <c r="K3">
        <v>-0.2</v>
      </c>
      <c r="L3">
        <v>0</v>
      </c>
      <c r="M3">
        <v>1425</v>
      </c>
      <c r="N3">
        <v>0</v>
      </c>
      <c r="O3">
        <v>0</v>
      </c>
      <c r="P3">
        <v>0</v>
      </c>
      <c r="Q3">
        <v>0</v>
      </c>
      <c r="R3">
        <v>0</v>
      </c>
    </row>
    <row r="4" spans="1:20" x14ac:dyDescent="0.2">
      <c r="A4" t="str">
        <f t="shared" si="0"/>
        <v>ICE.2018.7</v>
      </c>
      <c r="B4" t="s">
        <v>1403</v>
      </c>
      <c r="C4" t="str">
        <f t="shared" si="1"/>
        <v>7</v>
      </c>
      <c r="D4" t="str">
        <f t="shared" si="2"/>
        <v>2018</v>
      </c>
      <c r="E4" s="51" t="s">
        <v>1372</v>
      </c>
      <c r="J4">
        <v>31.9</v>
      </c>
      <c r="K4">
        <v>-0.35</v>
      </c>
      <c r="L4">
        <v>0</v>
      </c>
      <c r="M4">
        <v>2275</v>
      </c>
      <c r="N4">
        <v>0</v>
      </c>
      <c r="O4">
        <v>0</v>
      </c>
      <c r="P4">
        <v>0</v>
      </c>
      <c r="Q4">
        <v>0</v>
      </c>
      <c r="R4">
        <v>0</v>
      </c>
    </row>
    <row r="5" spans="1:20" x14ac:dyDescent="0.2">
      <c r="A5" t="str">
        <f t="shared" si="0"/>
        <v>ICE.2018.8</v>
      </c>
      <c r="B5" t="s">
        <v>1403</v>
      </c>
      <c r="C5" t="str">
        <f t="shared" si="1"/>
        <v>8</v>
      </c>
      <c r="D5" t="str">
        <f t="shared" si="2"/>
        <v>2018</v>
      </c>
      <c r="E5" s="51" t="s">
        <v>1373</v>
      </c>
      <c r="J5">
        <v>33.799999999999997</v>
      </c>
      <c r="K5">
        <v>-0.4</v>
      </c>
      <c r="L5">
        <v>0</v>
      </c>
      <c r="M5">
        <v>2275</v>
      </c>
      <c r="N5">
        <v>0</v>
      </c>
      <c r="O5">
        <v>0</v>
      </c>
      <c r="P5">
        <v>0</v>
      </c>
      <c r="Q5">
        <v>0</v>
      </c>
      <c r="R5">
        <v>0</v>
      </c>
    </row>
    <row r="6" spans="1:20" x14ac:dyDescent="0.2">
      <c r="A6" t="str">
        <f t="shared" si="0"/>
        <v>ICE.2018.9</v>
      </c>
      <c r="B6" t="s">
        <v>1403</v>
      </c>
      <c r="C6" t="str">
        <f t="shared" si="1"/>
        <v>9</v>
      </c>
      <c r="D6" t="str">
        <f t="shared" si="2"/>
        <v>2018</v>
      </c>
      <c r="E6" s="51" t="s">
        <v>1374</v>
      </c>
      <c r="J6">
        <v>31.8</v>
      </c>
      <c r="K6">
        <v>0</v>
      </c>
      <c r="L6">
        <v>0</v>
      </c>
      <c r="M6">
        <v>2275</v>
      </c>
      <c r="N6">
        <v>0</v>
      </c>
      <c r="O6">
        <v>0</v>
      </c>
      <c r="P6">
        <v>0</v>
      </c>
      <c r="Q6">
        <v>0</v>
      </c>
      <c r="R6">
        <v>0</v>
      </c>
    </row>
    <row r="7" spans="1:20" x14ac:dyDescent="0.2">
      <c r="A7" t="str">
        <f t="shared" si="0"/>
        <v>ICE.2018.10</v>
      </c>
      <c r="B7" t="s">
        <v>1403</v>
      </c>
      <c r="C7" t="str">
        <f t="shared" si="1"/>
        <v>10</v>
      </c>
      <c r="D7" t="str">
        <f t="shared" si="2"/>
        <v>2018</v>
      </c>
      <c r="E7" s="51" t="s">
        <v>1375</v>
      </c>
      <c r="J7">
        <v>30.4</v>
      </c>
      <c r="K7">
        <v>-0.25</v>
      </c>
      <c r="L7">
        <v>0</v>
      </c>
      <c r="M7">
        <v>1950</v>
      </c>
      <c r="N7">
        <v>0</v>
      </c>
      <c r="O7">
        <v>0</v>
      </c>
      <c r="P7">
        <v>0</v>
      </c>
      <c r="Q7">
        <v>0</v>
      </c>
      <c r="R7">
        <v>0</v>
      </c>
    </row>
    <row r="8" spans="1:20" x14ac:dyDescent="0.2">
      <c r="A8" t="str">
        <f t="shared" si="0"/>
        <v>ICE.2018.11</v>
      </c>
      <c r="B8" t="s">
        <v>1403</v>
      </c>
      <c r="C8" t="str">
        <f t="shared" si="1"/>
        <v>11</v>
      </c>
      <c r="D8" t="str">
        <f t="shared" si="2"/>
        <v>2018</v>
      </c>
      <c r="E8" s="51" t="s">
        <v>1376</v>
      </c>
      <c r="J8">
        <v>31</v>
      </c>
      <c r="K8">
        <v>0</v>
      </c>
      <c r="L8">
        <v>0</v>
      </c>
      <c r="M8">
        <v>1950</v>
      </c>
      <c r="N8">
        <v>0</v>
      </c>
      <c r="O8">
        <v>0</v>
      </c>
      <c r="P8">
        <v>0</v>
      </c>
      <c r="Q8">
        <v>0</v>
      </c>
      <c r="R8">
        <v>0</v>
      </c>
    </row>
    <row r="9" spans="1:20" x14ac:dyDescent="0.2">
      <c r="A9" t="str">
        <f t="shared" si="0"/>
        <v>ICE.2018.12</v>
      </c>
      <c r="B9" t="s">
        <v>1403</v>
      </c>
      <c r="C9" t="str">
        <f t="shared" si="1"/>
        <v>12</v>
      </c>
      <c r="D9" t="str">
        <f t="shared" si="2"/>
        <v>2018</v>
      </c>
      <c r="E9" s="51" t="s">
        <v>1377</v>
      </c>
      <c r="J9">
        <v>36.799999999999997</v>
      </c>
      <c r="K9">
        <v>0</v>
      </c>
      <c r="L9">
        <v>0</v>
      </c>
      <c r="M9">
        <v>1950</v>
      </c>
      <c r="N9">
        <v>0</v>
      </c>
      <c r="O9">
        <v>0</v>
      </c>
      <c r="P9">
        <v>0</v>
      </c>
      <c r="Q9">
        <v>0</v>
      </c>
      <c r="R9">
        <v>0</v>
      </c>
    </row>
    <row r="10" spans="1:20" x14ac:dyDescent="0.2">
      <c r="A10" t="str">
        <f t="shared" si="0"/>
        <v>ICE.2019.1</v>
      </c>
      <c r="B10" t="s">
        <v>1403</v>
      </c>
      <c r="C10" t="str">
        <f t="shared" si="1"/>
        <v>1</v>
      </c>
      <c r="D10" t="str">
        <f t="shared" si="2"/>
        <v>2019</v>
      </c>
      <c r="E10" s="51" t="s">
        <v>1378</v>
      </c>
      <c r="J10">
        <v>36.15</v>
      </c>
      <c r="K10">
        <v>0.15</v>
      </c>
      <c r="L10">
        <v>0</v>
      </c>
      <c r="M10">
        <v>1300</v>
      </c>
      <c r="N10">
        <v>0</v>
      </c>
      <c r="O10">
        <v>0</v>
      </c>
      <c r="P10">
        <v>0</v>
      </c>
      <c r="Q10">
        <v>0</v>
      </c>
      <c r="R10">
        <v>0</v>
      </c>
    </row>
    <row r="11" spans="1:20" x14ac:dyDescent="0.2">
      <c r="A11" t="str">
        <f t="shared" si="0"/>
        <v>ICE.2019.2</v>
      </c>
      <c r="B11" t="s">
        <v>1403</v>
      </c>
      <c r="C11" t="str">
        <f t="shared" si="1"/>
        <v>2</v>
      </c>
      <c r="D11" t="str">
        <f t="shared" si="2"/>
        <v>2019</v>
      </c>
      <c r="E11" s="51" t="s">
        <v>1379</v>
      </c>
      <c r="J11">
        <v>31.95</v>
      </c>
      <c r="K11">
        <v>0.1</v>
      </c>
      <c r="L11">
        <v>0</v>
      </c>
      <c r="M11">
        <v>1300</v>
      </c>
      <c r="N11">
        <v>0</v>
      </c>
      <c r="O11">
        <v>0</v>
      </c>
      <c r="P11">
        <v>0</v>
      </c>
      <c r="Q11">
        <v>0</v>
      </c>
      <c r="R11">
        <v>0</v>
      </c>
    </row>
    <row r="12" spans="1:20" x14ac:dyDescent="0.2">
      <c r="A12" t="str">
        <f t="shared" si="0"/>
        <v>ICE.2019.3</v>
      </c>
      <c r="B12" t="s">
        <v>1403</v>
      </c>
      <c r="C12" t="str">
        <f t="shared" si="1"/>
        <v>3</v>
      </c>
      <c r="D12" t="str">
        <f t="shared" si="2"/>
        <v>2019</v>
      </c>
      <c r="E12" s="51" t="s">
        <v>1380</v>
      </c>
      <c r="J12">
        <v>27.6</v>
      </c>
      <c r="K12">
        <v>0.1</v>
      </c>
      <c r="L12">
        <v>0</v>
      </c>
      <c r="M12">
        <v>1300</v>
      </c>
      <c r="N12">
        <v>0</v>
      </c>
      <c r="O12">
        <v>0</v>
      </c>
      <c r="P12">
        <v>0</v>
      </c>
      <c r="Q12">
        <v>0</v>
      </c>
      <c r="R12">
        <v>0</v>
      </c>
    </row>
    <row r="13" spans="1:20" x14ac:dyDescent="0.2">
      <c r="A13" t="str">
        <f t="shared" si="0"/>
        <v>ICE.2019.4</v>
      </c>
      <c r="B13" t="s">
        <v>1403</v>
      </c>
      <c r="C13" t="str">
        <f t="shared" si="1"/>
        <v>4</v>
      </c>
      <c r="D13" t="str">
        <f t="shared" si="2"/>
        <v>2019</v>
      </c>
      <c r="E13" s="51" t="s">
        <v>1381</v>
      </c>
      <c r="J13">
        <v>20.8</v>
      </c>
      <c r="K13">
        <v>0.15</v>
      </c>
      <c r="L13">
        <v>0</v>
      </c>
      <c r="M13">
        <v>1100</v>
      </c>
      <c r="N13">
        <v>0</v>
      </c>
      <c r="O13">
        <v>0</v>
      </c>
      <c r="P13">
        <v>0</v>
      </c>
      <c r="Q13">
        <v>0</v>
      </c>
      <c r="R13">
        <v>0</v>
      </c>
    </row>
    <row r="14" spans="1:20" x14ac:dyDescent="0.2">
      <c r="A14" t="str">
        <f t="shared" si="0"/>
        <v>ICE.2019.5</v>
      </c>
      <c r="B14" t="s">
        <v>1403</v>
      </c>
      <c r="C14" t="str">
        <f t="shared" si="1"/>
        <v>5</v>
      </c>
      <c r="D14" t="str">
        <f t="shared" si="2"/>
        <v>2019</v>
      </c>
      <c r="E14" s="51" t="s">
        <v>1382</v>
      </c>
      <c r="J14">
        <v>22.05</v>
      </c>
      <c r="K14">
        <v>0.15</v>
      </c>
      <c r="L14">
        <v>0</v>
      </c>
      <c r="M14">
        <v>1100</v>
      </c>
      <c r="N14">
        <v>0</v>
      </c>
      <c r="O14">
        <v>0</v>
      </c>
      <c r="P14">
        <v>0</v>
      </c>
      <c r="Q14">
        <v>0</v>
      </c>
      <c r="R14">
        <v>0</v>
      </c>
    </row>
    <row r="15" spans="1:20" x14ac:dyDescent="0.2">
      <c r="A15" t="str">
        <f t="shared" si="0"/>
        <v>ICE.2019.6</v>
      </c>
      <c r="B15" t="s">
        <v>1403</v>
      </c>
      <c r="C15" t="str">
        <f t="shared" si="1"/>
        <v>6</v>
      </c>
      <c r="D15" t="str">
        <f t="shared" si="2"/>
        <v>2019</v>
      </c>
      <c r="E15" s="51" t="s">
        <v>1383</v>
      </c>
      <c r="J15">
        <v>27.05</v>
      </c>
      <c r="K15">
        <v>0.2</v>
      </c>
      <c r="L15">
        <v>0</v>
      </c>
      <c r="M15">
        <v>1100</v>
      </c>
      <c r="N15">
        <v>0</v>
      </c>
      <c r="O15">
        <v>0</v>
      </c>
      <c r="P15">
        <v>0</v>
      </c>
      <c r="Q15">
        <v>0</v>
      </c>
      <c r="R15">
        <v>0</v>
      </c>
    </row>
    <row r="16" spans="1:20" x14ac:dyDescent="0.2">
      <c r="A16" t="str">
        <f t="shared" si="0"/>
        <v>ICE.2019.7</v>
      </c>
      <c r="B16" t="s">
        <v>1403</v>
      </c>
      <c r="C16" t="str">
        <f t="shared" si="1"/>
        <v>7</v>
      </c>
      <c r="D16" t="str">
        <f t="shared" si="2"/>
        <v>2019</v>
      </c>
      <c r="E16" s="51" t="s">
        <v>1384</v>
      </c>
      <c r="J16">
        <v>30.1</v>
      </c>
      <c r="K16">
        <v>0.4</v>
      </c>
      <c r="L16">
        <v>0</v>
      </c>
      <c r="M16">
        <v>1150</v>
      </c>
      <c r="N16">
        <v>0</v>
      </c>
      <c r="O16">
        <v>0</v>
      </c>
      <c r="P16">
        <v>0</v>
      </c>
      <c r="Q16">
        <v>0</v>
      </c>
      <c r="R16">
        <v>0</v>
      </c>
    </row>
    <row r="17" spans="1:18" x14ac:dyDescent="0.2">
      <c r="A17" t="str">
        <f t="shared" si="0"/>
        <v>ICE.2019.8</v>
      </c>
      <c r="B17" t="s">
        <v>1403</v>
      </c>
      <c r="C17" t="str">
        <f t="shared" si="1"/>
        <v>8</v>
      </c>
      <c r="D17" t="str">
        <f t="shared" si="2"/>
        <v>2019</v>
      </c>
      <c r="E17" s="51" t="s">
        <v>1385</v>
      </c>
      <c r="J17">
        <v>32.549999999999997</v>
      </c>
      <c r="K17">
        <v>0.4</v>
      </c>
      <c r="L17">
        <v>0</v>
      </c>
      <c r="M17">
        <v>1150</v>
      </c>
      <c r="N17">
        <v>0</v>
      </c>
      <c r="O17">
        <v>0</v>
      </c>
      <c r="P17">
        <v>0</v>
      </c>
      <c r="Q17">
        <v>0</v>
      </c>
      <c r="R17">
        <v>0</v>
      </c>
    </row>
    <row r="18" spans="1:18" x14ac:dyDescent="0.2">
      <c r="A18" t="str">
        <f t="shared" si="0"/>
        <v>ICE.2019.9</v>
      </c>
      <c r="B18" t="s">
        <v>1403</v>
      </c>
      <c r="C18" t="str">
        <f t="shared" si="1"/>
        <v>9</v>
      </c>
      <c r="D18" t="str">
        <f t="shared" si="2"/>
        <v>2019</v>
      </c>
      <c r="E18" s="51" t="s">
        <v>1386</v>
      </c>
      <c r="J18">
        <v>31.95</v>
      </c>
      <c r="K18">
        <v>0.4</v>
      </c>
      <c r="L18">
        <v>0</v>
      </c>
      <c r="M18">
        <v>1150</v>
      </c>
      <c r="N18">
        <v>0</v>
      </c>
      <c r="O18">
        <v>0</v>
      </c>
      <c r="P18">
        <v>0</v>
      </c>
      <c r="Q18">
        <v>0</v>
      </c>
      <c r="R18">
        <v>0</v>
      </c>
    </row>
    <row r="19" spans="1:18" x14ac:dyDescent="0.2">
      <c r="A19" t="str">
        <f t="shared" si="0"/>
        <v>ICE.2019.10</v>
      </c>
      <c r="B19" t="s">
        <v>1403</v>
      </c>
      <c r="C19" t="str">
        <f t="shared" si="1"/>
        <v>10</v>
      </c>
      <c r="D19" t="str">
        <f t="shared" si="2"/>
        <v>2019</v>
      </c>
      <c r="E19" s="51" t="s">
        <v>1387</v>
      </c>
      <c r="J19">
        <v>31.6</v>
      </c>
      <c r="K19">
        <v>0.35</v>
      </c>
      <c r="L19">
        <v>0</v>
      </c>
      <c r="M19">
        <v>1175</v>
      </c>
      <c r="N19">
        <v>0</v>
      </c>
      <c r="O19">
        <v>0</v>
      </c>
      <c r="P19">
        <v>0</v>
      </c>
      <c r="Q19">
        <v>0</v>
      </c>
      <c r="R19">
        <v>0</v>
      </c>
    </row>
    <row r="20" spans="1:18" x14ac:dyDescent="0.2">
      <c r="A20" t="str">
        <f t="shared" si="0"/>
        <v>ICE.2019.11</v>
      </c>
      <c r="B20" t="s">
        <v>1403</v>
      </c>
      <c r="C20" t="str">
        <f t="shared" si="1"/>
        <v>11</v>
      </c>
      <c r="D20" t="str">
        <f t="shared" si="2"/>
        <v>2019</v>
      </c>
      <c r="E20" s="51" t="s">
        <v>1388</v>
      </c>
      <c r="J20">
        <v>32.299999999999997</v>
      </c>
      <c r="K20">
        <v>0.35</v>
      </c>
      <c r="L20">
        <v>0</v>
      </c>
      <c r="M20">
        <v>1175</v>
      </c>
      <c r="N20">
        <v>0</v>
      </c>
      <c r="O20">
        <v>0</v>
      </c>
      <c r="P20">
        <v>0</v>
      </c>
      <c r="Q20">
        <v>0</v>
      </c>
      <c r="R20">
        <v>0</v>
      </c>
    </row>
    <row r="21" spans="1:18" x14ac:dyDescent="0.2">
      <c r="A21" t="str">
        <f t="shared" si="0"/>
        <v>ICE.2019.12</v>
      </c>
      <c r="B21" t="s">
        <v>1403</v>
      </c>
      <c r="C21" t="str">
        <f t="shared" si="1"/>
        <v>12</v>
      </c>
      <c r="D21" t="str">
        <f t="shared" si="2"/>
        <v>2019</v>
      </c>
      <c r="E21" s="51" t="s">
        <v>1389</v>
      </c>
      <c r="J21">
        <v>33.75</v>
      </c>
      <c r="K21">
        <v>0.35</v>
      </c>
      <c r="L21">
        <v>0</v>
      </c>
      <c r="M21">
        <v>1175</v>
      </c>
      <c r="N21">
        <v>0</v>
      </c>
      <c r="O21">
        <v>0</v>
      </c>
      <c r="P21">
        <v>0</v>
      </c>
      <c r="Q21">
        <v>0</v>
      </c>
      <c r="R21">
        <v>0</v>
      </c>
    </row>
    <row r="22" spans="1:18" x14ac:dyDescent="0.2">
      <c r="A22" t="str">
        <f t="shared" si="0"/>
        <v>ICE.2020.1</v>
      </c>
      <c r="B22" t="s">
        <v>1403</v>
      </c>
      <c r="C22" t="str">
        <f t="shared" si="1"/>
        <v>1</v>
      </c>
      <c r="D22" t="str">
        <f t="shared" si="2"/>
        <v>2020</v>
      </c>
      <c r="E22" s="51" t="s">
        <v>1390</v>
      </c>
      <c r="J22">
        <v>36.799999999999997</v>
      </c>
      <c r="K22">
        <v>0.1</v>
      </c>
      <c r="L22">
        <v>0</v>
      </c>
      <c r="M22">
        <v>875</v>
      </c>
      <c r="N22">
        <v>0</v>
      </c>
      <c r="O22">
        <v>0</v>
      </c>
      <c r="P22">
        <v>0</v>
      </c>
      <c r="Q22">
        <v>0</v>
      </c>
      <c r="R22">
        <v>0</v>
      </c>
    </row>
    <row r="23" spans="1:18" x14ac:dyDescent="0.2">
      <c r="A23" t="str">
        <f t="shared" si="0"/>
        <v>ICE.2020.2</v>
      </c>
      <c r="B23" t="s">
        <v>1403</v>
      </c>
      <c r="C23" t="str">
        <f t="shared" si="1"/>
        <v>2</v>
      </c>
      <c r="D23" t="str">
        <f t="shared" si="2"/>
        <v>2020</v>
      </c>
      <c r="E23" s="51" t="s">
        <v>1391</v>
      </c>
      <c r="J23">
        <v>34.200000000000003</v>
      </c>
      <c r="K23">
        <v>0.1</v>
      </c>
      <c r="L23">
        <v>0</v>
      </c>
      <c r="M23">
        <v>875</v>
      </c>
      <c r="N23">
        <v>0</v>
      </c>
      <c r="O23">
        <v>0</v>
      </c>
      <c r="P23">
        <v>0</v>
      </c>
      <c r="Q23">
        <v>0</v>
      </c>
      <c r="R23">
        <v>0</v>
      </c>
    </row>
    <row r="24" spans="1:18" x14ac:dyDescent="0.2">
      <c r="A24" t="str">
        <f t="shared" si="0"/>
        <v>ICE.2020.3</v>
      </c>
      <c r="B24" t="s">
        <v>1403</v>
      </c>
      <c r="C24" t="str">
        <f t="shared" si="1"/>
        <v>3</v>
      </c>
      <c r="D24" t="str">
        <f t="shared" si="2"/>
        <v>2020</v>
      </c>
      <c r="E24" s="51" t="s">
        <v>1392</v>
      </c>
      <c r="J24">
        <v>30.8</v>
      </c>
      <c r="K24">
        <v>0.1</v>
      </c>
      <c r="L24">
        <v>0</v>
      </c>
      <c r="M24">
        <v>875</v>
      </c>
      <c r="N24">
        <v>0</v>
      </c>
      <c r="O24">
        <v>0</v>
      </c>
      <c r="P24">
        <v>0</v>
      </c>
      <c r="Q24">
        <v>0</v>
      </c>
      <c r="R24">
        <v>0</v>
      </c>
    </row>
    <row r="25" spans="1:18" x14ac:dyDescent="0.2">
      <c r="A25" t="str">
        <f t="shared" si="0"/>
        <v>ICE.2020.4</v>
      </c>
      <c r="B25" t="s">
        <v>1403</v>
      </c>
      <c r="C25" t="str">
        <f t="shared" si="1"/>
        <v>4</v>
      </c>
      <c r="D25" t="str">
        <f t="shared" si="2"/>
        <v>2020</v>
      </c>
      <c r="E25" s="51" t="s">
        <v>1393</v>
      </c>
      <c r="J25">
        <v>25.7</v>
      </c>
      <c r="K25">
        <v>0.1</v>
      </c>
      <c r="L25">
        <v>0</v>
      </c>
      <c r="M25">
        <v>875</v>
      </c>
      <c r="N25">
        <v>0</v>
      </c>
      <c r="O25">
        <v>0</v>
      </c>
      <c r="P25">
        <v>0</v>
      </c>
      <c r="Q25">
        <v>0</v>
      </c>
      <c r="R25">
        <v>0</v>
      </c>
    </row>
    <row r="26" spans="1:18" x14ac:dyDescent="0.2">
      <c r="A26" t="str">
        <f t="shared" si="0"/>
        <v>ICE.2020.5</v>
      </c>
      <c r="B26" t="s">
        <v>1403</v>
      </c>
      <c r="C26" t="str">
        <f t="shared" si="1"/>
        <v>5</v>
      </c>
      <c r="D26" t="str">
        <f t="shared" si="2"/>
        <v>2020</v>
      </c>
      <c r="E26" s="51" t="s">
        <v>1394</v>
      </c>
      <c r="J26">
        <v>24.9</v>
      </c>
      <c r="K26">
        <v>0.05</v>
      </c>
      <c r="L26">
        <v>0</v>
      </c>
      <c r="M26">
        <v>875</v>
      </c>
      <c r="N26">
        <v>0</v>
      </c>
      <c r="O26">
        <v>0</v>
      </c>
      <c r="P26">
        <v>0</v>
      </c>
      <c r="Q26">
        <v>0</v>
      </c>
      <c r="R26">
        <v>0</v>
      </c>
    </row>
    <row r="27" spans="1:18" x14ac:dyDescent="0.2">
      <c r="A27" t="str">
        <f t="shared" si="0"/>
        <v>ICE.2020.6</v>
      </c>
      <c r="B27" t="s">
        <v>1403</v>
      </c>
      <c r="C27" t="str">
        <f t="shared" si="1"/>
        <v>6</v>
      </c>
      <c r="D27" t="str">
        <f t="shared" si="2"/>
        <v>2020</v>
      </c>
      <c r="E27" s="51" t="s">
        <v>1395</v>
      </c>
      <c r="J27">
        <v>27</v>
      </c>
      <c r="K27">
        <v>0.1</v>
      </c>
      <c r="L27">
        <v>0</v>
      </c>
      <c r="M27">
        <v>875</v>
      </c>
      <c r="N27">
        <v>0</v>
      </c>
      <c r="O27">
        <v>0</v>
      </c>
      <c r="P27">
        <v>0</v>
      </c>
      <c r="Q27">
        <v>0</v>
      </c>
      <c r="R27">
        <v>0</v>
      </c>
    </row>
    <row r="28" spans="1:18" x14ac:dyDescent="0.2">
      <c r="A28" t="str">
        <f t="shared" si="0"/>
        <v>ICE.2020.7</v>
      </c>
      <c r="B28" t="s">
        <v>1403</v>
      </c>
      <c r="C28" t="str">
        <f t="shared" si="1"/>
        <v>7</v>
      </c>
      <c r="D28" t="str">
        <f t="shared" si="2"/>
        <v>2020</v>
      </c>
      <c r="E28" s="51" t="s">
        <v>1396</v>
      </c>
      <c r="J28">
        <v>32</v>
      </c>
      <c r="K28">
        <v>0.1</v>
      </c>
      <c r="L28">
        <v>0</v>
      </c>
      <c r="M28">
        <v>875</v>
      </c>
      <c r="N28">
        <v>0</v>
      </c>
      <c r="O28">
        <v>0</v>
      </c>
      <c r="P28">
        <v>0</v>
      </c>
      <c r="Q28">
        <v>0</v>
      </c>
      <c r="R28">
        <v>0</v>
      </c>
    </row>
    <row r="29" spans="1:18" x14ac:dyDescent="0.2">
      <c r="A29" t="str">
        <f t="shared" si="0"/>
        <v>ICE.2020.8</v>
      </c>
      <c r="B29" t="s">
        <v>1403</v>
      </c>
      <c r="C29" t="str">
        <f t="shared" si="1"/>
        <v>8</v>
      </c>
      <c r="D29" t="str">
        <f t="shared" si="2"/>
        <v>2020</v>
      </c>
      <c r="E29" s="51" t="s">
        <v>1397</v>
      </c>
      <c r="J29">
        <v>34.200000000000003</v>
      </c>
      <c r="K29">
        <v>0.1</v>
      </c>
      <c r="L29">
        <v>0</v>
      </c>
      <c r="M29">
        <v>875</v>
      </c>
      <c r="N29">
        <v>0</v>
      </c>
      <c r="O29">
        <v>0</v>
      </c>
      <c r="P29">
        <v>0</v>
      </c>
      <c r="Q29">
        <v>0</v>
      </c>
      <c r="R29">
        <v>0</v>
      </c>
    </row>
    <row r="30" spans="1:18" x14ac:dyDescent="0.2">
      <c r="A30" t="str">
        <f t="shared" si="0"/>
        <v>ICE.2020.9</v>
      </c>
      <c r="B30" t="s">
        <v>1403</v>
      </c>
      <c r="C30" t="str">
        <f t="shared" si="1"/>
        <v>9</v>
      </c>
      <c r="D30" t="str">
        <f t="shared" si="2"/>
        <v>2020</v>
      </c>
      <c r="E30" s="51" t="s">
        <v>1398</v>
      </c>
      <c r="J30">
        <v>33.700000000000003</v>
      </c>
      <c r="K30">
        <v>0.1</v>
      </c>
      <c r="L30">
        <v>0</v>
      </c>
      <c r="M30">
        <v>875</v>
      </c>
      <c r="N30">
        <v>0</v>
      </c>
      <c r="O30">
        <v>0</v>
      </c>
      <c r="P30">
        <v>0</v>
      </c>
      <c r="Q30">
        <v>0</v>
      </c>
      <c r="R30">
        <v>0</v>
      </c>
    </row>
    <row r="31" spans="1:18" x14ac:dyDescent="0.2">
      <c r="A31" t="str">
        <f t="shared" si="0"/>
        <v>ICE.2020.10</v>
      </c>
      <c r="B31" t="s">
        <v>1403</v>
      </c>
      <c r="C31" t="str">
        <f t="shared" si="1"/>
        <v>10</v>
      </c>
      <c r="D31" t="str">
        <f t="shared" si="2"/>
        <v>2020</v>
      </c>
      <c r="E31" s="51" t="s">
        <v>1399</v>
      </c>
      <c r="J31">
        <v>34.1</v>
      </c>
      <c r="K31">
        <v>0.1</v>
      </c>
      <c r="L31">
        <v>0</v>
      </c>
      <c r="M31">
        <v>875</v>
      </c>
      <c r="N31">
        <v>0</v>
      </c>
      <c r="O31">
        <v>0</v>
      </c>
      <c r="P31">
        <v>0</v>
      </c>
      <c r="Q31">
        <v>0</v>
      </c>
      <c r="R31">
        <v>0</v>
      </c>
    </row>
    <row r="32" spans="1:18" x14ac:dyDescent="0.2">
      <c r="A32" t="str">
        <f t="shared" si="0"/>
        <v>ICE.2020.11</v>
      </c>
      <c r="B32" t="s">
        <v>1403</v>
      </c>
      <c r="C32" t="str">
        <f t="shared" si="1"/>
        <v>11</v>
      </c>
      <c r="D32" t="str">
        <f t="shared" si="2"/>
        <v>2020</v>
      </c>
      <c r="E32" s="51" t="s">
        <v>1400</v>
      </c>
      <c r="J32">
        <v>35</v>
      </c>
      <c r="K32">
        <v>0.1</v>
      </c>
      <c r="L32">
        <v>0</v>
      </c>
      <c r="M32">
        <v>875</v>
      </c>
      <c r="N32">
        <v>0</v>
      </c>
      <c r="O32">
        <v>0</v>
      </c>
      <c r="P32">
        <v>0</v>
      </c>
      <c r="Q32">
        <v>0</v>
      </c>
      <c r="R32">
        <v>0</v>
      </c>
    </row>
    <row r="33" spans="1:18" x14ac:dyDescent="0.2">
      <c r="A33" t="str">
        <f t="shared" si="0"/>
        <v>ICE.2020.12</v>
      </c>
      <c r="B33" t="s">
        <v>1403</v>
      </c>
      <c r="C33" t="str">
        <f t="shared" si="1"/>
        <v>12</v>
      </c>
      <c r="D33" t="str">
        <f t="shared" si="2"/>
        <v>2020</v>
      </c>
      <c r="E33" s="51" t="s">
        <v>1401</v>
      </c>
      <c r="J33">
        <v>36.549999999999997</v>
      </c>
      <c r="K33">
        <v>0.1</v>
      </c>
      <c r="L33">
        <v>0</v>
      </c>
      <c r="M33">
        <v>875</v>
      </c>
      <c r="N33">
        <v>0</v>
      </c>
      <c r="O33">
        <v>0</v>
      </c>
      <c r="P33">
        <v>0</v>
      </c>
      <c r="Q33">
        <v>0</v>
      </c>
      <c r="R33">
        <v>0</v>
      </c>
    </row>
    <row r="34" spans="1:18" x14ac:dyDescent="0.2">
      <c r="A34" t="str">
        <f t="shared" si="0"/>
        <v>ICE.2021.1</v>
      </c>
      <c r="B34" t="s">
        <v>1403</v>
      </c>
      <c r="C34" t="str">
        <f t="shared" si="1"/>
        <v>1</v>
      </c>
      <c r="D34" t="str">
        <f t="shared" si="2"/>
        <v>2021</v>
      </c>
      <c r="E34" s="51" t="s">
        <v>1405</v>
      </c>
      <c r="J34">
        <v>40.299999999999997</v>
      </c>
      <c r="K34">
        <v>0.1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</row>
    <row r="35" spans="1:18" x14ac:dyDescent="0.2">
      <c r="A35" t="str">
        <f t="shared" si="0"/>
        <v>ICE.2021.2</v>
      </c>
      <c r="B35" t="s">
        <v>1403</v>
      </c>
      <c r="C35" t="str">
        <f t="shared" si="1"/>
        <v>2</v>
      </c>
      <c r="D35" t="str">
        <f t="shared" si="2"/>
        <v>2021</v>
      </c>
      <c r="E35" s="51" t="s">
        <v>1406</v>
      </c>
      <c r="J35">
        <v>37.950000000000003</v>
      </c>
      <c r="K35">
        <v>0.1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</row>
    <row r="36" spans="1:18" x14ac:dyDescent="0.2">
      <c r="A36" t="str">
        <f t="shared" si="0"/>
        <v>ICE.2021.3</v>
      </c>
      <c r="B36" t="s">
        <v>1403</v>
      </c>
      <c r="C36" t="str">
        <f t="shared" si="1"/>
        <v>3</v>
      </c>
      <c r="D36" t="str">
        <f t="shared" si="2"/>
        <v>2021</v>
      </c>
      <c r="E36" s="51" t="s">
        <v>1407</v>
      </c>
      <c r="J36">
        <v>34.1</v>
      </c>
      <c r="K36">
        <v>0.1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</row>
    <row r="37" spans="1:18" x14ac:dyDescent="0.2">
      <c r="A37" t="str">
        <f t="shared" si="0"/>
        <v>ICE.2021.4</v>
      </c>
      <c r="B37" t="s">
        <v>1403</v>
      </c>
      <c r="C37" t="str">
        <f t="shared" si="1"/>
        <v>4</v>
      </c>
      <c r="D37" t="str">
        <f t="shared" si="2"/>
        <v>2021</v>
      </c>
      <c r="E37" s="51" t="s">
        <v>1408</v>
      </c>
      <c r="J37">
        <v>28</v>
      </c>
      <c r="K37">
        <v>0.1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</row>
    <row r="38" spans="1:18" x14ac:dyDescent="0.2">
      <c r="A38" t="str">
        <f t="shared" si="0"/>
        <v>ICE.2021.5</v>
      </c>
      <c r="B38" t="s">
        <v>1403</v>
      </c>
      <c r="C38" t="str">
        <f t="shared" si="1"/>
        <v>5</v>
      </c>
      <c r="D38" t="str">
        <f t="shared" si="2"/>
        <v>2021</v>
      </c>
      <c r="E38" s="51" t="s">
        <v>1409</v>
      </c>
      <c r="J38">
        <v>27.25</v>
      </c>
      <c r="K38">
        <v>0.05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</row>
    <row r="39" spans="1:18" x14ac:dyDescent="0.2">
      <c r="A39" t="str">
        <f t="shared" si="0"/>
        <v>ICE.2021.6</v>
      </c>
      <c r="B39" t="s">
        <v>1403</v>
      </c>
      <c r="C39" t="str">
        <f t="shared" si="1"/>
        <v>6</v>
      </c>
      <c r="D39" t="str">
        <f t="shared" si="2"/>
        <v>2021</v>
      </c>
      <c r="E39" s="51" t="s">
        <v>1410</v>
      </c>
      <c r="J39">
        <v>29.5</v>
      </c>
      <c r="K39">
        <v>0.1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</row>
    <row r="40" spans="1:18" x14ac:dyDescent="0.2">
      <c r="A40" t="str">
        <f t="shared" si="0"/>
        <v>ICE.2021.7</v>
      </c>
      <c r="B40" t="s">
        <v>1403</v>
      </c>
      <c r="C40" t="str">
        <f t="shared" si="1"/>
        <v>7</v>
      </c>
      <c r="D40" t="str">
        <f t="shared" si="2"/>
        <v>2021</v>
      </c>
      <c r="E40" s="51" t="s">
        <v>1411</v>
      </c>
      <c r="J40">
        <v>34.9</v>
      </c>
      <c r="K40">
        <v>0.1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</row>
    <row r="41" spans="1:18" x14ac:dyDescent="0.2">
      <c r="A41" t="str">
        <f t="shared" si="0"/>
        <v>ICE.2021.8</v>
      </c>
      <c r="B41" t="s">
        <v>1403</v>
      </c>
      <c r="C41" t="str">
        <f t="shared" si="1"/>
        <v>8</v>
      </c>
      <c r="D41" t="str">
        <f t="shared" si="2"/>
        <v>2021</v>
      </c>
      <c r="E41" s="51" t="s">
        <v>1412</v>
      </c>
      <c r="J41">
        <v>37.549999999999997</v>
      </c>
      <c r="K41">
        <v>0.1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</row>
    <row r="42" spans="1:18" x14ac:dyDescent="0.2">
      <c r="A42" t="str">
        <f t="shared" si="0"/>
        <v>ICE.2021.9</v>
      </c>
      <c r="B42" t="s">
        <v>1403</v>
      </c>
      <c r="C42" t="str">
        <f t="shared" si="1"/>
        <v>9</v>
      </c>
      <c r="D42" t="str">
        <f t="shared" si="2"/>
        <v>2021</v>
      </c>
      <c r="E42" s="51" t="s">
        <v>1413</v>
      </c>
      <c r="J42">
        <v>36.85</v>
      </c>
      <c r="K42">
        <v>0.1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</row>
    <row r="43" spans="1:18" x14ac:dyDescent="0.2">
      <c r="A43" t="str">
        <f t="shared" si="0"/>
        <v>ICE.2021.10</v>
      </c>
      <c r="B43" t="s">
        <v>1403</v>
      </c>
      <c r="C43" t="str">
        <f t="shared" si="1"/>
        <v>10</v>
      </c>
      <c r="D43" t="str">
        <f t="shared" si="2"/>
        <v>2021</v>
      </c>
      <c r="E43" s="51" t="s">
        <v>1414</v>
      </c>
      <c r="J43">
        <v>37.35</v>
      </c>
      <c r="K43">
        <v>0.1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</row>
    <row r="44" spans="1:18" x14ac:dyDescent="0.2">
      <c r="A44" t="str">
        <f t="shared" si="0"/>
        <v>ICE.2021.11</v>
      </c>
      <c r="B44" t="s">
        <v>1403</v>
      </c>
      <c r="C44" t="str">
        <f t="shared" si="1"/>
        <v>11</v>
      </c>
      <c r="D44" t="str">
        <f t="shared" si="2"/>
        <v>2021</v>
      </c>
      <c r="E44" s="51" t="s">
        <v>1415</v>
      </c>
      <c r="J44">
        <v>38.35</v>
      </c>
      <c r="K44">
        <v>0.1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</row>
    <row r="45" spans="1:18" x14ac:dyDescent="0.2">
      <c r="A45" t="str">
        <f t="shared" si="0"/>
        <v>ICE.2021.12</v>
      </c>
      <c r="B45" t="s">
        <v>1403</v>
      </c>
      <c r="C45" t="str">
        <f t="shared" si="1"/>
        <v>12</v>
      </c>
      <c r="D45" t="str">
        <f t="shared" si="2"/>
        <v>2021</v>
      </c>
      <c r="E45" s="51" t="s">
        <v>1416</v>
      </c>
      <c r="J45">
        <v>40.5</v>
      </c>
      <c r="K45">
        <v>0.1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</row>
    <row r="46" spans="1:18" x14ac:dyDescent="0.2">
      <c r="A46" t="str">
        <f t="shared" si="0"/>
        <v>ICE.2022.1</v>
      </c>
      <c r="B46" t="s">
        <v>1403</v>
      </c>
      <c r="C46" t="str">
        <f t="shared" si="1"/>
        <v>1</v>
      </c>
      <c r="D46" t="str">
        <f t="shared" si="2"/>
        <v>2022</v>
      </c>
      <c r="E46" s="51" t="s">
        <v>1485</v>
      </c>
      <c r="J46">
        <v>42.1</v>
      </c>
      <c r="K46">
        <v>0.1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</row>
    <row r="47" spans="1:18" x14ac:dyDescent="0.2">
      <c r="A47" t="str">
        <f t="shared" si="0"/>
        <v>ICE.2022.2</v>
      </c>
      <c r="B47" t="s">
        <v>1403</v>
      </c>
      <c r="C47" t="str">
        <f t="shared" si="1"/>
        <v>2</v>
      </c>
      <c r="D47" t="str">
        <f t="shared" si="2"/>
        <v>2022</v>
      </c>
      <c r="E47" s="51" t="s">
        <v>1486</v>
      </c>
      <c r="J47">
        <v>39.6</v>
      </c>
      <c r="K47">
        <v>0.1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</row>
    <row r="48" spans="1:18" x14ac:dyDescent="0.2">
      <c r="A48" t="str">
        <f t="shared" si="0"/>
        <v>ICE.2022.3</v>
      </c>
      <c r="B48" t="s">
        <v>1403</v>
      </c>
      <c r="C48" t="str">
        <f t="shared" si="1"/>
        <v>3</v>
      </c>
      <c r="D48" t="str">
        <f t="shared" si="2"/>
        <v>2022</v>
      </c>
      <c r="E48" s="51" t="s">
        <v>1487</v>
      </c>
      <c r="J48">
        <v>35.200000000000003</v>
      </c>
      <c r="K48">
        <v>0.1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</row>
    <row r="49" spans="1:18" x14ac:dyDescent="0.2">
      <c r="A49" t="str">
        <f t="shared" si="0"/>
        <v>ICE.2022.4</v>
      </c>
      <c r="B49" t="s">
        <v>1403</v>
      </c>
      <c r="C49" t="str">
        <f t="shared" si="1"/>
        <v>4</v>
      </c>
      <c r="D49" t="str">
        <f t="shared" si="2"/>
        <v>2022</v>
      </c>
      <c r="E49" s="51" t="s">
        <v>1488</v>
      </c>
      <c r="J49">
        <v>29.25</v>
      </c>
      <c r="K49">
        <v>0.05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</row>
    <row r="50" spans="1:18" x14ac:dyDescent="0.2">
      <c r="A50" t="str">
        <f t="shared" si="0"/>
        <v>ICE.2022.5</v>
      </c>
      <c r="B50" t="s">
        <v>1403</v>
      </c>
      <c r="C50" t="str">
        <f t="shared" si="1"/>
        <v>5</v>
      </c>
      <c r="D50" t="str">
        <f t="shared" si="2"/>
        <v>2022</v>
      </c>
      <c r="E50" s="51" t="s">
        <v>1489</v>
      </c>
      <c r="J50">
        <v>28.6</v>
      </c>
      <c r="K50">
        <v>0.05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</row>
    <row r="51" spans="1:18" x14ac:dyDescent="0.2">
      <c r="A51" t="str">
        <f t="shared" si="0"/>
        <v>ICE.2022.6</v>
      </c>
      <c r="B51" t="s">
        <v>1403</v>
      </c>
      <c r="C51" t="str">
        <f t="shared" si="1"/>
        <v>6</v>
      </c>
      <c r="D51" t="str">
        <f t="shared" si="2"/>
        <v>2022</v>
      </c>
      <c r="E51" s="51" t="s">
        <v>1490</v>
      </c>
      <c r="J51">
        <v>31.05</v>
      </c>
      <c r="K51">
        <v>0.1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</row>
    <row r="52" spans="1:18" x14ac:dyDescent="0.2">
      <c r="A52" t="str">
        <f t="shared" si="0"/>
        <v>ICE.2022.7</v>
      </c>
      <c r="B52" t="s">
        <v>1403</v>
      </c>
      <c r="C52" t="str">
        <f t="shared" si="1"/>
        <v>7</v>
      </c>
      <c r="D52" t="str">
        <f t="shared" si="2"/>
        <v>2022</v>
      </c>
      <c r="E52" s="51" t="s">
        <v>1491</v>
      </c>
      <c r="J52">
        <v>36.5</v>
      </c>
      <c r="K52">
        <v>0.1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</row>
    <row r="53" spans="1:18" x14ac:dyDescent="0.2">
      <c r="A53" t="str">
        <f t="shared" si="0"/>
        <v>ICE.2022.8</v>
      </c>
      <c r="B53" t="s">
        <v>1403</v>
      </c>
      <c r="C53" t="str">
        <f t="shared" si="1"/>
        <v>8</v>
      </c>
      <c r="D53" t="str">
        <f t="shared" si="2"/>
        <v>2022</v>
      </c>
      <c r="E53" s="51" t="s">
        <v>1492</v>
      </c>
      <c r="J53">
        <v>39.25</v>
      </c>
      <c r="K53">
        <v>0.1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</row>
    <row r="54" spans="1:18" x14ac:dyDescent="0.2">
      <c r="A54" t="str">
        <f t="shared" si="0"/>
        <v>ICE.2022.9</v>
      </c>
      <c r="B54" t="s">
        <v>1403</v>
      </c>
      <c r="C54" t="str">
        <f t="shared" si="1"/>
        <v>9</v>
      </c>
      <c r="D54" t="str">
        <f t="shared" si="2"/>
        <v>2022</v>
      </c>
      <c r="E54" s="51" t="s">
        <v>1493</v>
      </c>
      <c r="J54">
        <v>38.5</v>
      </c>
      <c r="K54">
        <v>0.1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</row>
    <row r="55" spans="1:18" x14ac:dyDescent="0.2">
      <c r="A55" t="str">
        <f t="shared" si="0"/>
        <v>ICE.2022.10</v>
      </c>
      <c r="B55" t="s">
        <v>1403</v>
      </c>
      <c r="C55" t="str">
        <f t="shared" si="1"/>
        <v>10</v>
      </c>
      <c r="D55" t="str">
        <f t="shared" si="2"/>
        <v>2022</v>
      </c>
      <c r="E55" s="51" t="s">
        <v>1494</v>
      </c>
      <c r="J55">
        <v>39.200000000000003</v>
      </c>
      <c r="K55">
        <v>0.1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</row>
    <row r="56" spans="1:18" x14ac:dyDescent="0.2">
      <c r="A56" t="str">
        <f t="shared" si="0"/>
        <v>ICE.2022.11</v>
      </c>
      <c r="B56" t="s">
        <v>1403</v>
      </c>
      <c r="C56" t="str">
        <f t="shared" si="1"/>
        <v>11</v>
      </c>
      <c r="D56" t="str">
        <f t="shared" si="2"/>
        <v>2022</v>
      </c>
      <c r="E56" s="51" t="s">
        <v>1495</v>
      </c>
      <c r="J56">
        <v>40.1</v>
      </c>
      <c r="K56">
        <v>0.1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</row>
    <row r="57" spans="1:18" x14ac:dyDescent="0.2">
      <c r="A57" t="str">
        <f t="shared" si="0"/>
        <v>ICE.2022.12</v>
      </c>
      <c r="B57" t="s">
        <v>1403</v>
      </c>
      <c r="C57" t="str">
        <f t="shared" si="1"/>
        <v>12</v>
      </c>
      <c r="D57" t="str">
        <f t="shared" si="2"/>
        <v>2022</v>
      </c>
      <c r="E57" s="51" t="s">
        <v>1496</v>
      </c>
      <c r="J57">
        <v>42.2</v>
      </c>
      <c r="K57">
        <v>0.1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</row>
    <row r="58" spans="1:18" x14ac:dyDescent="0.2">
      <c r="A58" t="str">
        <f t="shared" si="0"/>
        <v>ICE.2023.1</v>
      </c>
      <c r="B58" t="s">
        <v>1403</v>
      </c>
      <c r="C58" t="str">
        <f t="shared" si="1"/>
        <v>1</v>
      </c>
      <c r="D58" t="str">
        <f t="shared" si="2"/>
        <v>2023</v>
      </c>
      <c r="E58" s="51" t="s">
        <v>1511</v>
      </c>
      <c r="J58">
        <v>43.45</v>
      </c>
      <c r="K58">
        <v>0.1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</row>
    <row r="59" spans="1:18" x14ac:dyDescent="0.2">
      <c r="A59" t="str">
        <f t="shared" si="0"/>
        <v>ICE.2023.2</v>
      </c>
      <c r="B59" t="s">
        <v>1403</v>
      </c>
      <c r="C59" t="str">
        <f t="shared" si="1"/>
        <v>2</v>
      </c>
      <c r="D59" t="str">
        <f t="shared" si="2"/>
        <v>2023</v>
      </c>
      <c r="E59" s="51" t="s">
        <v>1512</v>
      </c>
      <c r="J59">
        <v>40.700000000000003</v>
      </c>
      <c r="K59">
        <v>0.1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</row>
    <row r="60" spans="1:18" x14ac:dyDescent="0.2">
      <c r="A60" t="str">
        <f t="shared" si="0"/>
        <v>ICE.2023.3</v>
      </c>
      <c r="B60" t="s">
        <v>1403</v>
      </c>
      <c r="C60" t="str">
        <f t="shared" si="1"/>
        <v>3</v>
      </c>
      <c r="D60" t="str">
        <f t="shared" si="2"/>
        <v>2023</v>
      </c>
      <c r="E60" s="51" t="s">
        <v>1513</v>
      </c>
      <c r="J60">
        <v>36.4</v>
      </c>
      <c r="K60">
        <v>0.1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</row>
    <row r="61" spans="1:18" x14ac:dyDescent="0.2">
      <c r="A61" t="str">
        <f t="shared" si="0"/>
        <v>ICE.2023.4</v>
      </c>
      <c r="B61" t="s">
        <v>1403</v>
      </c>
      <c r="C61" t="str">
        <f t="shared" si="1"/>
        <v>4</v>
      </c>
      <c r="D61" t="str">
        <f t="shared" si="2"/>
        <v>2023</v>
      </c>
      <c r="E61" s="51" t="s">
        <v>1514</v>
      </c>
      <c r="J61">
        <v>30.3</v>
      </c>
      <c r="K61">
        <v>0.05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</row>
    <row r="62" spans="1:18" x14ac:dyDescent="0.2">
      <c r="A62" t="str">
        <f t="shared" si="0"/>
        <v>ICE.2023.5</v>
      </c>
      <c r="B62" t="s">
        <v>1403</v>
      </c>
      <c r="C62" t="str">
        <f t="shared" si="1"/>
        <v>5</v>
      </c>
      <c r="D62" t="str">
        <f t="shared" si="2"/>
        <v>2023</v>
      </c>
      <c r="E62" s="51" t="s">
        <v>1515</v>
      </c>
      <c r="J62">
        <v>29.45</v>
      </c>
      <c r="K62">
        <v>0.05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</row>
    <row r="63" spans="1:18" x14ac:dyDescent="0.2">
      <c r="A63" t="str">
        <f t="shared" si="0"/>
        <v>ICE.2023.6</v>
      </c>
      <c r="B63" t="s">
        <v>1403</v>
      </c>
      <c r="C63" t="str">
        <f t="shared" si="1"/>
        <v>6</v>
      </c>
      <c r="D63" t="str">
        <f t="shared" si="2"/>
        <v>2023</v>
      </c>
      <c r="E63" s="51" t="s">
        <v>1516</v>
      </c>
      <c r="J63">
        <v>32.049999999999997</v>
      </c>
      <c r="K63">
        <v>0.1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</row>
    <row r="64" spans="1:18" x14ac:dyDescent="0.2">
      <c r="A64" t="str">
        <f t="shared" si="0"/>
        <v>ICE.2023.7</v>
      </c>
      <c r="B64" t="s">
        <v>1403</v>
      </c>
      <c r="C64" t="str">
        <f t="shared" si="1"/>
        <v>7</v>
      </c>
      <c r="D64" t="str">
        <f t="shared" si="2"/>
        <v>2023</v>
      </c>
      <c r="E64" s="51" t="s">
        <v>1517</v>
      </c>
      <c r="J64">
        <v>37.75</v>
      </c>
      <c r="K64">
        <v>0.1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</row>
    <row r="65" spans="1:18" x14ac:dyDescent="0.2">
      <c r="A65" t="str">
        <f t="shared" si="0"/>
        <v>ICE.2023.8</v>
      </c>
      <c r="B65" t="s">
        <v>1403</v>
      </c>
      <c r="C65" t="str">
        <f t="shared" si="1"/>
        <v>8</v>
      </c>
      <c r="D65" t="str">
        <f t="shared" si="2"/>
        <v>2023</v>
      </c>
      <c r="E65" s="51" t="s">
        <v>1518</v>
      </c>
      <c r="J65">
        <v>40.450000000000003</v>
      </c>
      <c r="K65">
        <v>0.1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</row>
    <row r="66" spans="1:18" x14ac:dyDescent="0.2">
      <c r="A66" t="str">
        <f t="shared" si="0"/>
        <v>ICE.2023.9</v>
      </c>
      <c r="B66" t="s">
        <v>1403</v>
      </c>
      <c r="C66" t="str">
        <f t="shared" si="1"/>
        <v>9</v>
      </c>
      <c r="D66" t="str">
        <f t="shared" si="2"/>
        <v>2023</v>
      </c>
      <c r="E66" s="51" t="s">
        <v>1519</v>
      </c>
      <c r="J66">
        <v>39.6</v>
      </c>
      <c r="K66">
        <v>0.1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</row>
    <row r="67" spans="1:18" x14ac:dyDescent="0.2">
      <c r="A67" t="str">
        <f t="shared" ref="A67:A105" si="3">B67&amp;"."&amp;D67&amp;"."&amp;C67</f>
        <v>ICE.2023.10</v>
      </c>
      <c r="B67" t="s">
        <v>1403</v>
      </c>
      <c r="C67" t="str">
        <f t="shared" ref="C67:C105" si="4">TEXT(DATEVALUE("1"&amp;E67),"M")</f>
        <v>10</v>
      </c>
      <c r="D67" t="str">
        <f t="shared" ref="D67:D105" si="5">TEXT(DATEVALUE("1"&amp;E67),"YYYY")</f>
        <v>2023</v>
      </c>
      <c r="E67" s="51" t="s">
        <v>1520</v>
      </c>
      <c r="J67">
        <v>40.35</v>
      </c>
      <c r="K67">
        <v>0.1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</row>
    <row r="68" spans="1:18" x14ac:dyDescent="0.2">
      <c r="A68" t="str">
        <f t="shared" si="3"/>
        <v>ICE.2023.11</v>
      </c>
      <c r="B68" t="s">
        <v>1403</v>
      </c>
      <c r="C68" t="str">
        <f t="shared" si="4"/>
        <v>11</v>
      </c>
      <c r="D68" t="str">
        <f t="shared" si="5"/>
        <v>2023</v>
      </c>
      <c r="E68" s="51" t="s">
        <v>1521</v>
      </c>
      <c r="J68">
        <v>41.3</v>
      </c>
      <c r="K68">
        <v>0.1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</row>
    <row r="69" spans="1:18" x14ac:dyDescent="0.2">
      <c r="A69" t="str">
        <f t="shared" si="3"/>
        <v>ICE.2023.12</v>
      </c>
      <c r="B69" t="s">
        <v>1403</v>
      </c>
      <c r="C69" t="str">
        <f t="shared" si="4"/>
        <v>12</v>
      </c>
      <c r="D69" t="str">
        <f t="shared" si="5"/>
        <v>2023</v>
      </c>
      <c r="E69" s="51" t="s">
        <v>1522</v>
      </c>
      <c r="J69">
        <v>43.7</v>
      </c>
      <c r="K69">
        <v>0.1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</row>
    <row r="70" spans="1:18" x14ac:dyDescent="0.2">
      <c r="A70" t="str">
        <f t="shared" si="3"/>
        <v>ICE.2024.1</v>
      </c>
      <c r="B70" t="s">
        <v>1403</v>
      </c>
      <c r="C70" t="str">
        <f t="shared" si="4"/>
        <v>1</v>
      </c>
      <c r="D70" t="str">
        <f t="shared" si="5"/>
        <v>2024</v>
      </c>
      <c r="E70" s="51" t="s">
        <v>1523</v>
      </c>
      <c r="J70">
        <v>44.65</v>
      </c>
      <c r="K70">
        <v>0.1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</row>
    <row r="71" spans="1:18" x14ac:dyDescent="0.2">
      <c r="A71" t="str">
        <f t="shared" si="3"/>
        <v>ICE.2024.2</v>
      </c>
      <c r="B71" t="s">
        <v>1403</v>
      </c>
      <c r="C71" t="str">
        <f t="shared" si="4"/>
        <v>2</v>
      </c>
      <c r="D71" t="str">
        <f t="shared" si="5"/>
        <v>2024</v>
      </c>
      <c r="E71" s="51" t="s">
        <v>1524</v>
      </c>
      <c r="J71">
        <v>41.7</v>
      </c>
      <c r="K71">
        <v>0.1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</row>
    <row r="72" spans="1:18" x14ac:dyDescent="0.2">
      <c r="A72" t="str">
        <f t="shared" si="3"/>
        <v>ICE.2024.3</v>
      </c>
      <c r="B72" t="s">
        <v>1403</v>
      </c>
      <c r="C72" t="str">
        <f t="shared" si="4"/>
        <v>3</v>
      </c>
      <c r="D72" t="str">
        <f t="shared" si="5"/>
        <v>2024</v>
      </c>
      <c r="E72" s="51" t="s">
        <v>1525</v>
      </c>
      <c r="J72">
        <v>37.299999999999997</v>
      </c>
      <c r="K72">
        <v>0.1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</row>
    <row r="73" spans="1:18" x14ac:dyDescent="0.2">
      <c r="A73" t="str">
        <f t="shared" si="3"/>
        <v>ICE.2024.4</v>
      </c>
      <c r="B73" t="s">
        <v>1403</v>
      </c>
      <c r="C73" t="str">
        <f t="shared" si="4"/>
        <v>4</v>
      </c>
      <c r="D73" t="str">
        <f t="shared" si="5"/>
        <v>2024</v>
      </c>
      <c r="E73" s="51" t="s">
        <v>1526</v>
      </c>
      <c r="J73">
        <v>31.05</v>
      </c>
      <c r="K73">
        <v>0.05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</row>
    <row r="74" spans="1:18" x14ac:dyDescent="0.2">
      <c r="A74" t="str">
        <f t="shared" si="3"/>
        <v>ICE.2024.5</v>
      </c>
      <c r="B74" t="s">
        <v>1403</v>
      </c>
      <c r="C74" t="str">
        <f t="shared" si="4"/>
        <v>5</v>
      </c>
      <c r="D74" t="str">
        <f t="shared" si="5"/>
        <v>2024</v>
      </c>
      <c r="E74" s="51" t="s">
        <v>1527</v>
      </c>
      <c r="J74">
        <v>30.2</v>
      </c>
      <c r="K74">
        <v>0.05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</row>
    <row r="75" spans="1:18" x14ac:dyDescent="0.2">
      <c r="A75" t="str">
        <f t="shared" si="3"/>
        <v>ICE.2024.6</v>
      </c>
      <c r="B75" t="s">
        <v>1403</v>
      </c>
      <c r="C75" t="str">
        <f t="shared" si="4"/>
        <v>6</v>
      </c>
      <c r="D75" t="str">
        <f t="shared" si="5"/>
        <v>2024</v>
      </c>
      <c r="E75" s="51" t="s">
        <v>1528</v>
      </c>
      <c r="J75">
        <v>32.9</v>
      </c>
      <c r="K75">
        <v>0.1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</row>
    <row r="76" spans="1:18" x14ac:dyDescent="0.2">
      <c r="A76" t="str">
        <f t="shared" si="3"/>
        <v>ICE.2024.7</v>
      </c>
      <c r="B76" t="s">
        <v>1403</v>
      </c>
      <c r="C76" t="str">
        <f t="shared" si="4"/>
        <v>7</v>
      </c>
      <c r="D76" t="str">
        <f t="shared" si="5"/>
        <v>2024</v>
      </c>
      <c r="E76" s="51" t="s">
        <v>1529</v>
      </c>
      <c r="J76">
        <v>38.75</v>
      </c>
      <c r="K76">
        <v>0.1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</row>
    <row r="77" spans="1:18" x14ac:dyDescent="0.2">
      <c r="A77" t="str">
        <f t="shared" si="3"/>
        <v>ICE.2024.8</v>
      </c>
      <c r="B77" t="s">
        <v>1403</v>
      </c>
      <c r="C77" t="str">
        <f t="shared" si="4"/>
        <v>8</v>
      </c>
      <c r="D77" t="str">
        <f t="shared" si="5"/>
        <v>2024</v>
      </c>
      <c r="E77" s="51" t="s">
        <v>1530</v>
      </c>
      <c r="J77">
        <v>41.45</v>
      </c>
      <c r="K77">
        <v>0.1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</row>
    <row r="78" spans="1:18" x14ac:dyDescent="0.2">
      <c r="A78" t="str">
        <f t="shared" si="3"/>
        <v>ICE.2024.9</v>
      </c>
      <c r="B78" t="s">
        <v>1403</v>
      </c>
      <c r="C78" t="str">
        <f t="shared" si="4"/>
        <v>9</v>
      </c>
      <c r="D78" t="str">
        <f t="shared" si="5"/>
        <v>2024</v>
      </c>
      <c r="E78" s="51" t="s">
        <v>1531</v>
      </c>
      <c r="J78">
        <v>40.85</v>
      </c>
      <c r="K78">
        <v>0.1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</row>
    <row r="79" spans="1:18" x14ac:dyDescent="0.2">
      <c r="A79" t="str">
        <f t="shared" si="3"/>
        <v>ICE.2024.10</v>
      </c>
      <c r="B79" t="s">
        <v>1403</v>
      </c>
      <c r="C79" t="str">
        <f t="shared" si="4"/>
        <v>10</v>
      </c>
      <c r="D79" t="str">
        <f t="shared" si="5"/>
        <v>2024</v>
      </c>
      <c r="E79" s="51" t="s">
        <v>1532</v>
      </c>
      <c r="J79">
        <v>41.45</v>
      </c>
      <c r="K79">
        <v>0.1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</row>
    <row r="80" spans="1:18" x14ac:dyDescent="0.2">
      <c r="A80" t="str">
        <f t="shared" si="3"/>
        <v>ICE.2024.11</v>
      </c>
      <c r="B80" t="s">
        <v>1403</v>
      </c>
      <c r="C80" t="str">
        <f t="shared" si="4"/>
        <v>11</v>
      </c>
      <c r="D80" t="str">
        <f t="shared" si="5"/>
        <v>2024</v>
      </c>
      <c r="E80" s="51" t="s">
        <v>1533</v>
      </c>
      <c r="J80">
        <v>42.35</v>
      </c>
      <c r="K80">
        <v>0.1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</row>
    <row r="81" spans="1:18" x14ac:dyDescent="0.2">
      <c r="A81" t="str">
        <f t="shared" si="3"/>
        <v>ICE.2024.12</v>
      </c>
      <c r="B81" t="s">
        <v>1403</v>
      </c>
      <c r="C81" t="str">
        <f t="shared" si="4"/>
        <v>12</v>
      </c>
      <c r="D81" t="str">
        <f t="shared" si="5"/>
        <v>2024</v>
      </c>
      <c r="E81" s="51" t="s">
        <v>1534</v>
      </c>
      <c r="J81">
        <v>45.75</v>
      </c>
      <c r="K81">
        <v>0.1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</row>
    <row r="82" spans="1:18" x14ac:dyDescent="0.2">
      <c r="A82" t="str">
        <f t="shared" si="3"/>
        <v>ICE.2025.1</v>
      </c>
      <c r="B82" t="s">
        <v>1403</v>
      </c>
      <c r="C82" t="str">
        <f t="shared" si="4"/>
        <v>1</v>
      </c>
      <c r="D82" t="str">
        <f t="shared" si="5"/>
        <v>2025</v>
      </c>
      <c r="E82" s="51" t="s">
        <v>1538</v>
      </c>
      <c r="J82">
        <v>45.8</v>
      </c>
      <c r="K82">
        <v>0.1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</row>
    <row r="83" spans="1:18" x14ac:dyDescent="0.2">
      <c r="A83" t="str">
        <f t="shared" si="3"/>
        <v>ICE.2025.2</v>
      </c>
      <c r="B83" t="s">
        <v>1403</v>
      </c>
      <c r="C83" t="str">
        <f t="shared" si="4"/>
        <v>2</v>
      </c>
      <c r="D83" t="str">
        <f t="shared" si="5"/>
        <v>2025</v>
      </c>
      <c r="E83" s="51" t="s">
        <v>1539</v>
      </c>
      <c r="J83">
        <v>43.05</v>
      </c>
      <c r="K83">
        <v>0.1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</row>
    <row r="84" spans="1:18" x14ac:dyDescent="0.2">
      <c r="A84" t="str">
        <f t="shared" si="3"/>
        <v>ICE.2025.3</v>
      </c>
      <c r="B84" t="s">
        <v>1403</v>
      </c>
      <c r="C84" t="str">
        <f t="shared" si="4"/>
        <v>3</v>
      </c>
      <c r="D84" t="str">
        <f t="shared" si="5"/>
        <v>2025</v>
      </c>
      <c r="E84" s="51" t="s">
        <v>1540</v>
      </c>
      <c r="J84">
        <v>38.4</v>
      </c>
      <c r="K84">
        <v>0.1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</row>
    <row r="85" spans="1:18" x14ac:dyDescent="0.2">
      <c r="A85" t="str">
        <f t="shared" si="3"/>
        <v>ICE.2025.4</v>
      </c>
      <c r="B85" t="s">
        <v>1403</v>
      </c>
      <c r="C85" t="str">
        <f t="shared" si="4"/>
        <v>4</v>
      </c>
      <c r="D85" t="str">
        <f t="shared" si="5"/>
        <v>2025</v>
      </c>
      <c r="E85" s="51" t="s">
        <v>1541</v>
      </c>
      <c r="J85">
        <v>31.95</v>
      </c>
      <c r="K85">
        <v>0.05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</row>
    <row r="86" spans="1:18" x14ac:dyDescent="0.2">
      <c r="A86" t="str">
        <f t="shared" si="3"/>
        <v>ICE.2025.5</v>
      </c>
      <c r="B86" t="s">
        <v>1403</v>
      </c>
      <c r="C86" t="str">
        <f t="shared" si="4"/>
        <v>5</v>
      </c>
      <c r="D86" t="str">
        <f t="shared" si="5"/>
        <v>2025</v>
      </c>
      <c r="E86" s="51" t="s">
        <v>1542</v>
      </c>
      <c r="J86">
        <v>31.1</v>
      </c>
      <c r="K86">
        <v>0.05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</row>
    <row r="87" spans="1:18" x14ac:dyDescent="0.2">
      <c r="A87" t="str">
        <f t="shared" si="3"/>
        <v>ICE.2025.6</v>
      </c>
      <c r="B87" t="s">
        <v>1403</v>
      </c>
      <c r="C87" t="str">
        <f t="shared" si="4"/>
        <v>6</v>
      </c>
      <c r="D87" t="str">
        <f t="shared" si="5"/>
        <v>2025</v>
      </c>
      <c r="E87" s="51" t="s">
        <v>1543</v>
      </c>
      <c r="J87">
        <v>33.75</v>
      </c>
      <c r="K87">
        <v>0.1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</row>
    <row r="88" spans="1:18" x14ac:dyDescent="0.2">
      <c r="A88" t="str">
        <f t="shared" si="3"/>
        <v>ICE.2025.7</v>
      </c>
      <c r="B88" t="s">
        <v>1403</v>
      </c>
      <c r="C88" t="str">
        <f t="shared" si="4"/>
        <v>7</v>
      </c>
      <c r="D88" t="str">
        <f t="shared" si="5"/>
        <v>2025</v>
      </c>
      <c r="E88" s="51" t="s">
        <v>1544</v>
      </c>
      <c r="J88">
        <v>40</v>
      </c>
      <c r="K88">
        <v>0.1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</row>
    <row r="89" spans="1:18" x14ac:dyDescent="0.2">
      <c r="A89" t="str">
        <f t="shared" si="3"/>
        <v>ICE.2025.8</v>
      </c>
      <c r="B89" t="s">
        <v>1403</v>
      </c>
      <c r="C89" t="str">
        <f t="shared" si="4"/>
        <v>8</v>
      </c>
      <c r="D89" t="str">
        <f t="shared" si="5"/>
        <v>2025</v>
      </c>
      <c r="E89" s="51" t="s">
        <v>1545</v>
      </c>
      <c r="J89">
        <v>42.7</v>
      </c>
      <c r="K89">
        <v>0.1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</row>
    <row r="90" spans="1:18" x14ac:dyDescent="0.2">
      <c r="A90" t="str">
        <f t="shared" si="3"/>
        <v>ICE.2025.9</v>
      </c>
      <c r="B90" t="s">
        <v>1403</v>
      </c>
      <c r="C90" t="str">
        <f t="shared" si="4"/>
        <v>9</v>
      </c>
      <c r="D90" t="str">
        <f t="shared" si="5"/>
        <v>2025</v>
      </c>
      <c r="E90" s="51" t="s">
        <v>1546</v>
      </c>
      <c r="J90">
        <v>42</v>
      </c>
      <c r="K90">
        <v>0.1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</row>
    <row r="91" spans="1:18" x14ac:dyDescent="0.2">
      <c r="A91" t="str">
        <f t="shared" si="3"/>
        <v>ICE.2025.10</v>
      </c>
      <c r="B91" t="s">
        <v>1403</v>
      </c>
      <c r="C91" t="str">
        <f t="shared" si="4"/>
        <v>10</v>
      </c>
      <c r="D91" t="str">
        <f t="shared" si="5"/>
        <v>2025</v>
      </c>
      <c r="E91" s="51" t="s">
        <v>1547</v>
      </c>
      <c r="J91">
        <v>42.7</v>
      </c>
      <c r="K91">
        <v>0.1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</row>
    <row r="92" spans="1:18" x14ac:dyDescent="0.2">
      <c r="A92" t="str">
        <f t="shared" si="3"/>
        <v>ICE.2025.11</v>
      </c>
      <c r="B92" t="s">
        <v>1403</v>
      </c>
      <c r="C92" t="str">
        <f t="shared" si="4"/>
        <v>11</v>
      </c>
      <c r="D92" t="str">
        <f t="shared" si="5"/>
        <v>2025</v>
      </c>
      <c r="E92" s="51" t="s">
        <v>1548</v>
      </c>
      <c r="J92">
        <v>43.65</v>
      </c>
      <c r="K92">
        <v>0.1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</row>
    <row r="93" spans="1:18" x14ac:dyDescent="0.2">
      <c r="A93" t="str">
        <f t="shared" si="3"/>
        <v>ICE.2025.12</v>
      </c>
      <c r="B93" t="s">
        <v>1403</v>
      </c>
      <c r="C93" t="str">
        <f t="shared" si="4"/>
        <v>12</v>
      </c>
      <c r="D93" t="str">
        <f t="shared" si="5"/>
        <v>2025</v>
      </c>
      <c r="E93" s="51" t="s">
        <v>1549</v>
      </c>
      <c r="J93">
        <v>46.95</v>
      </c>
      <c r="K93">
        <v>0.1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</row>
    <row r="94" spans="1:18" x14ac:dyDescent="0.2">
      <c r="A94" t="str">
        <f t="shared" si="3"/>
        <v>ICE.2026.1</v>
      </c>
      <c r="B94" t="s">
        <v>1403</v>
      </c>
      <c r="C94" t="str">
        <f t="shared" si="4"/>
        <v>1</v>
      </c>
      <c r="D94" t="str">
        <f t="shared" si="5"/>
        <v>2026</v>
      </c>
      <c r="E94" s="51" t="s">
        <v>1550</v>
      </c>
      <c r="J94">
        <v>47.1</v>
      </c>
      <c r="K94">
        <v>0.1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</row>
    <row r="95" spans="1:18" x14ac:dyDescent="0.2">
      <c r="A95" t="str">
        <f t="shared" si="3"/>
        <v>ICE.2026.2</v>
      </c>
      <c r="B95" t="s">
        <v>1403</v>
      </c>
      <c r="C95" t="str">
        <f t="shared" si="4"/>
        <v>2</v>
      </c>
      <c r="D95" t="str">
        <f t="shared" si="5"/>
        <v>2026</v>
      </c>
      <c r="E95" s="51" t="s">
        <v>1551</v>
      </c>
      <c r="J95">
        <v>44.2</v>
      </c>
      <c r="K95">
        <v>0.1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</row>
    <row r="96" spans="1:18" x14ac:dyDescent="0.2">
      <c r="A96" t="str">
        <f t="shared" si="3"/>
        <v>ICE.2026.3</v>
      </c>
      <c r="B96" t="s">
        <v>1403</v>
      </c>
      <c r="C96" t="str">
        <f t="shared" si="4"/>
        <v>3</v>
      </c>
      <c r="D96" t="str">
        <f t="shared" si="5"/>
        <v>2026</v>
      </c>
      <c r="E96" s="51" t="s">
        <v>1552</v>
      </c>
      <c r="J96">
        <v>39.6</v>
      </c>
      <c r="K96">
        <v>0.1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</row>
    <row r="97" spans="1:18" x14ac:dyDescent="0.2">
      <c r="A97" t="str">
        <f t="shared" si="3"/>
        <v>ICE.2026.4</v>
      </c>
      <c r="B97" t="s">
        <v>1403</v>
      </c>
      <c r="C97" t="str">
        <f t="shared" si="4"/>
        <v>4</v>
      </c>
      <c r="D97" t="str">
        <f t="shared" si="5"/>
        <v>2026</v>
      </c>
      <c r="E97" s="51" t="s">
        <v>1553</v>
      </c>
      <c r="J97">
        <v>32.9</v>
      </c>
      <c r="K97">
        <v>0.05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</row>
    <row r="98" spans="1:18" x14ac:dyDescent="0.2">
      <c r="A98" t="str">
        <f t="shared" si="3"/>
        <v>ICE.2026.5</v>
      </c>
      <c r="B98" t="s">
        <v>1403</v>
      </c>
      <c r="C98" t="str">
        <f t="shared" si="4"/>
        <v>5</v>
      </c>
      <c r="D98" t="str">
        <f t="shared" si="5"/>
        <v>2026</v>
      </c>
      <c r="E98" s="51" t="s">
        <v>1554</v>
      </c>
      <c r="J98">
        <v>31.95</v>
      </c>
      <c r="K98">
        <v>0.05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</row>
    <row r="99" spans="1:18" x14ac:dyDescent="0.2">
      <c r="A99" t="str">
        <f t="shared" si="3"/>
        <v>ICE.2026.6</v>
      </c>
      <c r="B99" t="s">
        <v>1403</v>
      </c>
      <c r="C99" t="str">
        <f t="shared" si="4"/>
        <v>6</v>
      </c>
      <c r="D99" t="str">
        <f t="shared" si="5"/>
        <v>2026</v>
      </c>
      <c r="E99" s="51" t="s">
        <v>1555</v>
      </c>
      <c r="J99">
        <v>34.799999999999997</v>
      </c>
      <c r="K99">
        <v>0.1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</row>
    <row r="100" spans="1:18" x14ac:dyDescent="0.2">
      <c r="A100" t="str">
        <f t="shared" si="3"/>
        <v>ICE.2026.7</v>
      </c>
      <c r="B100" t="s">
        <v>1403</v>
      </c>
      <c r="C100" t="str">
        <f t="shared" si="4"/>
        <v>7</v>
      </c>
      <c r="D100" t="str">
        <f t="shared" si="5"/>
        <v>2026</v>
      </c>
      <c r="E100" s="51" t="s">
        <v>1556</v>
      </c>
      <c r="J100">
        <v>41.1</v>
      </c>
      <c r="K100">
        <v>0.1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</row>
    <row r="101" spans="1:18" x14ac:dyDescent="0.2">
      <c r="A101" t="str">
        <f t="shared" si="3"/>
        <v>ICE.2026.8</v>
      </c>
      <c r="B101" t="s">
        <v>1403</v>
      </c>
      <c r="C101" t="str">
        <f t="shared" si="4"/>
        <v>8</v>
      </c>
      <c r="D101" t="str">
        <f t="shared" si="5"/>
        <v>2026</v>
      </c>
      <c r="E101" s="51" t="s">
        <v>1557</v>
      </c>
      <c r="J101">
        <v>43.95</v>
      </c>
      <c r="K101">
        <v>0.1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</row>
    <row r="102" spans="1:18" x14ac:dyDescent="0.2">
      <c r="A102" t="str">
        <f t="shared" si="3"/>
        <v>ICE.2026.9</v>
      </c>
      <c r="B102" t="s">
        <v>1403</v>
      </c>
      <c r="C102" t="str">
        <f t="shared" si="4"/>
        <v>9</v>
      </c>
      <c r="D102" t="str">
        <f t="shared" si="5"/>
        <v>2026</v>
      </c>
      <c r="E102" s="51" t="s">
        <v>1558</v>
      </c>
      <c r="J102">
        <v>43.25</v>
      </c>
      <c r="K102">
        <v>0.1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</row>
    <row r="103" spans="1:18" x14ac:dyDescent="0.2">
      <c r="A103" t="str">
        <f t="shared" si="3"/>
        <v>ICE.2026.10</v>
      </c>
      <c r="B103" t="s">
        <v>1403</v>
      </c>
      <c r="C103" t="str">
        <f t="shared" si="4"/>
        <v>10</v>
      </c>
      <c r="D103" t="str">
        <f t="shared" si="5"/>
        <v>2026</v>
      </c>
      <c r="E103" s="51" t="s">
        <v>1559</v>
      </c>
      <c r="J103">
        <v>43.95</v>
      </c>
      <c r="K103">
        <v>0.1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</row>
    <row r="104" spans="1:18" x14ac:dyDescent="0.2">
      <c r="A104" t="str">
        <f t="shared" si="3"/>
        <v>ICE.2026.11</v>
      </c>
      <c r="B104" t="s">
        <v>1403</v>
      </c>
      <c r="C104" t="str">
        <f t="shared" si="4"/>
        <v>11</v>
      </c>
      <c r="D104" t="str">
        <f t="shared" si="5"/>
        <v>2026</v>
      </c>
      <c r="E104" s="51" t="s">
        <v>1560</v>
      </c>
      <c r="J104">
        <v>44.9</v>
      </c>
      <c r="K104">
        <v>0.1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</row>
    <row r="105" spans="1:18" x14ac:dyDescent="0.2">
      <c r="A105" t="str">
        <f t="shared" si="3"/>
        <v>ICE.2026.12</v>
      </c>
      <c r="B105" t="s">
        <v>1403</v>
      </c>
      <c r="C105" t="str">
        <f t="shared" si="4"/>
        <v>12</v>
      </c>
      <c r="D105" t="str">
        <f t="shared" si="5"/>
        <v>2026</v>
      </c>
      <c r="E105" s="51" t="s">
        <v>1561</v>
      </c>
      <c r="J105">
        <v>48.3</v>
      </c>
      <c r="K105">
        <v>0.1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459</vt:i4>
      </vt:variant>
    </vt:vector>
  </HeadingPairs>
  <TitlesOfParts>
    <vt:vector size="463" baseType="lpstr">
      <vt:lpstr>PJM</vt:lpstr>
      <vt:lpstr>West Electric</vt:lpstr>
      <vt:lpstr>Basis Swaps</vt:lpstr>
      <vt:lpstr>Basis Swaps 2</vt:lpstr>
      <vt:lpstr>AECblockVol</vt:lpstr>
      <vt:lpstr>AECOIChange</vt:lpstr>
      <vt:lpstr>AECOpenInt</vt:lpstr>
      <vt:lpstr>AECsettlement</vt:lpstr>
      <vt:lpstr>AECvolume</vt:lpstr>
      <vt:lpstr>basisSwapsDate</vt:lpstr>
      <vt:lpstr>basisSwapsTerm</vt:lpstr>
      <vt:lpstr>basisSwapsTerm2</vt:lpstr>
      <vt:lpstr>basisSwapsYear</vt:lpstr>
      <vt:lpstr>basisSwapsYear2</vt:lpstr>
      <vt:lpstr>DGDblockVol</vt:lpstr>
      <vt:lpstr>DGDOIChange</vt:lpstr>
      <vt:lpstr>DGDOpenInt</vt:lpstr>
      <vt:lpstr>DGDsettlement</vt:lpstr>
      <vt:lpstr>DGDvolume</vt:lpstr>
      <vt:lpstr>'AEC Previous'!ExternalData_1</vt:lpstr>
      <vt:lpstr>'DGD Previous'!ExternalData_1</vt:lpstr>
      <vt:lpstr>Emissions!ExternalData_1</vt:lpstr>
      <vt:lpstr>'HSC Previous'!ExternalData_1</vt:lpstr>
      <vt:lpstr>'MidC Off Peak Previous'!ExternalData_1</vt:lpstr>
      <vt:lpstr>'MidC On Peak Previous'!ExternalData_1</vt:lpstr>
      <vt:lpstr>'NWR Previous'!ExternalData_1</vt:lpstr>
      <vt:lpstr>'PGE Previous'!ExternalData_1</vt:lpstr>
      <vt:lpstr>'PJM Off Peak Previous'!ExternalData_1</vt:lpstr>
      <vt:lpstr>'PJM On Peak Previous'!ExternalData_1</vt:lpstr>
      <vt:lpstr>'SCL Previous'!ExternalData_1</vt:lpstr>
      <vt:lpstr>'SP-15 Off Peak Previous'!ExternalData_1</vt:lpstr>
      <vt:lpstr>'SP-15 On Peak Previous'!ExternalData_1</vt:lpstr>
      <vt:lpstr>'WAH Previous'!ExternalData_1</vt:lpstr>
      <vt:lpstr>Emissions!ExternalData_2</vt:lpstr>
      <vt:lpstr>Emissions!ExternalData_3</vt:lpstr>
      <vt:lpstr>Emissions!ExternalData_4</vt:lpstr>
      <vt:lpstr>Emissions!ExternalData_5</vt:lpstr>
      <vt:lpstr>Emissions!ExternalData_6</vt:lpstr>
      <vt:lpstr>Emissions!ExternalData_7</vt:lpstr>
      <vt:lpstr>Emissions!ExternalData_8</vt:lpstr>
      <vt:lpstr>AEC!fields</vt:lpstr>
      <vt:lpstr>DGD!fields</vt:lpstr>
      <vt:lpstr>HSC!fields</vt:lpstr>
      <vt:lpstr>'MidC Off Peak'!fields</vt:lpstr>
      <vt:lpstr>'MidC On Peak'!fields</vt:lpstr>
      <vt:lpstr>NPM!fields</vt:lpstr>
      <vt:lpstr>NWR!fields</vt:lpstr>
      <vt:lpstr>ONP!fields</vt:lpstr>
      <vt:lpstr>OVP!fields</vt:lpstr>
      <vt:lpstr>PGE!fields</vt:lpstr>
      <vt:lpstr>'PJM Off Peak'!fields</vt:lpstr>
      <vt:lpstr>'PJM On Peak'!fields</vt:lpstr>
      <vt:lpstr>PVM!fields</vt:lpstr>
      <vt:lpstr>SCL!fields</vt:lpstr>
      <vt:lpstr>'SP-15 Off Peak'!fields</vt:lpstr>
      <vt:lpstr>'SP-15 On Peak'!fields</vt:lpstr>
      <vt:lpstr>WAH!fields</vt:lpstr>
      <vt:lpstr>AEC!fields.Block.Vol</vt:lpstr>
      <vt:lpstr>DGD!fields.Block.Vol</vt:lpstr>
      <vt:lpstr>HSC!fields.Block.Vol</vt:lpstr>
      <vt:lpstr>'MidC Off Peak'!fields.Block.Vol</vt:lpstr>
      <vt:lpstr>'MidC On Peak'!fields.Block.Vol</vt:lpstr>
      <vt:lpstr>NPM!fields.Block.Vol</vt:lpstr>
      <vt:lpstr>NWR!fields.Block.Vol</vt:lpstr>
      <vt:lpstr>ONP!fields.Block.Vol</vt:lpstr>
      <vt:lpstr>OVP!fields.Block.Vol</vt:lpstr>
      <vt:lpstr>PGE!fields.Block.Vol</vt:lpstr>
      <vt:lpstr>'PJM Off Peak'!fields.Block.Vol</vt:lpstr>
      <vt:lpstr>'PJM On Peak'!fields.Block.Vol</vt:lpstr>
      <vt:lpstr>PVM!fields.Block.Vol</vt:lpstr>
      <vt:lpstr>SCL!fields.Block.Vol</vt:lpstr>
      <vt:lpstr>'SP-15 Off Peak'!fields.Block.Vol</vt:lpstr>
      <vt:lpstr>'SP-15 On Peak'!fields.Block.Vol</vt:lpstr>
      <vt:lpstr>WAH!fields.Block.Vol</vt:lpstr>
      <vt:lpstr>AEC!fields.Change</vt:lpstr>
      <vt:lpstr>DGD!fields.Change</vt:lpstr>
      <vt:lpstr>HSC!fields.Change</vt:lpstr>
      <vt:lpstr>'MidC Off Peak'!fields.Change</vt:lpstr>
      <vt:lpstr>'MidC On Peak'!fields.Change</vt:lpstr>
      <vt:lpstr>NPM!fields.Change</vt:lpstr>
      <vt:lpstr>NWR!fields.Change</vt:lpstr>
      <vt:lpstr>ONP!fields.Change</vt:lpstr>
      <vt:lpstr>OVP!fields.Change</vt:lpstr>
      <vt:lpstr>PGE!fields.Change</vt:lpstr>
      <vt:lpstr>'PJM Off Peak'!fields.Change</vt:lpstr>
      <vt:lpstr>'PJM On Peak'!fields.Change</vt:lpstr>
      <vt:lpstr>PVM!fields.Change</vt:lpstr>
      <vt:lpstr>SCL!fields.Change</vt:lpstr>
      <vt:lpstr>'SP-15 Off Peak'!fields.Change</vt:lpstr>
      <vt:lpstr>'SP-15 On Peak'!fields.Change</vt:lpstr>
      <vt:lpstr>WAH!fields.Change</vt:lpstr>
      <vt:lpstr>AEC!fields.Close</vt:lpstr>
      <vt:lpstr>DGD!fields.Close</vt:lpstr>
      <vt:lpstr>HSC!fields.Close</vt:lpstr>
      <vt:lpstr>'MidC Off Peak'!fields.Close</vt:lpstr>
      <vt:lpstr>'MidC On Peak'!fields.Close</vt:lpstr>
      <vt:lpstr>NPM!fields.Close</vt:lpstr>
      <vt:lpstr>NWR!fields.Close</vt:lpstr>
      <vt:lpstr>ONP!fields.Close</vt:lpstr>
      <vt:lpstr>OVP!fields.Close</vt:lpstr>
      <vt:lpstr>PGE!fields.Close</vt:lpstr>
      <vt:lpstr>'PJM Off Peak'!fields.Close</vt:lpstr>
      <vt:lpstr>'PJM On Peak'!fields.Close</vt:lpstr>
      <vt:lpstr>PVM!fields.Close</vt:lpstr>
      <vt:lpstr>SCL!fields.Close</vt:lpstr>
      <vt:lpstr>'SP-15 Off Peak'!fields.Close</vt:lpstr>
      <vt:lpstr>'SP-15 On Peak'!fields.Close</vt:lpstr>
      <vt:lpstr>WAH!fields.Close</vt:lpstr>
      <vt:lpstr>AEC!fields.Contract</vt:lpstr>
      <vt:lpstr>DGD!fields.Contract</vt:lpstr>
      <vt:lpstr>HSC!fields.Contract</vt:lpstr>
      <vt:lpstr>'MidC Off Peak'!fields.Contract</vt:lpstr>
      <vt:lpstr>'MidC On Peak'!fields.Contract</vt:lpstr>
      <vt:lpstr>NPM!fields.Contract</vt:lpstr>
      <vt:lpstr>NWR!fields.Contract</vt:lpstr>
      <vt:lpstr>ONP!fields.Contract</vt:lpstr>
      <vt:lpstr>OVP!fields.Contract</vt:lpstr>
      <vt:lpstr>PGE!fields.Contract</vt:lpstr>
      <vt:lpstr>'PJM Off Peak'!fields.Contract</vt:lpstr>
      <vt:lpstr>'PJM On Peak'!fields.Contract</vt:lpstr>
      <vt:lpstr>PVM!fields.Contract</vt:lpstr>
      <vt:lpstr>SCL!fields.Contract</vt:lpstr>
      <vt:lpstr>'SP-15 Off Peak'!fields.Contract</vt:lpstr>
      <vt:lpstr>'SP-15 On Peak'!fields.Contract</vt:lpstr>
      <vt:lpstr>WAH!fields.Contract</vt:lpstr>
      <vt:lpstr>AEC!fields.EFP</vt:lpstr>
      <vt:lpstr>DGD!fields.EFP</vt:lpstr>
      <vt:lpstr>HSC!fields.EFP</vt:lpstr>
      <vt:lpstr>'MidC Off Peak'!fields.EFP</vt:lpstr>
      <vt:lpstr>'MidC On Peak'!fields.EFP</vt:lpstr>
      <vt:lpstr>NPM!fields.EFP</vt:lpstr>
      <vt:lpstr>NWR!fields.EFP</vt:lpstr>
      <vt:lpstr>ONP!fields.EFP</vt:lpstr>
      <vt:lpstr>OVP!fields.EFP</vt:lpstr>
      <vt:lpstr>PGE!fields.EFP</vt:lpstr>
      <vt:lpstr>'PJM Off Peak'!fields.EFP</vt:lpstr>
      <vt:lpstr>'PJM On Peak'!fields.EFP</vt:lpstr>
      <vt:lpstr>PVM!fields.EFP</vt:lpstr>
      <vt:lpstr>SCL!fields.EFP</vt:lpstr>
      <vt:lpstr>'SP-15 Off Peak'!fields.EFP</vt:lpstr>
      <vt:lpstr>'SP-15 On Peak'!fields.EFP</vt:lpstr>
      <vt:lpstr>WAH!fields.EFP</vt:lpstr>
      <vt:lpstr>AEC!fields.EFS</vt:lpstr>
      <vt:lpstr>DGD!fields.EFS</vt:lpstr>
      <vt:lpstr>HSC!fields.EFS</vt:lpstr>
      <vt:lpstr>'MidC Off Peak'!fields.EFS</vt:lpstr>
      <vt:lpstr>'MidC On Peak'!fields.EFS</vt:lpstr>
      <vt:lpstr>NPM!fields.EFS</vt:lpstr>
      <vt:lpstr>NWR!fields.EFS</vt:lpstr>
      <vt:lpstr>ONP!fields.EFS</vt:lpstr>
      <vt:lpstr>OVP!fields.EFS</vt:lpstr>
      <vt:lpstr>PGE!fields.EFS</vt:lpstr>
      <vt:lpstr>'PJM Off Peak'!fields.EFS</vt:lpstr>
      <vt:lpstr>'PJM On Peak'!fields.EFS</vt:lpstr>
      <vt:lpstr>PVM!fields.EFS</vt:lpstr>
      <vt:lpstr>SCL!fields.EFS</vt:lpstr>
      <vt:lpstr>'SP-15 Off Peak'!fields.EFS</vt:lpstr>
      <vt:lpstr>'SP-15 On Peak'!fields.EFS</vt:lpstr>
      <vt:lpstr>WAH!fields.EFS</vt:lpstr>
      <vt:lpstr>AEC!fields.High</vt:lpstr>
      <vt:lpstr>DGD!fields.High</vt:lpstr>
      <vt:lpstr>HSC!fields.High</vt:lpstr>
      <vt:lpstr>'MidC Off Peak'!fields.High</vt:lpstr>
      <vt:lpstr>'MidC On Peak'!fields.High</vt:lpstr>
      <vt:lpstr>NPM!fields.High</vt:lpstr>
      <vt:lpstr>NWR!fields.High</vt:lpstr>
      <vt:lpstr>ONP!fields.High</vt:lpstr>
      <vt:lpstr>OVP!fields.High</vt:lpstr>
      <vt:lpstr>PGE!fields.High</vt:lpstr>
      <vt:lpstr>'PJM Off Peak'!fields.High</vt:lpstr>
      <vt:lpstr>'PJM On Peak'!fields.High</vt:lpstr>
      <vt:lpstr>PVM!fields.High</vt:lpstr>
      <vt:lpstr>SCL!fields.High</vt:lpstr>
      <vt:lpstr>'SP-15 Off Peak'!fields.High</vt:lpstr>
      <vt:lpstr>'SP-15 On Peak'!fields.High</vt:lpstr>
      <vt:lpstr>WAH!fields.High</vt:lpstr>
      <vt:lpstr>AEC!fields.Key</vt:lpstr>
      <vt:lpstr>DGD!fields.Key</vt:lpstr>
      <vt:lpstr>HSC!fields.Key</vt:lpstr>
      <vt:lpstr>'MidC Off Peak'!fields.Key</vt:lpstr>
      <vt:lpstr>'MidC On Peak'!fields.Key</vt:lpstr>
      <vt:lpstr>NPM!fields.Key</vt:lpstr>
      <vt:lpstr>NWR!fields.Key</vt:lpstr>
      <vt:lpstr>ONP!fields.Key</vt:lpstr>
      <vt:lpstr>OVP!fields.Key</vt:lpstr>
      <vt:lpstr>PGE!fields.Key</vt:lpstr>
      <vt:lpstr>'PJM Off Peak'!fields.Key</vt:lpstr>
      <vt:lpstr>'PJM On Peak'!fields.Key</vt:lpstr>
      <vt:lpstr>PVM!fields.Key</vt:lpstr>
      <vt:lpstr>SCL!fields.Key</vt:lpstr>
      <vt:lpstr>'SP-15 Off Peak'!fields.Key</vt:lpstr>
      <vt:lpstr>'SP-15 On Peak'!fields.Key</vt:lpstr>
      <vt:lpstr>WAH!fields.Key</vt:lpstr>
      <vt:lpstr>AEC!fields.Low</vt:lpstr>
      <vt:lpstr>DGD!fields.Low</vt:lpstr>
      <vt:lpstr>HSC!fields.Low</vt:lpstr>
      <vt:lpstr>'MidC Off Peak'!fields.Low</vt:lpstr>
      <vt:lpstr>'MidC On Peak'!fields.Low</vt:lpstr>
      <vt:lpstr>NPM!fields.Low</vt:lpstr>
      <vt:lpstr>NWR!fields.Low</vt:lpstr>
      <vt:lpstr>ONP!fields.Low</vt:lpstr>
      <vt:lpstr>OVP!fields.Low</vt:lpstr>
      <vt:lpstr>PGE!fields.Low</vt:lpstr>
      <vt:lpstr>'PJM Off Peak'!fields.Low</vt:lpstr>
      <vt:lpstr>'PJM On Peak'!fields.Low</vt:lpstr>
      <vt:lpstr>PVM!fields.Low</vt:lpstr>
      <vt:lpstr>SCL!fields.Low</vt:lpstr>
      <vt:lpstr>'SP-15 Off Peak'!fields.Low</vt:lpstr>
      <vt:lpstr>'SP-15 On Peak'!fields.Low</vt:lpstr>
      <vt:lpstr>WAH!fields.Low</vt:lpstr>
      <vt:lpstr>AEC!fields.Month</vt:lpstr>
      <vt:lpstr>DGD!fields.Month</vt:lpstr>
      <vt:lpstr>HSC!fields.Month</vt:lpstr>
      <vt:lpstr>'MidC Off Peak'!fields.Month</vt:lpstr>
      <vt:lpstr>'MidC On Peak'!fields.Month</vt:lpstr>
      <vt:lpstr>NPM!fields.Month</vt:lpstr>
      <vt:lpstr>NWR!fields.Month</vt:lpstr>
      <vt:lpstr>ONP!fields.Month</vt:lpstr>
      <vt:lpstr>OVP!fields.Month</vt:lpstr>
      <vt:lpstr>PGE!fields.Month</vt:lpstr>
      <vt:lpstr>'PJM Off Peak'!fields.Month</vt:lpstr>
      <vt:lpstr>'PJM On Peak'!fields.Month</vt:lpstr>
      <vt:lpstr>PVM!fields.Month</vt:lpstr>
      <vt:lpstr>SCL!fields.Month</vt:lpstr>
      <vt:lpstr>'SP-15 Off Peak'!fields.Month</vt:lpstr>
      <vt:lpstr>'SP-15 On Peak'!fields.Month</vt:lpstr>
      <vt:lpstr>WAH!fields.Month</vt:lpstr>
      <vt:lpstr>AEC!fields.OI.Change</vt:lpstr>
      <vt:lpstr>DGD!fields.OI.Change</vt:lpstr>
      <vt:lpstr>HSC!fields.OI.Change</vt:lpstr>
      <vt:lpstr>'MidC Off Peak'!fields.OI.Change</vt:lpstr>
      <vt:lpstr>'MidC On Peak'!fields.OI.Change</vt:lpstr>
      <vt:lpstr>NPM!fields.OI.Change</vt:lpstr>
      <vt:lpstr>NWR!fields.OI.Change</vt:lpstr>
      <vt:lpstr>ONP!fields.OI.Change</vt:lpstr>
      <vt:lpstr>OVP!fields.OI.Change</vt:lpstr>
      <vt:lpstr>PGE!fields.OI.Change</vt:lpstr>
      <vt:lpstr>'PJM Off Peak'!fields.OI.Change</vt:lpstr>
      <vt:lpstr>'PJM On Peak'!fields.OI.Change</vt:lpstr>
      <vt:lpstr>PVM!fields.OI.Change</vt:lpstr>
      <vt:lpstr>SCL!fields.OI.Change</vt:lpstr>
      <vt:lpstr>'SP-15 Off Peak'!fields.OI.Change</vt:lpstr>
      <vt:lpstr>'SP-15 On Peak'!fields.OI.Change</vt:lpstr>
      <vt:lpstr>WAH!fields.OI.Change</vt:lpstr>
      <vt:lpstr>AEC!fields.Open</vt:lpstr>
      <vt:lpstr>DGD!fields.Open</vt:lpstr>
      <vt:lpstr>HSC!fields.Open</vt:lpstr>
      <vt:lpstr>'MidC Off Peak'!fields.Open</vt:lpstr>
      <vt:lpstr>'MidC On Peak'!fields.Open</vt:lpstr>
      <vt:lpstr>NPM!fields.Open</vt:lpstr>
      <vt:lpstr>NWR!fields.Open</vt:lpstr>
      <vt:lpstr>ONP!fields.Open</vt:lpstr>
      <vt:lpstr>OVP!fields.Open</vt:lpstr>
      <vt:lpstr>PGE!fields.Open</vt:lpstr>
      <vt:lpstr>'PJM Off Peak'!fields.Open</vt:lpstr>
      <vt:lpstr>'PJM On Peak'!fields.Open</vt:lpstr>
      <vt:lpstr>PVM!fields.Open</vt:lpstr>
      <vt:lpstr>SCL!fields.Open</vt:lpstr>
      <vt:lpstr>'SP-15 Off Peak'!fields.Open</vt:lpstr>
      <vt:lpstr>'SP-15 On Peak'!fields.Open</vt:lpstr>
      <vt:lpstr>WAH!fields.Open</vt:lpstr>
      <vt:lpstr>AEC!fields.Open.Int</vt:lpstr>
      <vt:lpstr>DGD!fields.Open.Int</vt:lpstr>
      <vt:lpstr>HSC!fields.Open.Int</vt:lpstr>
      <vt:lpstr>'MidC Off Peak'!fields.Open.Int</vt:lpstr>
      <vt:lpstr>'MidC On Peak'!fields.Open.Int</vt:lpstr>
      <vt:lpstr>NPM!fields.Open.Int</vt:lpstr>
      <vt:lpstr>NWR!fields.Open.Int</vt:lpstr>
      <vt:lpstr>ONP!fields.Open.Int</vt:lpstr>
      <vt:lpstr>OVP!fields.Open.Int</vt:lpstr>
      <vt:lpstr>PGE!fields.Open.Int</vt:lpstr>
      <vt:lpstr>'PJM Off Peak'!fields.Open.Int</vt:lpstr>
      <vt:lpstr>'PJM On Peak'!fields.Open.Int</vt:lpstr>
      <vt:lpstr>PVM!fields.Open.Int</vt:lpstr>
      <vt:lpstr>SCL!fields.Open.Int</vt:lpstr>
      <vt:lpstr>'SP-15 Off Peak'!fields.Open.Int</vt:lpstr>
      <vt:lpstr>'SP-15 On Peak'!fields.Open.Int</vt:lpstr>
      <vt:lpstr>WAH!fields.Open.Int</vt:lpstr>
      <vt:lpstr>AEC!fields.Settlement</vt:lpstr>
      <vt:lpstr>DGD!fields.Settlement</vt:lpstr>
      <vt:lpstr>HSC!fields.Settlement</vt:lpstr>
      <vt:lpstr>'MidC Off Peak'!fields.Settlement</vt:lpstr>
      <vt:lpstr>'MidC On Peak'!fields.Settlement</vt:lpstr>
      <vt:lpstr>NPM!fields.Settlement</vt:lpstr>
      <vt:lpstr>NWR!fields.Settlement</vt:lpstr>
      <vt:lpstr>ONP!fields.Settlement</vt:lpstr>
      <vt:lpstr>OVP!fields.Settlement</vt:lpstr>
      <vt:lpstr>PGE!fields.Settlement</vt:lpstr>
      <vt:lpstr>'PJM Off Peak'!fields.Settlement</vt:lpstr>
      <vt:lpstr>'PJM On Peak'!fields.Settlement</vt:lpstr>
      <vt:lpstr>PVM!fields.Settlement</vt:lpstr>
      <vt:lpstr>SCL!fields.Settlement</vt:lpstr>
      <vt:lpstr>'SP-15 Off Peak'!fields.Settlement</vt:lpstr>
      <vt:lpstr>'SP-15 On Peak'!fields.Settlement</vt:lpstr>
      <vt:lpstr>WAH!fields.Settlement</vt:lpstr>
      <vt:lpstr>AEC!fields.Spread.Vol</vt:lpstr>
      <vt:lpstr>DGD!fields.Spread.Vol</vt:lpstr>
      <vt:lpstr>HSC!fields.Spread.Vol</vt:lpstr>
      <vt:lpstr>'MidC Off Peak'!fields.Spread.Vol</vt:lpstr>
      <vt:lpstr>'MidC On Peak'!fields.Spread.Vol</vt:lpstr>
      <vt:lpstr>NPM!fields.Spread.Vol</vt:lpstr>
      <vt:lpstr>NWR!fields.Spread.Vol</vt:lpstr>
      <vt:lpstr>ONP!fields.Spread.Vol</vt:lpstr>
      <vt:lpstr>OVP!fields.Spread.Vol</vt:lpstr>
      <vt:lpstr>PGE!fields.Spread.Vol</vt:lpstr>
      <vt:lpstr>'PJM Off Peak'!fields.Spread.Vol</vt:lpstr>
      <vt:lpstr>'PJM On Peak'!fields.Spread.Vol</vt:lpstr>
      <vt:lpstr>PVM!fields.Spread.Vol</vt:lpstr>
      <vt:lpstr>SCL!fields.Spread.Vol</vt:lpstr>
      <vt:lpstr>'SP-15 Off Peak'!fields.Spread.Vol</vt:lpstr>
      <vt:lpstr>'SP-15 On Peak'!fields.Spread.Vol</vt:lpstr>
      <vt:lpstr>WAH!fields.Spread.Vol</vt:lpstr>
      <vt:lpstr>AEC!fields.Term</vt:lpstr>
      <vt:lpstr>DGD!fields.Term</vt:lpstr>
      <vt:lpstr>HSC!fields.Term</vt:lpstr>
      <vt:lpstr>'MidC Off Peak'!fields.Term</vt:lpstr>
      <vt:lpstr>'MidC On Peak'!fields.Term</vt:lpstr>
      <vt:lpstr>NPM!fields.Term</vt:lpstr>
      <vt:lpstr>NWR!fields.Term</vt:lpstr>
      <vt:lpstr>ONP!fields.Term</vt:lpstr>
      <vt:lpstr>OVP!fields.Term</vt:lpstr>
      <vt:lpstr>PGE!fields.Term</vt:lpstr>
      <vt:lpstr>'PJM Off Peak'!fields.Term</vt:lpstr>
      <vt:lpstr>'PJM On Peak'!fields.Term</vt:lpstr>
      <vt:lpstr>PVM!fields.Term</vt:lpstr>
      <vt:lpstr>SCL!fields.Term</vt:lpstr>
      <vt:lpstr>'SP-15 Off Peak'!fields.Term</vt:lpstr>
      <vt:lpstr>'SP-15 On Peak'!fields.Term</vt:lpstr>
      <vt:lpstr>WAH!fields.Term</vt:lpstr>
      <vt:lpstr>AEC!fields.Volume</vt:lpstr>
      <vt:lpstr>DGD!fields.Volume</vt:lpstr>
      <vt:lpstr>HSC!fields.Volume</vt:lpstr>
      <vt:lpstr>'MidC Off Peak'!fields.Volume</vt:lpstr>
      <vt:lpstr>'MidC On Peak'!fields.Volume</vt:lpstr>
      <vt:lpstr>NPM!fields.Volume</vt:lpstr>
      <vt:lpstr>NWR!fields.Volume</vt:lpstr>
      <vt:lpstr>ONP!fields.Volume</vt:lpstr>
      <vt:lpstr>OVP!fields.Volume</vt:lpstr>
      <vt:lpstr>PGE!fields.Volume</vt:lpstr>
      <vt:lpstr>'PJM Off Peak'!fields.Volume</vt:lpstr>
      <vt:lpstr>'PJM On Peak'!fields.Volume</vt:lpstr>
      <vt:lpstr>PVM!fields.Volume</vt:lpstr>
      <vt:lpstr>SCL!fields.Volume</vt:lpstr>
      <vt:lpstr>'SP-15 Off Peak'!fields.Volume</vt:lpstr>
      <vt:lpstr>'SP-15 On Peak'!fields.Volume</vt:lpstr>
      <vt:lpstr>WAH!fields.Volume</vt:lpstr>
      <vt:lpstr>AEC!fields.Year</vt:lpstr>
      <vt:lpstr>DGD!fields.Year</vt:lpstr>
      <vt:lpstr>HSC!fields.Year</vt:lpstr>
      <vt:lpstr>'MidC Off Peak'!fields.Year</vt:lpstr>
      <vt:lpstr>'MidC On Peak'!fields.Year</vt:lpstr>
      <vt:lpstr>NPM!fields.Year</vt:lpstr>
      <vt:lpstr>NWR!fields.Year</vt:lpstr>
      <vt:lpstr>ONP!fields.Year</vt:lpstr>
      <vt:lpstr>OVP!fields.Year</vt:lpstr>
      <vt:lpstr>PGE!fields.Year</vt:lpstr>
      <vt:lpstr>'PJM Off Peak'!fields.Year</vt:lpstr>
      <vt:lpstr>'PJM On Peak'!fields.Year</vt:lpstr>
      <vt:lpstr>PVM!fields.Year</vt:lpstr>
      <vt:lpstr>SCL!fields.Year</vt:lpstr>
      <vt:lpstr>'SP-15 Off Peak'!fields.Year</vt:lpstr>
      <vt:lpstr>'SP-15 On Peak'!fields.Year</vt:lpstr>
      <vt:lpstr>WAH!fields.Year</vt:lpstr>
      <vt:lpstr>HSCblockVol</vt:lpstr>
      <vt:lpstr>HSCOIChange</vt:lpstr>
      <vt:lpstr>HSCOpenInt</vt:lpstr>
      <vt:lpstr>HSCsettlement</vt:lpstr>
      <vt:lpstr>HSCvolume</vt:lpstr>
      <vt:lpstr>monthMapping</vt:lpstr>
      <vt:lpstr>NWRblockVol</vt:lpstr>
      <vt:lpstr>NWROIChange</vt:lpstr>
      <vt:lpstr>NWROpenInt</vt:lpstr>
      <vt:lpstr>NWRsettlement</vt:lpstr>
      <vt:lpstr>NWRvolume</vt:lpstr>
      <vt:lpstr>PGEblockVol</vt:lpstr>
      <vt:lpstr>PGEOIChange</vt:lpstr>
      <vt:lpstr>PGEOpenInt</vt:lpstr>
      <vt:lpstr>PGEsettlement</vt:lpstr>
      <vt:lpstr>PGEvolume</vt:lpstr>
      <vt:lpstr>PJMdate</vt:lpstr>
      <vt:lpstr>PJMOffPeakBlockVol</vt:lpstr>
      <vt:lpstr>PJMOffPeakOIChange</vt:lpstr>
      <vt:lpstr>PJMOffPeakOpenInt</vt:lpstr>
      <vt:lpstr>PJMOffPeakSettlement</vt:lpstr>
      <vt:lpstr>PJMOffPeakVolume</vt:lpstr>
      <vt:lpstr>PJMPeakBlockVol</vt:lpstr>
      <vt:lpstr>PJMPeakOIChange</vt:lpstr>
      <vt:lpstr>PJMPeakOpenInt</vt:lpstr>
      <vt:lpstr>PJMPeakSettlement</vt:lpstr>
      <vt:lpstr>PJMPeakVolume</vt:lpstr>
      <vt:lpstr>PJMTerm</vt:lpstr>
      <vt:lpstr>PJMYear</vt:lpstr>
      <vt:lpstr>AEC!records</vt:lpstr>
      <vt:lpstr>DGD!records</vt:lpstr>
      <vt:lpstr>HSC!records</vt:lpstr>
      <vt:lpstr>'MidC Off Peak'!records</vt:lpstr>
      <vt:lpstr>'MidC On Peak'!records</vt:lpstr>
      <vt:lpstr>NPM!records</vt:lpstr>
      <vt:lpstr>NWR!records</vt:lpstr>
      <vt:lpstr>ONP!records</vt:lpstr>
      <vt:lpstr>OVP!records</vt:lpstr>
      <vt:lpstr>PGE!records</vt:lpstr>
      <vt:lpstr>'PJM Off Peak'!records</vt:lpstr>
      <vt:lpstr>'PJM On Peak'!records</vt:lpstr>
      <vt:lpstr>PVM!records</vt:lpstr>
      <vt:lpstr>SCL!records</vt:lpstr>
      <vt:lpstr>'SP-15 Off Peak'!records</vt:lpstr>
      <vt:lpstr>'SP-15 On Peak'!records</vt:lpstr>
      <vt:lpstr>WAH!records</vt:lpstr>
      <vt:lpstr>SCLblockVol</vt:lpstr>
      <vt:lpstr>SCLOIChange</vt:lpstr>
      <vt:lpstr>SCLOpenInt</vt:lpstr>
      <vt:lpstr>SCLsettlement</vt:lpstr>
      <vt:lpstr>SCLvolume</vt:lpstr>
      <vt:lpstr>SP15MidCdate</vt:lpstr>
      <vt:lpstr>SP15MidCMidCOffPeakBlockVol</vt:lpstr>
      <vt:lpstr>SP15MidCMidCOffPeakSettlement</vt:lpstr>
      <vt:lpstr>SP15MidCMidCOffPeakVolume</vt:lpstr>
      <vt:lpstr>SP15MidCMidCPeakBlockVol</vt:lpstr>
      <vt:lpstr>SP15MidCMidCPeakSettlement</vt:lpstr>
      <vt:lpstr>SP15MidCMidCPeakVolume</vt:lpstr>
      <vt:lpstr>SP15MidCSP15OffPeakBlockVol</vt:lpstr>
      <vt:lpstr>SP15MidCSP15OffPeakSettlement</vt:lpstr>
      <vt:lpstr>SP15MidCSP15OffPeakVolume</vt:lpstr>
      <vt:lpstr>SP15MidCSP15PeakBlockVol</vt:lpstr>
      <vt:lpstr>SP15MidCSP15PeakSettlement</vt:lpstr>
      <vt:lpstr>SP15MidCSP15PeakVolume</vt:lpstr>
      <vt:lpstr>SP15MidCterm</vt:lpstr>
      <vt:lpstr>SP15MidCyear</vt:lpstr>
      <vt:lpstr>AEC!table</vt:lpstr>
      <vt:lpstr>DGD!table</vt:lpstr>
      <vt:lpstr>HSC!table</vt:lpstr>
      <vt:lpstr>'MidC Off Peak'!table</vt:lpstr>
      <vt:lpstr>'MidC On Peak'!table</vt:lpstr>
      <vt:lpstr>NPM!table</vt:lpstr>
      <vt:lpstr>NWR!table</vt:lpstr>
      <vt:lpstr>ONP!table</vt:lpstr>
      <vt:lpstr>OVP!table</vt:lpstr>
      <vt:lpstr>PGE!table</vt:lpstr>
      <vt:lpstr>'PJM Off Peak'!table</vt:lpstr>
      <vt:lpstr>'PJM On Peak'!table</vt:lpstr>
      <vt:lpstr>PVM!table</vt:lpstr>
      <vt:lpstr>SCL!table</vt:lpstr>
      <vt:lpstr>'SP-15 Off Peak'!table</vt:lpstr>
      <vt:lpstr>'SP-15 On Peak'!table</vt:lpstr>
      <vt:lpstr>WAH!table</vt:lpstr>
      <vt:lpstr>WAHblockVol</vt:lpstr>
      <vt:lpstr>WAHOIChange</vt:lpstr>
      <vt:lpstr>WAHOpenInt</vt:lpstr>
      <vt:lpstr>WAHsettlement</vt:lpstr>
      <vt:lpstr>WAHvolume</vt:lpstr>
      <vt:lpstr>WestElecNPMBlockVol</vt:lpstr>
      <vt:lpstr>WestElecNPMSettlement</vt:lpstr>
      <vt:lpstr>WestElecNPMVolume</vt:lpstr>
      <vt:lpstr>WestElecONPBlockVol</vt:lpstr>
      <vt:lpstr>WestElecONPSettlement</vt:lpstr>
      <vt:lpstr>WestElecONPVolume</vt:lpstr>
      <vt:lpstr>WestElecOVPBlockVol</vt:lpstr>
      <vt:lpstr>WestElecOVPSettlement</vt:lpstr>
      <vt:lpstr>WestElecOVPVolume</vt:lpstr>
      <vt:lpstr>WestElecPVMBlockVol</vt:lpstr>
      <vt:lpstr>WestElecPVMSettlement</vt:lpstr>
      <vt:lpstr>WestElecPVMVolume</vt:lpstr>
    </vt:vector>
  </TitlesOfParts>
  <Company>TFS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kkelly</dc:creator>
  <cp:lastModifiedBy>Victor Wu</cp:lastModifiedBy>
  <dcterms:created xsi:type="dcterms:W3CDTF">2010-09-24T17:54:38Z</dcterms:created>
  <dcterms:modified xsi:type="dcterms:W3CDTF">2018-05-17T14:50:33Z</dcterms:modified>
</cp:coreProperties>
</file>